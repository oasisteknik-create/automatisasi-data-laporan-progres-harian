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ndows 10\Dropbox\07. Tahun 2026\00. Administrasi\Progres Setiap Lokasi\"/>
    </mc:Choice>
  </mc:AlternateContent>
  <xr:revisionPtr revIDLastSave="0" documentId="13_ncr:1_{A1F68678-688D-484A-A282-B3E5B78ABC8E}" xr6:coauthVersionLast="47" xr6:coauthVersionMax="47" xr10:uidLastSave="{00000000-0000-0000-0000-000000000000}"/>
  <bookViews>
    <workbookView xWindow="-120" yWindow="-120" windowWidth="24240" windowHeight="13140" tabRatio="949" firstSheet="132" activeTab="144" xr2:uid="{00000000-000D-0000-FFFF-FFFF00000000}"/>
  </bookViews>
  <sheets>
    <sheet name="RIG" sheetId="152" r:id="rId1"/>
    <sheet name="Stang Bor" sheetId="153" r:id="rId2"/>
    <sheet name="Team Lapangan" sheetId="26" r:id="rId3"/>
    <sheet name="Team OG" sheetId="146" r:id="rId4"/>
    <sheet name="Salira" sheetId="46" state="hidden" r:id="rId5"/>
    <sheet name="Wonokoyo Cikande" sheetId="43" state="hidden" r:id="rId6"/>
    <sheet name="Kedungsoka" sheetId="23" state="hidden" r:id="rId7"/>
    <sheet name="PUPR Sumedang" sheetId="55" state="hidden" r:id="rId8"/>
    <sheet name="Cemplang" sheetId="30" state="hidden" r:id="rId9"/>
    <sheet name="Malang" sheetId="10" state="hidden" r:id="rId10"/>
    <sheet name="Suralaya Kp Kotak" sheetId="35" state="hidden" r:id="rId11"/>
    <sheet name="Cianjur" sheetId="2" state="hidden" r:id="rId12"/>
    <sheet name="mancak 1 A" sheetId="3" state="hidden" r:id="rId13"/>
    <sheet name="mancak 1 B" sheetId="15" state="hidden" r:id="rId14"/>
    <sheet name="Mancak 2" sheetId="4" state="hidden" r:id="rId15"/>
    <sheet name="sukarena" sheetId="5" state="hidden" r:id="rId16"/>
    <sheet name="baros" sheetId="6" state="hidden" r:id="rId17"/>
    <sheet name="tbl" sheetId="8" state="hidden" r:id="rId18"/>
    <sheet name="ponpes al rahmah" sheetId="34" state="hidden" r:id="rId19"/>
    <sheet name="cakra" sheetId="11" state="hidden" r:id="rId20"/>
    <sheet name="APLUS" sheetId="14" state="hidden" r:id="rId21"/>
    <sheet name="Desa Teras" sheetId="16" state="hidden" r:id="rId22"/>
    <sheet name="sindangsari" sheetId="17" state="hidden" r:id="rId23"/>
    <sheet name="cilayang" sheetId="18" state="hidden" r:id="rId24"/>
    <sheet name="mandaya" sheetId="19" state="hidden" r:id="rId25"/>
    <sheet name="koper" sheetId="20" state="hidden" r:id="rId26"/>
    <sheet name="sukamaju" sheetId="22" state="hidden" r:id="rId27"/>
    <sheet name="nambo udik" sheetId="21" state="hidden" r:id="rId28"/>
    <sheet name="Kentrong" sheetId="25" state="hidden" r:id="rId29"/>
    <sheet name="Bunihara" sheetId="27" state="hidden" r:id="rId30"/>
    <sheet name="Lialang" sheetId="29" state="hidden" r:id="rId31"/>
    <sheet name="Teritih" sheetId="31" state="hidden" r:id="rId32"/>
    <sheet name="TPA Cianjur" sheetId="36" state="hidden" r:id="rId33"/>
    <sheet name="PT CUAN" sheetId="40" state="hidden" r:id="rId34"/>
    <sheet name="Sayar" sheetId="28" state="hidden" r:id="rId35"/>
    <sheet name="PDAM NGANJUK" sheetId="39" state="hidden" r:id="rId36"/>
    <sheet name="Cianjur BBMMPPV" sheetId="33" state="hidden" r:id="rId37"/>
    <sheet name="Bo Myoeng" sheetId="38" state="hidden" r:id="rId38"/>
    <sheet name="CANDRA ASRI" sheetId="41" state="hidden" r:id="rId39"/>
    <sheet name="Bor TBL" sheetId="42" state="hidden" r:id="rId40"/>
    <sheet name="Cakra 2" sheetId="44" state="hidden" r:id="rId41"/>
    <sheet name="Cisauk" sheetId="45" state="hidden" r:id="rId42"/>
    <sheet name="Balikpapan" sheetId="47" state="hidden" r:id="rId43"/>
    <sheet name="PT Aplus 2" sheetId="49" state="hidden" r:id="rId44"/>
    <sheet name="Ciruas PT Kaishun" sheetId="48" state="hidden" r:id="rId45"/>
    <sheet name="Propan" sheetId="50" state="hidden" r:id="rId46"/>
    <sheet name="BLJSKB" sheetId="52" state="hidden" r:id="rId47"/>
    <sheet name="BO Meyoeng" sheetId="51" state="hidden" r:id="rId48"/>
    <sheet name="Wai Hing" sheetId="53" state="hidden" r:id="rId49"/>
    <sheet name="Gheras" sheetId="54" state="hidden" r:id="rId50"/>
    <sheet name="Bulukumba" sheetId="56" state="hidden" r:id="rId51"/>
    <sheet name="Broco" sheetId="58" state="hidden" r:id="rId52"/>
    <sheet name="Probolinggo" sheetId="59" state="hidden" r:id="rId53"/>
    <sheet name="Lotte" sheetId="61" state="hidden" r:id="rId54"/>
    <sheet name="Sulfindo" sheetId="62" state="hidden" r:id="rId55"/>
    <sheet name="Elbeka" sheetId="65" state="hidden" r:id="rId56"/>
    <sheet name="RS Jannah" sheetId="63" state="hidden" r:id="rId57"/>
    <sheet name="Gunung Langit Baja" sheetId="68" state="hidden" r:id="rId58"/>
    <sheet name="Sinarmonas" sheetId="64" state="hidden" r:id="rId59"/>
    <sheet name="Sheet1" sheetId="60" state="hidden" r:id="rId60"/>
    <sheet name="Pasauran" sheetId="70" state="hidden" r:id="rId61"/>
    <sheet name="Bulakan" sheetId="69" state="hidden" r:id="rId62"/>
    <sheet name="Katulisan" sheetId="71" state="hidden" r:id="rId63"/>
    <sheet name="Parigi" sheetId="72" state="hidden" r:id="rId64"/>
    <sheet name="Cikeusal" sheetId="73" state="hidden" r:id="rId65"/>
    <sheet name="Sukaraja" sheetId="75" state="hidden" r:id="rId66"/>
    <sheet name="Cimaung" sheetId="76" state="hidden" r:id="rId67"/>
    <sheet name="YBM CILAYANG" sheetId="80" state="hidden" r:id="rId68"/>
    <sheet name="Pancalaksana" sheetId="82" state="hidden" r:id="rId69"/>
    <sheet name="Tinggar" sheetId="84" state="hidden" r:id="rId70"/>
    <sheet name="PT ULI" sheetId="86" state="hidden" r:id="rId71"/>
    <sheet name="Cipete" sheetId="88" state="hidden" r:id="rId72"/>
    <sheet name="Kamanisan" sheetId="87" state="hidden" r:id="rId73"/>
    <sheet name="sukawana curug" sheetId="90" state="hidden" r:id="rId74"/>
    <sheet name="sukawana serang" sheetId="89" state="hidden" r:id="rId75"/>
    <sheet name="BDX Titik 1" sheetId="57" state="hidden" r:id="rId76"/>
    <sheet name="Xiangyi" sheetId="66" state="hidden" r:id="rId77"/>
    <sheet name="Tanggamus" sheetId="67" state="hidden" r:id="rId78"/>
    <sheet name="Tanjungsari" sheetId="32" state="hidden" r:id="rId79"/>
    <sheet name="Karangsuraga" sheetId="77" state="hidden" r:id="rId80"/>
    <sheet name="Desa Puser" sheetId="93" state="hidden" r:id="rId81"/>
    <sheet name="Angsana" sheetId="74" state="hidden" r:id="rId82"/>
    <sheet name="Duta Realtindo SB 1" sheetId="78" state="hidden" r:id="rId83"/>
    <sheet name="Cikolelet 1" sheetId="24" state="hidden" r:id="rId84"/>
    <sheet name="cikolelet 2" sheetId="79" state="hidden" r:id="rId85"/>
    <sheet name="Desa Koncang" sheetId="81" state="hidden" r:id="rId86"/>
    <sheet name="Sukalaksana" sheetId="83" state="hidden" r:id="rId87"/>
    <sheet name="Pasir Mae 2" sheetId="95" state="hidden" r:id="rId88"/>
    <sheet name="Pasir Mae 1" sheetId="91" state="hidden" r:id="rId89"/>
    <sheet name="Pasie Mae 1 Civil" sheetId="115" state="hidden" r:id="rId90"/>
    <sheet name="Desa Puser 2" sheetId="96" state="hidden" r:id="rId91"/>
    <sheet name="Duta Realtindo 2" sheetId="97" state="hidden" r:id="rId92"/>
    <sheet name="Agincourt" sheetId="104" state="hidden" r:id="rId93"/>
    <sheet name="sobang" sheetId="105" state="hidden" r:id="rId94"/>
    <sheet name="depok" sheetId="106" state="hidden" r:id="rId95"/>
    <sheet name="citasuk" sheetId="107" state="hidden" r:id="rId96"/>
    <sheet name="jemla" sheetId="108" state="hidden" r:id="rId97"/>
    <sheet name="PT. CEP" sheetId="110" state="hidden" r:id="rId98"/>
    <sheet name="PT LAI" sheetId="117" state="hidden" r:id="rId99"/>
    <sheet name="Panongan" sheetId="120" state="hidden" r:id="rId100"/>
    <sheet name=" PT.SYL" sheetId="123" state="hidden" r:id="rId101"/>
    <sheet name="PT PSBS" sheetId="118" state="hidden" r:id="rId102"/>
    <sheet name="PT Inti Pesona" sheetId="122" state="hidden" r:id="rId103"/>
    <sheet name="PDAM Malang" sheetId="119" state="hidden" r:id="rId104"/>
    <sheet name="Kios PDLG" sheetId="121" state="hidden" r:id="rId105"/>
    <sheet name="PT DIFAN" sheetId="124" state="hidden" r:id="rId106"/>
    <sheet name="DESA DOMAS" sheetId="111" state="hidden" r:id="rId107"/>
    <sheet name="SSO" sheetId="112" state="hidden" r:id="rId108"/>
    <sheet name="SCBD" sheetId="113" state="hidden" r:id="rId109"/>
    <sheet name="Calincing(cemplang)" sheetId="116" state="hidden" r:id="rId110"/>
    <sheet name="rsud cianjur" sheetId="114" state="hidden" r:id="rId111"/>
    <sheet name="BDX" sheetId="109" state="hidden" r:id="rId112"/>
    <sheet name="Sayar 2" sheetId="92" state="hidden" r:id="rId113"/>
    <sheet name="GSI" sheetId="94" state="hidden" r:id="rId114"/>
    <sheet name="wanayasa" sheetId="98" state="hidden" r:id="rId115"/>
    <sheet name="sukacai" sheetId="99" state="hidden" r:id="rId116"/>
    <sheet name="cullet" sheetId="100" state="hidden" r:id="rId117"/>
    <sheet name="RS Hermina Ciruas" sheetId="101" state="hidden" r:id="rId118"/>
    <sheet name="Bukit Sinyonya" sheetId="102" state="hidden" r:id="rId119"/>
    <sheet name="Neglasari" sheetId="103" state="hidden" r:id="rId120"/>
    <sheet name="K Ayam Mnjl" sheetId="125" state="hidden" r:id="rId121"/>
    <sheet name="SPAM Kel.Sukawana " sheetId="126" state="hidden" r:id="rId122"/>
    <sheet name="SPAM Kel.Tinggar" sheetId="127" state="hidden" r:id="rId123"/>
    <sheet name="SPAM Curug Manis" sheetId="128" state="hidden" r:id="rId124"/>
    <sheet name="jemla (2)" sheetId="131" state="hidden" r:id="rId125"/>
    <sheet name="Agincourt (2)" sheetId="129" state="hidden" r:id="rId126"/>
    <sheet name="PT. CEP (2)" sheetId="130" r:id="rId127"/>
    <sheet name="PDAM Malang (2)" sheetId="132" state="hidden" r:id="rId128"/>
    <sheet name="Pasie Mae 1 Civil (2)" sheetId="133" state="hidden" r:id="rId129"/>
    <sheet name="PT. SCNP" sheetId="134" state="hidden" r:id="rId130"/>
    <sheet name="Kandang Kmbg Smntra" sheetId="135" state="hidden" r:id="rId131"/>
    <sheet name="Civil Makam Brgn Syamun" sheetId="136" state="hidden" r:id="rId132"/>
    <sheet name="RS BUN" sheetId="138" r:id="rId133"/>
    <sheet name="PT. JAPFA" sheetId="160" r:id="rId134"/>
    <sheet name="Bendung" sheetId="85" state="hidden" r:id="rId135"/>
    <sheet name="Sayar AMDK H Agus" sheetId="139" state="hidden" r:id="rId136"/>
    <sheet name="Cihara" sheetId="140" state="hidden" r:id="rId137"/>
    <sheet name="Bojonegara" sheetId="141" state="hidden" r:id="rId138"/>
    <sheet name="Karoya Sajira YBM" sheetId="142" state="hidden" r:id="rId139"/>
    <sheet name="Buyut Mekar YBM" sheetId="144" r:id="rId140"/>
    <sheet name="PKS Ayau Bjg" sheetId="145" state="hidden" r:id="rId141"/>
    <sheet name="Sukabumi" sheetId="148" r:id="rId142"/>
    <sheet name="Caringin" sheetId="149" r:id="rId143"/>
    <sheet name="PT. Cosmax" sheetId="150" r:id="rId144"/>
    <sheet name="Ciomas" sheetId="151" r:id="rId145"/>
    <sheet name="cigeulis jendi" sheetId="154" r:id="rId146"/>
    <sheet name="YBM kabayan jaman" sheetId="155" r:id="rId147"/>
    <sheet name="PT SKI" sheetId="156" r:id="rId148"/>
    <sheet name="Cibarual" sheetId="157" r:id="rId149"/>
    <sheet name="Cibaliung" sheetId="158" r:id="rId150"/>
    <sheet name="Pasir Kadu" sheetId="159" r:id="rId151"/>
    <sheet name="Paraklima" sheetId="161" r:id="rId152"/>
    <sheet name="Sheet2" sheetId="147" r:id="rId153"/>
    <sheet name="Tambahan Pekerjaan" sheetId="13" r:id="rId154"/>
  </sheets>
  <definedNames>
    <definedName name="_xlnm._FilterDatabase" localSheetId="0" hidden="1">RIG!$A$1:$G$38</definedName>
    <definedName name="_xlnm._FilterDatabase" localSheetId="54" hidden="1">Sulfindo!$B$4:$G$55</definedName>
    <definedName name="_xlnm._FilterDatabase" localSheetId="2" hidden="1">'Team Lapangan'!$A$2:$AN$93</definedName>
    <definedName name="_xlnm._FilterDatabase" localSheetId="3" hidden="1">'Team OG'!$A$1:$K$22</definedName>
    <definedName name="_xlnm._FilterDatabase" localSheetId="5" hidden="1">'Wonokoyo Cikande'!$A$4:$G$127</definedName>
    <definedName name="_xlnm.Print_Area" localSheetId="8">Cemplang!$A$1:$E$190</definedName>
    <definedName name="_xlnm.Print_Area" localSheetId="84">'cikolelet 2'!$A$1:$C$55</definedName>
    <definedName name="_xlnm.Print_Area" localSheetId="78">Tanjungsari!$A$1:$E$172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2" i="148" l="1"/>
  <c r="F53" i="148"/>
  <c r="F54" i="148"/>
  <c r="F55" i="148"/>
  <c r="F56" i="148"/>
  <c r="F57" i="148"/>
  <c r="F58" i="148"/>
  <c r="F59" i="148"/>
  <c r="F60" i="148"/>
  <c r="F61" i="148"/>
  <c r="F62" i="148"/>
  <c r="F63" i="148"/>
  <c r="F64" i="148"/>
  <c r="F65" i="148"/>
  <c r="F66" i="148"/>
  <c r="F67" i="148"/>
  <c r="F68" i="148"/>
  <c r="F37" i="149"/>
  <c r="F38" i="149"/>
  <c r="F39" i="149"/>
  <c r="F40" i="149"/>
  <c r="F41" i="149"/>
  <c r="F42" i="149"/>
  <c r="F43" i="149"/>
  <c r="F44" i="149"/>
  <c r="F45" i="149"/>
  <c r="F46" i="149"/>
  <c r="F47" i="149"/>
  <c r="F48" i="149"/>
  <c r="F49" i="149"/>
  <c r="F50" i="149"/>
  <c r="F51" i="149"/>
  <c r="F22" i="161"/>
  <c r="F21" i="161"/>
  <c r="F20" i="161"/>
  <c r="F19" i="161"/>
  <c r="F18" i="161"/>
  <c r="F17" i="161"/>
  <c r="F16" i="161"/>
  <c r="F15" i="161"/>
  <c r="F14" i="161"/>
  <c r="F13" i="161"/>
  <c r="F12" i="161"/>
  <c r="F11" i="161"/>
  <c r="F10" i="161"/>
  <c r="F9" i="161"/>
  <c r="F8" i="161"/>
  <c r="F5" i="161"/>
  <c r="F6" i="160" l="1"/>
  <c r="F7" i="160"/>
  <c r="F8" i="160"/>
  <c r="F9" i="160"/>
  <c r="F10" i="160"/>
  <c r="F11" i="160"/>
  <c r="F12" i="160"/>
  <c r="F13" i="160"/>
  <c r="F14" i="160"/>
  <c r="F15" i="160"/>
  <c r="F16" i="160"/>
  <c r="F17" i="160"/>
  <c r="F18" i="160"/>
  <c r="F19" i="160"/>
  <c r="F20" i="160"/>
  <c r="F21" i="160"/>
  <c r="F22" i="160"/>
  <c r="F23" i="160"/>
  <c r="F5" i="160" l="1"/>
  <c r="F22" i="159" l="1"/>
  <c r="F21" i="159"/>
  <c r="F20" i="159"/>
  <c r="F19" i="159"/>
  <c r="F18" i="159"/>
  <c r="F17" i="159"/>
  <c r="F16" i="159"/>
  <c r="F15" i="159"/>
  <c r="F14" i="159"/>
  <c r="F13" i="159"/>
  <c r="F12" i="159"/>
  <c r="F11" i="159"/>
  <c r="F10" i="159"/>
  <c r="F9" i="159"/>
  <c r="F8" i="159"/>
  <c r="F5" i="159"/>
  <c r="F22" i="158"/>
  <c r="F21" i="158"/>
  <c r="F20" i="158"/>
  <c r="F19" i="158"/>
  <c r="F18" i="158"/>
  <c r="F17" i="158"/>
  <c r="F16" i="158"/>
  <c r="F15" i="158"/>
  <c r="F14" i="158"/>
  <c r="F13" i="158"/>
  <c r="F12" i="158"/>
  <c r="F11" i="158"/>
  <c r="F10" i="158"/>
  <c r="F9" i="158"/>
  <c r="F8" i="158"/>
  <c r="F5" i="158"/>
  <c r="F22" i="157"/>
  <c r="F21" i="157"/>
  <c r="F20" i="157"/>
  <c r="F19" i="157"/>
  <c r="F18" i="157"/>
  <c r="F17" i="157"/>
  <c r="F16" i="157"/>
  <c r="F15" i="157"/>
  <c r="F14" i="157"/>
  <c r="F13" i="157"/>
  <c r="F12" i="157"/>
  <c r="F11" i="157"/>
  <c r="F10" i="157"/>
  <c r="F9" i="157"/>
  <c r="F8" i="157"/>
  <c r="F5" i="157"/>
  <c r="F22" i="156"/>
  <c r="F21" i="156"/>
  <c r="F20" i="156"/>
  <c r="F19" i="156"/>
  <c r="F18" i="156"/>
  <c r="F17" i="156"/>
  <c r="F16" i="156"/>
  <c r="F15" i="156"/>
  <c r="F14" i="156"/>
  <c r="F13" i="156"/>
  <c r="F12" i="156"/>
  <c r="F11" i="156"/>
  <c r="F10" i="156"/>
  <c r="F9" i="156"/>
  <c r="F8" i="156"/>
  <c r="F5" i="156"/>
  <c r="F9" i="155" l="1"/>
  <c r="F10" i="155"/>
  <c r="F11" i="155"/>
  <c r="F12" i="155"/>
  <c r="F13" i="155"/>
  <c r="F14" i="155"/>
  <c r="F15" i="155"/>
  <c r="F16" i="155"/>
  <c r="F17" i="155"/>
  <c r="F18" i="155"/>
  <c r="F19" i="155"/>
  <c r="F20" i="155"/>
  <c r="F21" i="155"/>
  <c r="F22" i="155"/>
  <c r="F8" i="155"/>
  <c r="F125" i="138"/>
  <c r="F126" i="138"/>
  <c r="F127" i="138"/>
  <c r="F128" i="138"/>
  <c r="F129" i="138"/>
  <c r="F130" i="138"/>
  <c r="F131" i="138"/>
  <c r="F132" i="138"/>
  <c r="F133" i="138"/>
  <c r="F134" i="138"/>
  <c r="F135" i="138"/>
  <c r="F136" i="138"/>
  <c r="F137" i="138"/>
  <c r="F138" i="138"/>
  <c r="F139" i="138"/>
  <c r="F140" i="138"/>
  <c r="F141" i="138"/>
  <c r="F142" i="138"/>
  <c r="F143" i="138"/>
  <c r="F144" i="138"/>
  <c r="F145" i="138"/>
  <c r="F146" i="138"/>
  <c r="F147" i="138"/>
  <c r="F148" i="138"/>
  <c r="F149" i="138"/>
  <c r="F124" i="138"/>
  <c r="F5" i="155"/>
  <c r="F5" i="154"/>
  <c r="F41" i="148"/>
  <c r="F42" i="148"/>
  <c r="F43" i="148"/>
  <c r="F44" i="148"/>
  <c r="F45" i="148"/>
  <c r="F46" i="148"/>
  <c r="F47" i="148"/>
  <c r="F48" i="148"/>
  <c r="F49" i="148"/>
  <c r="F50" i="148"/>
  <c r="F51" i="148"/>
  <c r="I13" i="153"/>
  <c r="F37" i="148"/>
  <c r="F38" i="148"/>
  <c r="F39" i="148"/>
  <c r="F40" i="148"/>
  <c r="I28" i="152"/>
  <c r="J17" i="152"/>
  <c r="I17" i="152"/>
  <c r="K17" i="152" s="1"/>
  <c r="F36" i="151"/>
  <c r="F35" i="151"/>
  <c r="F34" i="151"/>
  <c r="F33" i="151"/>
  <c r="F32" i="151"/>
  <c r="F31" i="151"/>
  <c r="F30" i="151"/>
  <c r="F29" i="151"/>
  <c r="F28" i="151"/>
  <c r="F27" i="151"/>
  <c r="F26" i="151"/>
  <c r="F25" i="151"/>
  <c r="F24" i="151"/>
  <c r="F23" i="151"/>
  <c r="F22" i="151"/>
  <c r="F21" i="151"/>
  <c r="F20" i="151"/>
  <c r="F19" i="151"/>
  <c r="F18" i="151"/>
  <c r="F17" i="151"/>
  <c r="F16" i="151"/>
  <c r="F15" i="151"/>
  <c r="F14" i="151"/>
  <c r="F13" i="151"/>
  <c r="F12" i="151"/>
  <c r="F11" i="151"/>
  <c r="F10" i="151"/>
  <c r="F9" i="151"/>
  <c r="F8" i="151"/>
  <c r="F7" i="151"/>
  <c r="F6" i="151"/>
  <c r="F5" i="151"/>
  <c r="F36" i="150"/>
  <c r="F35" i="150"/>
  <c r="F34" i="150"/>
  <c r="F33" i="150"/>
  <c r="F32" i="150"/>
  <c r="F31" i="150"/>
  <c r="F30" i="150"/>
  <c r="F29" i="150"/>
  <c r="F28" i="150"/>
  <c r="F27" i="150"/>
  <c r="F26" i="150"/>
  <c r="F25" i="150"/>
  <c r="F24" i="150"/>
  <c r="F23" i="150"/>
  <c r="F22" i="150"/>
  <c r="F21" i="150"/>
  <c r="F20" i="150"/>
  <c r="F19" i="150"/>
  <c r="F18" i="150"/>
  <c r="F17" i="150"/>
  <c r="F16" i="150"/>
  <c r="F15" i="150"/>
  <c r="F14" i="150"/>
  <c r="F13" i="150"/>
  <c r="F12" i="150"/>
  <c r="F11" i="150"/>
  <c r="F10" i="150"/>
  <c r="F9" i="150"/>
  <c r="F8" i="150"/>
  <c r="F7" i="150"/>
  <c r="F6" i="150"/>
  <c r="F5" i="150"/>
  <c r="F5" i="149"/>
  <c r="F36" i="149"/>
  <c r="F35" i="149"/>
  <c r="F34" i="149"/>
  <c r="F33" i="149"/>
  <c r="F32" i="149"/>
  <c r="F31" i="149"/>
  <c r="F30" i="149"/>
  <c r="F29" i="149"/>
  <c r="F28" i="149"/>
  <c r="F27" i="149"/>
  <c r="F26" i="149"/>
  <c r="F25" i="149"/>
  <c r="F24" i="149"/>
  <c r="F23" i="149"/>
  <c r="F22" i="149"/>
  <c r="F21" i="149"/>
  <c r="F20" i="149"/>
  <c r="F19" i="149"/>
  <c r="F18" i="149"/>
  <c r="F17" i="149"/>
  <c r="F16" i="149"/>
  <c r="F15" i="149"/>
  <c r="F14" i="149"/>
  <c r="F13" i="149"/>
  <c r="F12" i="149"/>
  <c r="F11" i="149"/>
  <c r="F10" i="149"/>
  <c r="F9" i="149"/>
  <c r="F8" i="149"/>
  <c r="F7" i="149"/>
  <c r="F6" i="149"/>
  <c r="F36" i="148"/>
  <c r="F35" i="148"/>
  <c r="F34" i="148"/>
  <c r="F33" i="148"/>
  <c r="F32" i="148"/>
  <c r="F31" i="148"/>
  <c r="F30" i="148"/>
  <c r="F29" i="148"/>
  <c r="F28" i="148"/>
  <c r="F27" i="148"/>
  <c r="F26" i="148"/>
  <c r="F25" i="148"/>
  <c r="F24" i="148"/>
  <c r="F23" i="148"/>
  <c r="F22" i="148"/>
  <c r="F21" i="148"/>
  <c r="F20" i="148"/>
  <c r="F19" i="148"/>
  <c r="F18" i="148"/>
  <c r="F17" i="148"/>
  <c r="F16" i="148"/>
  <c r="F15" i="148"/>
  <c r="F14" i="148"/>
  <c r="F13" i="148"/>
  <c r="F12" i="148"/>
  <c r="F11" i="148"/>
  <c r="F10" i="148"/>
  <c r="F9" i="148"/>
  <c r="F8" i="148"/>
  <c r="F7" i="148"/>
  <c r="F6" i="148"/>
  <c r="F42" i="144"/>
  <c r="F43" i="144"/>
  <c r="F44" i="144"/>
  <c r="F45" i="144"/>
  <c r="F46" i="144"/>
  <c r="F47" i="144"/>
  <c r="F48" i="144"/>
  <c r="F49" i="144"/>
  <c r="F50" i="144"/>
  <c r="F51" i="144"/>
  <c r="F52" i="144"/>
  <c r="F53" i="144"/>
  <c r="F54" i="144"/>
  <c r="F55" i="144"/>
  <c r="F56" i="144"/>
  <c r="F57" i="144"/>
  <c r="F58" i="144"/>
  <c r="F59" i="144"/>
  <c r="F60" i="144"/>
  <c r="F61" i="144"/>
  <c r="F62" i="144"/>
  <c r="F63" i="144"/>
  <c r="F64" i="144"/>
  <c r="F65" i="144"/>
  <c r="F66" i="144"/>
  <c r="F67" i="144"/>
  <c r="E101" i="134" l="1"/>
  <c r="E102" i="134"/>
  <c r="E103" i="134"/>
  <c r="E104" i="134"/>
  <c r="E105" i="134"/>
  <c r="E106" i="134"/>
  <c r="E107" i="134"/>
  <c r="E108" i="134"/>
  <c r="E109" i="134"/>
  <c r="E110" i="134"/>
  <c r="E111" i="134"/>
  <c r="E112" i="134"/>
  <c r="E100" i="134"/>
  <c r="N2" i="147"/>
  <c r="F60" i="139"/>
  <c r="F61" i="139"/>
  <c r="F62" i="139"/>
  <c r="F63" i="139"/>
  <c r="F64" i="139"/>
  <c r="F65" i="139"/>
  <c r="F66" i="139"/>
  <c r="F67" i="139"/>
  <c r="F68" i="139"/>
  <c r="F69" i="139"/>
  <c r="F70" i="139"/>
  <c r="F71" i="139"/>
  <c r="F54" i="139"/>
  <c r="F55" i="139"/>
  <c r="F56" i="139"/>
  <c r="F57" i="139"/>
  <c r="F58" i="139"/>
  <c r="F59" i="139"/>
  <c r="F36" i="145"/>
  <c r="F35" i="145"/>
  <c r="F34" i="145"/>
  <c r="F33" i="145"/>
  <c r="F32" i="145"/>
  <c r="F31" i="145"/>
  <c r="F30" i="145"/>
  <c r="F29" i="145"/>
  <c r="F28" i="145"/>
  <c r="F27" i="145"/>
  <c r="F26" i="145"/>
  <c r="F25" i="145"/>
  <c r="F24" i="145"/>
  <c r="F23" i="145"/>
  <c r="F22" i="145"/>
  <c r="F21" i="145"/>
  <c r="F20" i="145"/>
  <c r="F19" i="145"/>
  <c r="F18" i="145"/>
  <c r="F17" i="145"/>
  <c r="F16" i="145"/>
  <c r="F15" i="145"/>
  <c r="F14" i="145"/>
  <c r="F13" i="145"/>
  <c r="F12" i="145"/>
  <c r="F11" i="145"/>
  <c r="F10" i="145"/>
  <c r="F9" i="145"/>
  <c r="F8" i="145"/>
  <c r="F7" i="145"/>
  <c r="F6" i="145"/>
  <c r="F41" i="144"/>
  <c r="F40" i="144"/>
  <c r="F39" i="144"/>
  <c r="F38" i="144"/>
  <c r="F37" i="144"/>
  <c r="F36" i="144"/>
  <c r="F35" i="144"/>
  <c r="F34" i="144"/>
  <c r="F33" i="144"/>
  <c r="F32" i="144"/>
  <c r="F31" i="144"/>
  <c r="F30" i="144"/>
  <c r="F29" i="144"/>
  <c r="F28" i="144"/>
  <c r="F27" i="144"/>
  <c r="F26" i="144"/>
  <c r="F25" i="144"/>
  <c r="F24" i="144"/>
  <c r="F23" i="144"/>
  <c r="F22" i="144"/>
  <c r="F21" i="144"/>
  <c r="F20" i="144"/>
  <c r="F19" i="144"/>
  <c r="F18" i="144"/>
  <c r="F17" i="144"/>
  <c r="F16" i="144"/>
  <c r="F15" i="144"/>
  <c r="F14" i="144"/>
  <c r="F13" i="144"/>
  <c r="F12" i="144"/>
  <c r="F11" i="144"/>
  <c r="F10" i="144"/>
  <c r="F9" i="144"/>
  <c r="F8" i="144"/>
  <c r="F7" i="144"/>
  <c r="F6" i="144"/>
  <c r="F5" i="144"/>
  <c r="F5" i="142"/>
  <c r="F6" i="142"/>
  <c r="F7" i="142"/>
  <c r="F8" i="142"/>
  <c r="F9" i="142"/>
  <c r="F10" i="142"/>
  <c r="F11" i="142"/>
  <c r="F12" i="142"/>
  <c r="F13" i="142"/>
  <c r="F14" i="142"/>
  <c r="F15" i="142"/>
  <c r="F16" i="142"/>
  <c r="F17" i="142"/>
  <c r="F18" i="142"/>
  <c r="F19" i="142"/>
  <c r="F20" i="142"/>
  <c r="F21" i="142"/>
  <c r="F22" i="142"/>
  <c r="F23" i="142"/>
  <c r="F24" i="142"/>
  <c r="F25" i="142"/>
  <c r="F26" i="142"/>
  <c r="F27" i="142"/>
  <c r="F28" i="142"/>
  <c r="F29" i="142"/>
  <c r="F30" i="142"/>
  <c r="F31" i="142"/>
  <c r="F32" i="142"/>
  <c r="F33" i="142"/>
  <c r="F34" i="142"/>
  <c r="F35" i="142"/>
  <c r="F36" i="142"/>
  <c r="F37" i="142"/>
  <c r="F38" i="142"/>
  <c r="F39" i="142"/>
  <c r="F40" i="142"/>
  <c r="F41" i="142"/>
  <c r="F35" i="139"/>
  <c r="F36" i="139"/>
  <c r="F37" i="139"/>
  <c r="F38" i="139"/>
  <c r="F39" i="139"/>
  <c r="F40" i="139"/>
  <c r="F41" i="139"/>
  <c r="F42" i="139"/>
  <c r="F43" i="139"/>
  <c r="F44" i="139"/>
  <c r="F45" i="139"/>
  <c r="F46" i="139"/>
  <c r="F47" i="139"/>
  <c r="F48" i="139"/>
  <c r="F49" i="139"/>
  <c r="F50" i="139"/>
  <c r="F51" i="139"/>
  <c r="F52" i="139"/>
  <c r="F53" i="139"/>
  <c r="E67" i="134"/>
  <c r="E68" i="134"/>
  <c r="E69" i="134"/>
  <c r="E70" i="134"/>
  <c r="E71" i="134"/>
  <c r="E72" i="134"/>
  <c r="E73" i="134"/>
  <c r="E74" i="134"/>
  <c r="E75" i="134"/>
  <c r="E76" i="134"/>
  <c r="E77" i="134"/>
  <c r="E78" i="134"/>
  <c r="E79" i="134"/>
  <c r="E80" i="134"/>
  <c r="F219" i="130"/>
  <c r="F220" i="130"/>
  <c r="F221" i="130"/>
  <c r="F222" i="130"/>
  <c r="F223" i="130"/>
  <c r="F224" i="130"/>
  <c r="F225" i="130"/>
  <c r="F226" i="130"/>
  <c r="F227" i="130"/>
  <c r="F228" i="130"/>
  <c r="E66" i="134"/>
  <c r="E32" i="134"/>
  <c r="E33" i="134"/>
  <c r="E34" i="134"/>
  <c r="E35" i="134"/>
  <c r="E36" i="134"/>
  <c r="E37" i="134"/>
  <c r="E38" i="134"/>
  <c r="E39" i="134"/>
  <c r="E40" i="134"/>
  <c r="E41" i="134"/>
  <c r="E42" i="134"/>
  <c r="E43" i="134"/>
  <c r="E44" i="134"/>
  <c r="E45" i="134"/>
  <c r="E46" i="134"/>
  <c r="E47" i="134"/>
  <c r="E48" i="134"/>
  <c r="E49" i="134"/>
  <c r="E50" i="134"/>
  <c r="E51" i="134"/>
  <c r="E52" i="134"/>
  <c r="E53" i="134"/>
  <c r="E54" i="134"/>
  <c r="E55" i="134"/>
  <c r="E56" i="134"/>
  <c r="E57" i="134"/>
  <c r="E58" i="134"/>
  <c r="E59" i="134"/>
  <c r="E60" i="134"/>
  <c r="E61" i="134"/>
  <c r="E62" i="134"/>
  <c r="E63" i="134"/>
  <c r="E64" i="134"/>
  <c r="E65" i="134"/>
  <c r="E23" i="134"/>
  <c r="E24" i="134"/>
  <c r="E25" i="134"/>
  <c r="E26" i="134"/>
  <c r="E27" i="134"/>
  <c r="E28" i="134"/>
  <c r="E29" i="134"/>
  <c r="E30" i="134"/>
  <c r="E31" i="134"/>
  <c r="H25" i="138"/>
  <c r="F216" i="130"/>
  <c r="F217" i="130"/>
  <c r="F218" i="130"/>
  <c r="F24" i="141"/>
  <c r="F25" i="141"/>
  <c r="F26" i="141"/>
  <c r="F27" i="141"/>
  <c r="F28" i="141"/>
  <c r="F29" i="141"/>
  <c r="F30" i="141"/>
  <c r="F31" i="141"/>
  <c r="F32" i="141"/>
  <c r="F33" i="141"/>
  <c r="F23" i="141"/>
  <c r="F20" i="140"/>
  <c r="F21" i="140"/>
  <c r="F22" i="140"/>
  <c r="F23" i="140"/>
  <c r="F24" i="140"/>
  <c r="F25" i="140"/>
  <c r="F26" i="140"/>
  <c r="F27" i="140"/>
  <c r="F28" i="140"/>
  <c r="F29" i="140"/>
  <c r="F30" i="140"/>
  <c r="F25" i="139"/>
  <c r="F26" i="139"/>
  <c r="F27" i="139"/>
  <c r="F28" i="139"/>
  <c r="F29" i="139"/>
  <c r="F30" i="139"/>
  <c r="F31" i="139"/>
  <c r="F32" i="139"/>
  <c r="F33" i="139"/>
  <c r="F34" i="139"/>
  <c r="F245" i="131"/>
  <c r="F246" i="131"/>
  <c r="F247" i="131"/>
  <c r="F248" i="131"/>
  <c r="F249" i="131"/>
  <c r="F250" i="131"/>
  <c r="F251" i="131"/>
  <c r="F252" i="131"/>
  <c r="F253" i="131"/>
  <c r="F254" i="131"/>
  <c r="F255" i="131"/>
  <c r="F20" i="139"/>
  <c r="F21" i="139"/>
  <c r="F22" i="139"/>
  <c r="F23" i="139"/>
  <c r="F24" i="139"/>
  <c r="F19" i="139"/>
  <c r="F204" i="130"/>
  <c r="F205" i="130"/>
  <c r="F206" i="130"/>
  <c r="F207" i="130"/>
  <c r="F208" i="130"/>
  <c r="F209" i="130"/>
  <c r="F210" i="130"/>
  <c r="F211" i="130"/>
  <c r="F212" i="130"/>
  <c r="F213" i="130"/>
  <c r="F214" i="130"/>
  <c r="F215" i="130"/>
  <c r="F203" i="130"/>
  <c r="F10" i="140"/>
  <c r="F11" i="140"/>
  <c r="F12" i="140"/>
  <c r="F13" i="140"/>
  <c r="F14" i="140"/>
  <c r="F15" i="140"/>
  <c r="F16" i="140"/>
  <c r="F17" i="140"/>
  <c r="F18" i="140"/>
  <c r="F19" i="140"/>
  <c r="F9" i="140"/>
  <c r="F227" i="131"/>
  <c r="F228" i="131"/>
  <c r="F229" i="131"/>
  <c r="F230" i="131"/>
  <c r="F231" i="131"/>
  <c r="F232" i="131"/>
  <c r="F233" i="131"/>
  <c r="F234" i="131"/>
  <c r="F235" i="131"/>
  <c r="F236" i="131"/>
  <c r="F237" i="131"/>
  <c r="F238" i="131"/>
  <c r="F239" i="131"/>
  <c r="F240" i="131"/>
  <c r="F241" i="131"/>
  <c r="F242" i="131"/>
  <c r="F243" i="131"/>
  <c r="F244" i="131"/>
  <c r="F226" i="131"/>
  <c r="F225" i="131"/>
  <c r="F10" i="138" l="1"/>
  <c r="F11" i="138"/>
  <c r="F12" i="138"/>
  <c r="F13" i="138"/>
  <c r="F14" i="138"/>
  <c r="F15" i="138"/>
  <c r="F16" i="138"/>
  <c r="F17" i="138"/>
  <c r="F18" i="138"/>
  <c r="F19" i="138"/>
  <c r="F20" i="138"/>
  <c r="F21" i="138"/>
  <c r="F22" i="138"/>
  <c r="F9" i="138"/>
  <c r="G52" i="125"/>
  <c r="G50" i="125"/>
  <c r="E17" i="135"/>
  <c r="E18" i="135" s="1"/>
  <c r="E19" i="135" s="1"/>
  <c r="E21" i="135" s="1"/>
  <c r="E22" i="135" s="1"/>
  <c r="E23" i="135" s="1"/>
  <c r="E24" i="135" s="1"/>
  <c r="E25" i="135" s="1"/>
  <c r="E26" i="135" s="1"/>
  <c r="E16" i="135"/>
  <c r="F11" i="123"/>
  <c r="E45" i="125"/>
  <c r="E46" i="125"/>
  <c r="E47" i="125"/>
  <c r="E48" i="125"/>
  <c r="E49" i="125"/>
  <c r="E50" i="125"/>
  <c r="E51" i="125"/>
  <c r="E52" i="125"/>
  <c r="E53" i="125"/>
  <c r="E54" i="125"/>
  <c r="E55" i="125"/>
  <c r="E56" i="125"/>
  <c r="E57" i="125"/>
  <c r="E26" i="136"/>
  <c r="E25" i="136"/>
  <c r="E24" i="136"/>
  <c r="E23" i="136"/>
  <c r="E22" i="136"/>
  <c r="E21" i="136"/>
  <c r="E20" i="136"/>
  <c r="E19" i="136"/>
  <c r="E18" i="136"/>
  <c r="E17" i="136"/>
  <c r="E16" i="136"/>
  <c r="E15" i="136"/>
  <c r="E14" i="136"/>
  <c r="E13" i="136"/>
  <c r="E12" i="136"/>
  <c r="E11" i="136"/>
  <c r="E10" i="136"/>
  <c r="E9" i="136"/>
  <c r="E8" i="136"/>
  <c r="F172" i="130"/>
  <c r="F173" i="130"/>
  <c r="F174" i="130"/>
  <c r="F175" i="130"/>
  <c r="F176" i="130"/>
  <c r="F177" i="130"/>
  <c r="F178" i="130"/>
  <c r="F179" i="130"/>
  <c r="E23" i="127" l="1"/>
  <c r="E24" i="127"/>
  <c r="E25" i="127"/>
  <c r="E26" i="127"/>
  <c r="E27" i="127"/>
  <c r="E28" i="127"/>
  <c r="E29" i="127"/>
  <c r="E30" i="127"/>
  <c r="E31" i="127"/>
  <c r="E32" i="127"/>
  <c r="E33" i="127"/>
  <c r="E34" i="127"/>
  <c r="I38" i="123"/>
  <c r="F34" i="123"/>
  <c r="I36" i="123"/>
  <c r="F205" i="131"/>
  <c r="F206" i="131"/>
  <c r="F207" i="131"/>
  <c r="F208" i="131"/>
  <c r="F209" i="131"/>
  <c r="F210" i="131"/>
  <c r="F211" i="131"/>
  <c r="F212" i="131"/>
  <c r="F213" i="131"/>
  <c r="F214" i="131"/>
  <c r="F215" i="131"/>
  <c r="F216" i="131"/>
  <c r="F217" i="131"/>
  <c r="F218" i="131"/>
  <c r="F219" i="131"/>
  <c r="F220" i="131"/>
  <c r="F221" i="131"/>
  <c r="F222" i="131"/>
  <c r="F223" i="131"/>
  <c r="F224" i="131"/>
  <c r="F199" i="131"/>
  <c r="F200" i="131"/>
  <c r="F201" i="131"/>
  <c r="F202" i="131"/>
  <c r="F203" i="131"/>
  <c r="F204" i="131"/>
  <c r="F38" i="123"/>
  <c r="F39" i="123"/>
  <c r="F40" i="123"/>
  <c r="F41" i="123"/>
  <c r="F42" i="123"/>
  <c r="F43" i="123"/>
  <c r="F44" i="123"/>
  <c r="F45" i="123"/>
  <c r="F46" i="123"/>
  <c r="F47" i="123"/>
  <c r="F48" i="123"/>
  <c r="F49" i="123"/>
  <c r="F28" i="123"/>
  <c r="F29" i="123"/>
  <c r="F30" i="123"/>
  <c r="F31" i="123"/>
  <c r="F32" i="123"/>
  <c r="F33" i="123"/>
  <c r="F35" i="123"/>
  <c r="F36" i="123"/>
  <c r="F37" i="123"/>
  <c r="F198" i="131"/>
  <c r="F197" i="131"/>
  <c r="F196" i="131"/>
  <c r="F195" i="131"/>
  <c r="F194" i="131"/>
  <c r="E6" i="134"/>
  <c r="E7" i="134"/>
  <c r="E8" i="134"/>
  <c r="E9" i="134"/>
  <c r="E10" i="134"/>
  <c r="E11" i="134"/>
  <c r="E12" i="134"/>
  <c r="E13" i="134"/>
  <c r="E14" i="134"/>
  <c r="E15" i="134"/>
  <c r="E16" i="134"/>
  <c r="E17" i="134"/>
  <c r="E18" i="134"/>
  <c r="E19" i="134"/>
  <c r="E5" i="134"/>
  <c r="E4" i="134"/>
  <c r="I154" i="130"/>
  <c r="I152" i="130"/>
  <c r="F193" i="131"/>
  <c r="F192" i="131"/>
  <c r="F191" i="131"/>
  <c r="F190" i="131"/>
  <c r="F189" i="131"/>
  <c r="F188" i="131"/>
  <c r="F187" i="131"/>
  <c r="F186" i="131"/>
  <c r="F185" i="131"/>
  <c r="F184" i="131"/>
  <c r="F183" i="131"/>
  <c r="E22" i="134"/>
  <c r="E21" i="134"/>
  <c r="E20" i="134"/>
  <c r="E8" i="127"/>
  <c r="E9" i="127"/>
  <c r="E10" i="127"/>
  <c r="E11" i="127"/>
  <c r="E12" i="127"/>
  <c r="E13" i="127"/>
  <c r="E14" i="127"/>
  <c r="E15" i="127"/>
  <c r="E16" i="127"/>
  <c r="E17" i="127"/>
  <c r="E18" i="127"/>
  <c r="E19" i="127"/>
  <c r="E20" i="127"/>
  <c r="E21" i="127"/>
  <c r="E22" i="127"/>
  <c r="E7" i="127"/>
  <c r="E10" i="125"/>
  <c r="E11" i="125"/>
  <c r="E12" i="125"/>
  <c r="E13" i="125"/>
  <c r="E14" i="125"/>
  <c r="E15" i="125"/>
  <c r="E16" i="125"/>
  <c r="E17" i="125"/>
  <c r="E18" i="125"/>
  <c r="E19" i="125"/>
  <c r="E20" i="125"/>
  <c r="E21" i="125"/>
  <c r="E22" i="125"/>
  <c r="E23" i="125"/>
  <c r="E24" i="125"/>
  <c r="E25" i="125"/>
  <c r="E26" i="125"/>
  <c r="E27" i="125"/>
  <c r="E28" i="125"/>
  <c r="E29" i="125"/>
  <c r="E30" i="125"/>
  <c r="E31" i="125"/>
  <c r="E32" i="125"/>
  <c r="E33" i="125"/>
  <c r="E34" i="125"/>
  <c r="E35" i="125"/>
  <c r="E36" i="125"/>
  <c r="E37" i="125"/>
  <c r="E38" i="125"/>
  <c r="E39" i="125"/>
  <c r="E40" i="125"/>
  <c r="E41" i="125"/>
  <c r="E42" i="125"/>
  <c r="E43" i="125"/>
  <c r="E9" i="125"/>
  <c r="E44" i="125"/>
  <c r="E8" i="125"/>
  <c r="F211" i="129"/>
  <c r="F166" i="130"/>
  <c r="F167" i="130"/>
  <c r="F168" i="130"/>
  <c r="F169" i="130"/>
  <c r="F170" i="130"/>
  <c r="F171" i="130"/>
  <c r="F157" i="130"/>
  <c r="F158" i="130"/>
  <c r="F159" i="130"/>
  <c r="F160" i="130"/>
  <c r="F161" i="130"/>
  <c r="F162" i="130"/>
  <c r="F163" i="130"/>
  <c r="F164" i="130"/>
  <c r="F165" i="130"/>
  <c r="F123" i="130"/>
  <c r="F124" i="130"/>
  <c r="F125" i="130"/>
  <c r="F126" i="130"/>
  <c r="F127" i="130"/>
  <c r="F128" i="130"/>
  <c r="F129" i="130"/>
  <c r="F130" i="130"/>
  <c r="F131" i="130"/>
  <c r="F132" i="130"/>
  <c r="F133" i="130"/>
  <c r="F134" i="130"/>
  <c r="F135" i="130"/>
  <c r="F136" i="130"/>
  <c r="F137" i="130"/>
  <c r="F138" i="130"/>
  <c r="F139" i="130"/>
  <c r="F140" i="130"/>
  <c r="F141" i="130"/>
  <c r="F142" i="130"/>
  <c r="F143" i="130"/>
  <c r="F144" i="130"/>
  <c r="F145" i="130"/>
  <c r="F146" i="130"/>
  <c r="F147" i="130"/>
  <c r="F148" i="130"/>
  <c r="F149" i="130"/>
  <c r="F150" i="130"/>
  <c r="F151" i="130"/>
  <c r="F152" i="130"/>
  <c r="F153" i="130"/>
  <c r="F154" i="130"/>
  <c r="F155" i="130"/>
  <c r="F156" i="130"/>
  <c r="E6" i="128"/>
  <c r="E7" i="128"/>
  <c r="E8" i="128"/>
  <c r="E9" i="128"/>
  <c r="E10" i="128"/>
  <c r="E11" i="128"/>
  <c r="E12" i="128"/>
  <c r="E13" i="128"/>
  <c r="E14" i="128"/>
  <c r="E15" i="128"/>
  <c r="E16" i="128"/>
  <c r="E17" i="128"/>
  <c r="E18" i="128"/>
  <c r="E19" i="128"/>
  <c r="J3" i="128"/>
  <c r="J4" i="128" s="1"/>
  <c r="C5" i="128"/>
  <c r="E5" i="128"/>
  <c r="E4" i="128"/>
  <c r="E7" i="126"/>
  <c r="E8" i="126"/>
  <c r="E9" i="126"/>
  <c r="E10" i="126"/>
  <c r="E11" i="126"/>
  <c r="E12" i="126"/>
  <c r="E13" i="126"/>
  <c r="E14" i="126"/>
  <c r="E15" i="126"/>
  <c r="E16" i="126"/>
  <c r="E17" i="126"/>
  <c r="E18" i="126"/>
  <c r="E19" i="126"/>
  <c r="E20" i="126"/>
  <c r="E21" i="126"/>
  <c r="E22" i="126"/>
  <c r="E6" i="126"/>
  <c r="E5" i="126"/>
  <c r="D3" i="125"/>
  <c r="D4" i="125"/>
  <c r="D5" i="125" s="1"/>
  <c r="D6" i="125" s="1"/>
  <c r="G155" i="131"/>
  <c r="G154" i="131"/>
  <c r="G153" i="131"/>
  <c r="G152" i="131"/>
  <c r="G151" i="131"/>
  <c r="G150" i="131"/>
  <c r="G149" i="131"/>
  <c r="F145" i="131"/>
  <c r="F144" i="131"/>
  <c r="F143" i="131"/>
  <c r="F142" i="131"/>
  <c r="F141" i="131"/>
  <c r="F140" i="131"/>
  <c r="F139" i="131"/>
  <c r="F138" i="131"/>
  <c r="F137" i="131"/>
  <c r="F136" i="131"/>
  <c r="F135" i="131"/>
  <c r="F134" i="131"/>
  <c r="F133" i="131"/>
  <c r="F132" i="131"/>
  <c r="F131" i="131"/>
  <c r="F130" i="131"/>
  <c r="F129" i="131"/>
  <c r="F128" i="131"/>
  <c r="F127" i="131"/>
  <c r="F126" i="131"/>
  <c r="F125" i="131"/>
  <c r="F124" i="131"/>
  <c r="F123" i="131"/>
  <c r="F122" i="131"/>
  <c r="F121" i="131"/>
  <c r="F120" i="131"/>
  <c r="F119" i="131"/>
  <c r="F118" i="131"/>
  <c r="F117" i="131"/>
  <c r="F116" i="131"/>
  <c r="F115" i="131"/>
  <c r="F114" i="131"/>
  <c r="F113" i="131"/>
  <c r="F112" i="131"/>
  <c r="F111" i="131"/>
  <c r="F110" i="131"/>
  <c r="F109" i="131"/>
  <c r="F108" i="131"/>
  <c r="F107" i="131"/>
  <c r="F106" i="131"/>
  <c r="F105" i="131"/>
  <c r="F104" i="131"/>
  <c r="F103" i="131"/>
  <c r="F102" i="131"/>
  <c r="F101" i="131"/>
  <c r="F100" i="131"/>
  <c r="F99" i="131"/>
  <c r="F98" i="131"/>
  <c r="F97" i="131"/>
  <c r="F96" i="131"/>
  <c r="F95" i="131"/>
  <c r="F94" i="131"/>
  <c r="F93" i="131"/>
  <c r="F92" i="131"/>
  <c r="F91" i="131"/>
  <c r="F90" i="131"/>
  <c r="F89" i="131"/>
  <c r="F88" i="131"/>
  <c r="F87" i="131"/>
  <c r="F86" i="131"/>
  <c r="F85" i="131"/>
  <c r="F84" i="131"/>
  <c r="F83" i="131"/>
  <c r="F82" i="131"/>
  <c r="F81" i="131"/>
  <c r="F80" i="131"/>
  <c r="F79" i="131"/>
  <c r="F78" i="131"/>
  <c r="F77" i="131"/>
  <c r="F76" i="131"/>
  <c r="F75" i="131"/>
  <c r="F74" i="131"/>
  <c r="F73" i="131"/>
  <c r="F72" i="131"/>
  <c r="F71" i="131"/>
  <c r="F70" i="131"/>
  <c r="F69" i="131"/>
  <c r="F68" i="131"/>
  <c r="F67" i="131"/>
  <c r="F66" i="131"/>
  <c r="F65" i="131"/>
  <c r="F64" i="131"/>
  <c r="F63" i="131"/>
  <c r="F62" i="131"/>
  <c r="F61" i="131"/>
  <c r="F60" i="131"/>
  <c r="F59" i="131"/>
  <c r="F58" i="131"/>
  <c r="F57" i="131"/>
  <c r="F56" i="131"/>
  <c r="F55" i="131"/>
  <c r="F54" i="131"/>
  <c r="F53" i="131"/>
  <c r="F52" i="131"/>
  <c r="F51" i="131"/>
  <c r="F50" i="131"/>
  <c r="F49" i="131"/>
  <c r="F48" i="131"/>
  <c r="F47" i="131"/>
  <c r="F46" i="131"/>
  <c r="F45" i="131"/>
  <c r="F44" i="131"/>
  <c r="F43" i="131"/>
  <c r="F42" i="131"/>
  <c r="F41" i="131"/>
  <c r="F40" i="131"/>
  <c r="F39" i="131"/>
  <c r="F38" i="131"/>
  <c r="F37" i="131"/>
  <c r="F36" i="131"/>
  <c r="F35" i="131"/>
  <c r="F34" i="131"/>
  <c r="F33" i="131"/>
  <c r="F32" i="131"/>
  <c r="F31" i="131"/>
  <c r="F30" i="131"/>
  <c r="F29" i="131"/>
  <c r="F28" i="131"/>
  <c r="F27" i="131"/>
  <c r="F26" i="131"/>
  <c r="F25" i="131"/>
  <c r="F24" i="131"/>
  <c r="F23" i="131"/>
  <c r="F22" i="131"/>
  <c r="F21" i="131"/>
  <c r="F20" i="131"/>
  <c r="F19" i="131"/>
  <c r="F18" i="131"/>
  <c r="F17" i="131"/>
  <c r="F16" i="131"/>
  <c r="F15" i="131"/>
  <c r="F14" i="131"/>
  <c r="F122" i="130"/>
  <c r="F121" i="130"/>
  <c r="F120" i="130"/>
  <c r="F119" i="130"/>
  <c r="F103" i="130"/>
  <c r="F102" i="130"/>
  <c r="F101" i="130"/>
  <c r="F100" i="130"/>
  <c r="F99" i="130"/>
  <c r="F98" i="130"/>
  <c r="F97" i="130"/>
  <c r="F96" i="130"/>
  <c r="F95" i="130"/>
  <c r="F94" i="130"/>
  <c r="F93" i="130"/>
  <c r="F92" i="130"/>
  <c r="F91" i="130"/>
  <c r="F90" i="130"/>
  <c r="F89" i="130"/>
  <c r="F88" i="130"/>
  <c r="F87" i="130"/>
  <c r="F86" i="130"/>
  <c r="F85" i="130"/>
  <c r="F84" i="130"/>
  <c r="F83" i="130"/>
  <c r="F82" i="130"/>
  <c r="F81" i="130"/>
  <c r="F80" i="130"/>
  <c r="F79" i="130"/>
  <c r="F78" i="130"/>
  <c r="F77" i="130"/>
  <c r="F56" i="130"/>
  <c r="F55" i="130"/>
  <c r="F54" i="130"/>
  <c r="F53" i="130"/>
  <c r="F52" i="130"/>
  <c r="F51" i="130"/>
  <c r="F50" i="130"/>
  <c r="F49" i="130"/>
  <c r="F48" i="130"/>
  <c r="F47" i="130"/>
  <c r="F46" i="130"/>
  <c r="F45" i="130"/>
  <c r="F44" i="130"/>
  <c r="F43" i="130"/>
  <c r="F42" i="130"/>
  <c r="F41" i="130"/>
  <c r="F40" i="130"/>
  <c r="F39" i="130"/>
  <c r="F38" i="130"/>
  <c r="F37" i="130"/>
  <c r="F36" i="130"/>
  <c r="F35" i="130"/>
  <c r="F34" i="130"/>
  <c r="F33" i="130"/>
  <c r="F32" i="130"/>
  <c r="F31" i="130"/>
  <c r="F30" i="130"/>
  <c r="F29" i="130"/>
  <c r="F28" i="130"/>
  <c r="F27" i="130"/>
  <c r="F26" i="130"/>
  <c r="F25" i="130"/>
  <c r="F24" i="130"/>
  <c r="F23" i="130"/>
  <c r="F22" i="130"/>
  <c r="F21" i="130"/>
  <c r="F20" i="130"/>
  <c r="F19" i="130"/>
  <c r="F18" i="130"/>
  <c r="F17" i="130"/>
  <c r="F16" i="130"/>
  <c r="F15" i="130"/>
  <c r="F14" i="130"/>
  <c r="F13" i="130"/>
  <c r="F12" i="130"/>
  <c r="F11" i="130"/>
  <c r="F10" i="130"/>
  <c r="F9" i="130"/>
  <c r="F8" i="130"/>
  <c r="F7" i="130"/>
  <c r="F6" i="130"/>
  <c r="F5" i="130"/>
  <c r="F210" i="129"/>
  <c r="F209" i="129"/>
  <c r="F208" i="129"/>
  <c r="F207" i="129"/>
  <c r="F206" i="129"/>
  <c r="F205" i="129"/>
  <c r="F204" i="129"/>
  <c r="F203" i="129"/>
  <c r="F202" i="129"/>
  <c r="F201" i="129"/>
  <c r="F200" i="129"/>
  <c r="F199" i="129"/>
  <c r="F198" i="129"/>
  <c r="F197" i="129"/>
  <c r="F196" i="129"/>
  <c r="F195" i="129"/>
  <c r="F194" i="129"/>
  <c r="F193" i="129"/>
  <c r="F192" i="129"/>
  <c r="F191" i="129"/>
  <c r="F190" i="129"/>
  <c r="F189" i="129"/>
  <c r="F188" i="129"/>
  <c r="F187" i="129"/>
  <c r="F186" i="129"/>
  <c r="F185" i="129"/>
  <c r="F184" i="129"/>
  <c r="F183" i="129"/>
  <c r="F182" i="129"/>
  <c r="F181" i="129"/>
  <c r="F180" i="129"/>
  <c r="F179" i="129"/>
  <c r="F178" i="129"/>
  <c r="F177" i="129"/>
  <c r="F176" i="129"/>
  <c r="F175" i="129"/>
  <c r="F174" i="129"/>
  <c r="F173" i="129"/>
  <c r="F172" i="129"/>
  <c r="F171" i="129"/>
  <c r="F170" i="129"/>
  <c r="F169" i="129"/>
  <c r="F168" i="129"/>
  <c r="F167" i="129"/>
  <c r="F166" i="129"/>
  <c r="F165" i="129"/>
  <c r="F164" i="129"/>
  <c r="F163" i="129"/>
  <c r="F162" i="129"/>
  <c r="F161" i="129"/>
  <c r="F160" i="129"/>
  <c r="F159" i="129"/>
  <c r="F158" i="129"/>
  <c r="F157" i="129"/>
  <c r="F156" i="129"/>
  <c r="F155" i="129"/>
  <c r="F154" i="129"/>
  <c r="F153" i="129"/>
  <c r="F152" i="129"/>
  <c r="F151" i="129"/>
  <c r="F150" i="129"/>
  <c r="F149" i="129"/>
  <c r="F148" i="129"/>
  <c r="F147" i="129"/>
  <c r="F146" i="129"/>
  <c r="F145" i="129"/>
  <c r="F144" i="129"/>
  <c r="F143" i="129"/>
  <c r="F142" i="129"/>
  <c r="F141" i="129"/>
  <c r="F140" i="129"/>
  <c r="F139" i="129"/>
  <c r="F138" i="129"/>
  <c r="F137" i="129"/>
  <c r="F136" i="129"/>
  <c r="F135" i="129"/>
  <c r="F134" i="129"/>
  <c r="F133" i="129"/>
  <c r="F132" i="129"/>
  <c r="F131" i="129"/>
  <c r="F130" i="129"/>
  <c r="F95" i="129"/>
  <c r="F94" i="129"/>
  <c r="F93" i="129"/>
  <c r="F92" i="129"/>
  <c r="F91" i="129"/>
  <c r="F90" i="129"/>
  <c r="F89" i="129"/>
  <c r="F88" i="129"/>
  <c r="F87" i="129"/>
  <c r="F86" i="129"/>
  <c r="F85" i="129"/>
  <c r="F84" i="129"/>
  <c r="F83" i="129"/>
  <c r="F82" i="129"/>
  <c r="F81" i="129"/>
  <c r="F80" i="129"/>
  <c r="F79" i="129"/>
  <c r="F78" i="129"/>
  <c r="F77" i="129"/>
  <c r="F76" i="129"/>
  <c r="F75" i="129"/>
  <c r="F74" i="129"/>
  <c r="F73" i="129"/>
  <c r="F72" i="129"/>
  <c r="F71" i="129"/>
  <c r="F70" i="129"/>
  <c r="F69" i="129"/>
  <c r="F68" i="129"/>
  <c r="F67" i="129"/>
  <c r="F66" i="129"/>
  <c r="F65" i="129"/>
  <c r="F64" i="129"/>
  <c r="F63" i="129"/>
  <c r="F62" i="129"/>
  <c r="F61" i="129"/>
  <c r="F60" i="129"/>
  <c r="F59" i="129"/>
  <c r="F58" i="129"/>
  <c r="F57" i="129"/>
  <c r="F56" i="129"/>
  <c r="F55" i="129"/>
  <c r="F54" i="129"/>
  <c r="F53" i="129"/>
  <c r="F52" i="129"/>
  <c r="F51" i="129"/>
  <c r="F50" i="129"/>
  <c r="F49" i="129"/>
  <c r="F48" i="129"/>
  <c r="F47" i="129"/>
  <c r="F46" i="129"/>
  <c r="F45" i="129"/>
  <c r="F44" i="129"/>
  <c r="F43" i="129"/>
  <c r="F42" i="129"/>
  <c r="F41" i="129"/>
  <c r="F40" i="129"/>
  <c r="F39" i="129"/>
  <c r="F38" i="129"/>
  <c r="F37" i="129"/>
  <c r="F36" i="129"/>
  <c r="F35" i="129"/>
  <c r="F34" i="129"/>
  <c r="F33" i="129"/>
  <c r="F2" i="129" s="1"/>
  <c r="F32" i="129"/>
  <c r="F13" i="123" l="1"/>
  <c r="F14" i="123"/>
  <c r="F15" i="123"/>
  <c r="F12" i="123"/>
  <c r="F193" i="104" l="1"/>
  <c r="F194" i="104"/>
  <c r="F195" i="104"/>
  <c r="F196" i="104"/>
  <c r="F175" i="104"/>
  <c r="F176" i="104"/>
  <c r="F177" i="104"/>
  <c r="F178" i="104"/>
  <c r="F179" i="104"/>
  <c r="F180" i="104"/>
  <c r="F181" i="104"/>
  <c r="F182" i="104"/>
  <c r="F183" i="104"/>
  <c r="F184" i="104"/>
  <c r="F185" i="104"/>
  <c r="F186" i="104"/>
  <c r="F187" i="104"/>
  <c r="F188" i="104"/>
  <c r="F189" i="104"/>
  <c r="F190" i="104"/>
  <c r="F191" i="104"/>
  <c r="F192" i="104"/>
  <c r="F134" i="110"/>
  <c r="F135" i="110"/>
  <c r="F136" i="110"/>
  <c r="F137" i="110"/>
  <c r="F138" i="110"/>
  <c r="F139" i="110"/>
  <c r="F133" i="110"/>
  <c r="F6" i="124" l="1"/>
  <c r="F7" i="124"/>
  <c r="F8" i="124"/>
  <c r="F9" i="124"/>
  <c r="F10" i="124"/>
  <c r="F11" i="124"/>
  <c r="F5" i="124"/>
  <c r="G150" i="108" l="1"/>
  <c r="G151" i="108"/>
  <c r="G152" i="108"/>
  <c r="G153" i="108"/>
  <c r="G154" i="108"/>
  <c r="G155" i="108"/>
  <c r="G149" i="108"/>
  <c r="F129" i="110"/>
  <c r="F130" i="110"/>
  <c r="F131" i="110"/>
  <c r="F132" i="110"/>
  <c r="F17" i="123" l="1"/>
  <c r="F18" i="123"/>
  <c r="F19" i="123"/>
  <c r="F20" i="123"/>
  <c r="F21" i="123"/>
  <c r="F22" i="123"/>
  <c r="F24" i="123"/>
  <c r="F25" i="123"/>
  <c r="F26" i="123"/>
  <c r="F27" i="123"/>
  <c r="F164" i="104"/>
  <c r="F165" i="104"/>
  <c r="F166" i="104"/>
  <c r="F167" i="104"/>
  <c r="F168" i="104"/>
  <c r="F169" i="104"/>
  <c r="F170" i="104"/>
  <c r="F171" i="104"/>
  <c r="F172" i="104"/>
  <c r="F173" i="104"/>
  <c r="F174" i="104"/>
  <c r="F238" i="91" l="1"/>
  <c r="F239" i="91"/>
  <c r="F240" i="91"/>
  <c r="F241" i="91"/>
  <c r="F242" i="91"/>
  <c r="F243" i="91"/>
  <c r="F244" i="91"/>
  <c r="F245" i="91"/>
  <c r="F246" i="91"/>
  <c r="F247" i="91"/>
  <c r="F248" i="91"/>
  <c r="F249" i="91"/>
  <c r="F120" i="110" l="1"/>
  <c r="F121" i="110"/>
  <c r="F122" i="110"/>
  <c r="F123" i="110"/>
  <c r="F124" i="110"/>
  <c r="F125" i="110"/>
  <c r="F126" i="110"/>
  <c r="F127" i="110"/>
  <c r="F128" i="110"/>
  <c r="F119" i="110" l="1"/>
  <c r="F154" i="104"/>
  <c r="F155" i="104"/>
  <c r="F156" i="104"/>
  <c r="F157" i="104"/>
  <c r="F158" i="104"/>
  <c r="F159" i="104"/>
  <c r="F160" i="104"/>
  <c r="F161" i="104"/>
  <c r="F162" i="104"/>
  <c r="F163" i="104"/>
  <c r="F132" i="108"/>
  <c r="F133" i="108"/>
  <c r="F134" i="108"/>
  <c r="F135" i="108"/>
  <c r="F136" i="108"/>
  <c r="F137" i="108"/>
  <c r="F138" i="108"/>
  <c r="F139" i="108"/>
  <c r="F140" i="108"/>
  <c r="F141" i="108"/>
  <c r="F142" i="108"/>
  <c r="F143" i="108"/>
  <c r="F144" i="108"/>
  <c r="F145" i="108"/>
  <c r="F225" i="91"/>
  <c r="F226" i="91"/>
  <c r="F227" i="91"/>
  <c r="F228" i="91"/>
  <c r="F229" i="91"/>
  <c r="F230" i="91"/>
  <c r="F231" i="91"/>
  <c r="F232" i="91"/>
  <c r="F233" i="91"/>
  <c r="F234" i="91"/>
  <c r="F235" i="91"/>
  <c r="F236" i="91"/>
  <c r="F237" i="91"/>
  <c r="G7" i="120" l="1"/>
  <c r="G8" i="120"/>
  <c r="G9" i="120"/>
  <c r="G10" i="120"/>
  <c r="G11" i="120"/>
  <c r="G12" i="120"/>
  <c r="G13" i="120"/>
  <c r="G14" i="120"/>
  <c r="G15" i="120"/>
  <c r="G16" i="120"/>
  <c r="G17" i="120"/>
  <c r="G18" i="120"/>
  <c r="G19" i="120"/>
  <c r="G20" i="120"/>
  <c r="G21" i="120"/>
  <c r="G22" i="120"/>
  <c r="G6" i="120"/>
  <c r="F6" i="117" l="1"/>
  <c r="F7" i="117"/>
  <c r="F8" i="117"/>
  <c r="F9" i="117"/>
  <c r="F10" i="117"/>
  <c r="F11" i="117"/>
  <c r="F12" i="117"/>
  <c r="F13" i="117"/>
  <c r="F14" i="117"/>
  <c r="F15" i="117"/>
  <c r="F16" i="117"/>
  <c r="F17" i="117"/>
  <c r="F18" i="117"/>
  <c r="F19" i="117"/>
  <c r="F20" i="117"/>
  <c r="F21" i="117"/>
  <c r="F22" i="117"/>
  <c r="F23" i="117"/>
  <c r="F24" i="117"/>
  <c r="F5" i="117"/>
  <c r="F140" i="104" l="1"/>
  <c r="F141" i="104"/>
  <c r="F142" i="104"/>
  <c r="F143" i="104"/>
  <c r="F144" i="104"/>
  <c r="F145" i="104"/>
  <c r="F146" i="104"/>
  <c r="F147" i="104"/>
  <c r="F148" i="104"/>
  <c r="F149" i="104"/>
  <c r="F150" i="104"/>
  <c r="F151" i="104"/>
  <c r="F152" i="104"/>
  <c r="F153" i="104"/>
  <c r="F97" i="110"/>
  <c r="F113" i="108"/>
  <c r="F114" i="108"/>
  <c r="F115" i="108"/>
  <c r="F116" i="108"/>
  <c r="F117" i="108"/>
  <c r="F118" i="108"/>
  <c r="F119" i="108"/>
  <c r="F120" i="108"/>
  <c r="F121" i="108"/>
  <c r="F122" i="108"/>
  <c r="F123" i="108"/>
  <c r="F124" i="108"/>
  <c r="F125" i="108"/>
  <c r="F126" i="108"/>
  <c r="F127" i="108"/>
  <c r="F128" i="108"/>
  <c r="F129" i="108"/>
  <c r="F130" i="108"/>
  <c r="F131" i="108"/>
  <c r="F211" i="91" l="1"/>
  <c r="F212" i="91"/>
  <c r="F213" i="91"/>
  <c r="F214" i="91"/>
  <c r="F215" i="91"/>
  <c r="F216" i="91"/>
  <c r="F217" i="91"/>
  <c r="F218" i="91"/>
  <c r="F219" i="91"/>
  <c r="F220" i="91"/>
  <c r="F221" i="91"/>
  <c r="F222" i="91"/>
  <c r="F223" i="91"/>
  <c r="F224" i="91"/>
  <c r="F207" i="91" l="1"/>
  <c r="F208" i="91"/>
  <c r="F209" i="91"/>
  <c r="F210" i="91"/>
  <c r="F131" i="104"/>
  <c r="F132" i="104"/>
  <c r="F133" i="104"/>
  <c r="F134" i="104"/>
  <c r="F135" i="104"/>
  <c r="F136" i="104"/>
  <c r="F137" i="104"/>
  <c r="F138" i="104"/>
  <c r="F139" i="104"/>
  <c r="F130" i="104"/>
  <c r="F78" i="110" l="1"/>
  <c r="F79" i="110"/>
  <c r="F80" i="110"/>
  <c r="F81" i="110"/>
  <c r="F82" i="110"/>
  <c r="F83" i="110"/>
  <c r="F84" i="110"/>
  <c r="F85" i="110"/>
  <c r="F86" i="110"/>
  <c r="F87" i="110"/>
  <c r="F88" i="110"/>
  <c r="F89" i="110"/>
  <c r="F90" i="110"/>
  <c r="F91" i="110"/>
  <c r="F92" i="110"/>
  <c r="F93" i="110"/>
  <c r="F94" i="110"/>
  <c r="F95" i="110"/>
  <c r="F96" i="110"/>
  <c r="F98" i="110"/>
  <c r="F99" i="110"/>
  <c r="F100" i="110"/>
  <c r="F101" i="110"/>
  <c r="F102" i="110"/>
  <c r="F103" i="110"/>
  <c r="F77" i="110"/>
  <c r="F99" i="108"/>
  <c r="F100" i="108"/>
  <c r="F101" i="108"/>
  <c r="F102" i="108"/>
  <c r="F103" i="108"/>
  <c r="F104" i="108"/>
  <c r="F105" i="108"/>
  <c r="F106" i="108"/>
  <c r="F107" i="108"/>
  <c r="F108" i="108"/>
  <c r="F109" i="108"/>
  <c r="F110" i="108"/>
  <c r="F111" i="108"/>
  <c r="F112" i="108"/>
  <c r="F195" i="91"/>
  <c r="F196" i="91"/>
  <c r="F197" i="91"/>
  <c r="F198" i="91"/>
  <c r="F199" i="91"/>
  <c r="F200" i="91"/>
  <c r="F201" i="91"/>
  <c r="F202" i="91"/>
  <c r="F203" i="91"/>
  <c r="F204" i="91"/>
  <c r="F205" i="91"/>
  <c r="F206" i="91"/>
  <c r="F82" i="108"/>
  <c r="F83" i="108"/>
  <c r="F84" i="108"/>
  <c r="F85" i="108"/>
  <c r="F86" i="108"/>
  <c r="F87" i="108"/>
  <c r="F88" i="108"/>
  <c r="F89" i="108"/>
  <c r="F90" i="108"/>
  <c r="F91" i="108"/>
  <c r="F92" i="108"/>
  <c r="F93" i="108"/>
  <c r="F94" i="108"/>
  <c r="F95" i="108"/>
  <c r="F96" i="108"/>
  <c r="F97" i="108"/>
  <c r="F98" i="108"/>
  <c r="F180" i="91"/>
  <c r="F181" i="91"/>
  <c r="F182" i="91"/>
  <c r="F183" i="91"/>
  <c r="F184" i="91"/>
  <c r="F185" i="91"/>
  <c r="F186" i="91"/>
  <c r="F187" i="91"/>
  <c r="F188" i="91"/>
  <c r="F189" i="91"/>
  <c r="F190" i="91"/>
  <c r="F191" i="91"/>
  <c r="F192" i="91"/>
  <c r="F193" i="91"/>
  <c r="F194" i="91"/>
  <c r="F78" i="108"/>
  <c r="F79" i="108"/>
  <c r="F80" i="108"/>
  <c r="F81" i="108"/>
  <c r="F13" i="116"/>
  <c r="F14" i="116"/>
  <c r="F15" i="116"/>
  <c r="F16" i="116"/>
  <c r="F17" i="116"/>
  <c r="F18" i="116"/>
  <c r="F19" i="116"/>
  <c r="F20" i="116"/>
  <c r="F21" i="116"/>
  <c r="F22" i="116"/>
  <c r="F23" i="116"/>
  <c r="F24" i="116"/>
  <c r="F25" i="116"/>
  <c r="F26" i="116"/>
  <c r="F27" i="116"/>
  <c r="F28" i="116"/>
  <c r="F29" i="116"/>
  <c r="F30" i="116"/>
  <c r="F31" i="116"/>
  <c r="F32" i="116"/>
  <c r="F33" i="116"/>
  <c r="F34" i="116"/>
  <c r="F12" i="116"/>
  <c r="F169" i="91"/>
  <c r="F170" i="91"/>
  <c r="F171" i="91"/>
  <c r="F172" i="91"/>
  <c r="F173" i="91"/>
  <c r="F174" i="91"/>
  <c r="F175" i="91"/>
  <c r="F176" i="91"/>
  <c r="F177" i="91"/>
  <c r="F178" i="91"/>
  <c r="F179" i="91"/>
  <c r="F46" i="110"/>
  <c r="F47" i="110"/>
  <c r="F48" i="110"/>
  <c r="F49" i="110"/>
  <c r="F50" i="110"/>
  <c r="F51" i="110"/>
  <c r="F52" i="110"/>
  <c r="F53" i="110"/>
  <c r="F54" i="110"/>
  <c r="F55" i="110"/>
  <c r="F56" i="110"/>
  <c r="F23" i="113"/>
  <c r="F24" i="113"/>
  <c r="F25" i="113"/>
  <c r="F26" i="113"/>
  <c r="F27" i="113"/>
  <c r="F29" i="113"/>
  <c r="F30" i="113"/>
  <c r="F31" i="113"/>
  <c r="F32" i="113"/>
  <c r="F33" i="113"/>
  <c r="F34" i="113"/>
  <c r="F35" i="113"/>
  <c r="F36" i="113"/>
  <c r="F37" i="113"/>
  <c r="F38" i="113"/>
  <c r="F28" i="113"/>
  <c r="F24" i="91"/>
  <c r="F25" i="91"/>
  <c r="F361" i="23"/>
  <c r="F362" i="23"/>
  <c r="F363" i="23"/>
  <c r="F364" i="23"/>
  <c r="F365" i="23"/>
  <c r="F366" i="23"/>
  <c r="F367" i="23"/>
  <c r="F368" i="23"/>
  <c r="F360" i="23"/>
  <c r="F51" i="108"/>
  <c r="F52" i="108"/>
  <c r="F53" i="108"/>
  <c r="F54" i="108"/>
  <c r="F55" i="108"/>
  <c r="F56" i="108"/>
  <c r="F57" i="108"/>
  <c r="F58" i="108"/>
  <c r="F59" i="108"/>
  <c r="F60" i="108"/>
  <c r="F61" i="108"/>
  <c r="F62" i="108"/>
  <c r="F63" i="108"/>
  <c r="F64" i="108"/>
  <c r="F65" i="108"/>
  <c r="F66" i="108"/>
  <c r="F67" i="108"/>
  <c r="F68" i="108"/>
  <c r="F69" i="108"/>
  <c r="F70" i="108"/>
  <c r="F71" i="108"/>
  <c r="F72" i="108"/>
  <c r="F73" i="108"/>
  <c r="F74" i="108"/>
  <c r="F75" i="108"/>
  <c r="F76" i="108"/>
  <c r="F77" i="108"/>
  <c r="F8" i="114"/>
  <c r="F9" i="114"/>
  <c r="F10" i="114"/>
  <c r="F11" i="114"/>
  <c r="F12" i="114"/>
  <c r="F13" i="114"/>
  <c r="F14" i="114"/>
  <c r="F15" i="114"/>
  <c r="F16" i="114"/>
  <c r="F6" i="114"/>
  <c r="F7" i="114"/>
  <c r="F149" i="91"/>
  <c r="F150" i="91"/>
  <c r="F151" i="91"/>
  <c r="F152" i="91"/>
  <c r="F153" i="91"/>
  <c r="F154" i="91"/>
  <c r="F155" i="91"/>
  <c r="F156" i="91"/>
  <c r="F157" i="91"/>
  <c r="F158" i="91"/>
  <c r="F159" i="91"/>
  <c r="F160" i="91"/>
  <c r="F161" i="91"/>
  <c r="F162" i="91"/>
  <c r="F163" i="91"/>
  <c r="F164" i="91"/>
  <c r="F165" i="91"/>
  <c r="F166" i="91"/>
  <c r="F167" i="91"/>
  <c r="F168" i="91"/>
  <c r="F72" i="104"/>
  <c r="F73" i="104"/>
  <c r="F74" i="104"/>
  <c r="F75" i="104"/>
  <c r="F76" i="104"/>
  <c r="F77" i="104"/>
  <c r="F78" i="104"/>
  <c r="F79" i="104"/>
  <c r="F80" i="104"/>
  <c r="F81" i="104"/>
  <c r="F82" i="104"/>
  <c r="F83" i="104"/>
  <c r="F84" i="104"/>
  <c r="F85" i="104"/>
  <c r="F86" i="104"/>
  <c r="F87" i="104"/>
  <c r="F88" i="104"/>
  <c r="F89" i="104"/>
  <c r="F90" i="104"/>
  <c r="F91" i="104"/>
  <c r="F92" i="104"/>
  <c r="F93" i="104"/>
  <c r="F94" i="104"/>
  <c r="F95" i="104"/>
  <c r="F11" i="113"/>
  <c r="F12" i="113"/>
  <c r="F13" i="113"/>
  <c r="F14" i="113"/>
  <c r="F15" i="113"/>
  <c r="F16" i="113"/>
  <c r="F17" i="113"/>
  <c r="F18" i="113"/>
  <c r="F19" i="113"/>
  <c r="F20" i="113"/>
  <c r="F21" i="113"/>
  <c r="F22" i="113"/>
  <c r="F5" i="114"/>
  <c r="F28" i="110"/>
  <c r="F29" i="110"/>
  <c r="F30" i="110"/>
  <c r="F31" i="110"/>
  <c r="F32" i="110"/>
  <c r="F33" i="110"/>
  <c r="F34" i="110"/>
  <c r="F35" i="110"/>
  <c r="F36" i="110"/>
  <c r="F37" i="110"/>
  <c r="F38" i="110"/>
  <c r="F39" i="110"/>
  <c r="F40" i="110"/>
  <c r="F41" i="110"/>
  <c r="F42" i="110"/>
  <c r="F43" i="110"/>
  <c r="F44" i="110"/>
  <c r="F45" i="110"/>
  <c r="F10" i="113"/>
  <c r="F9" i="113"/>
  <c r="F8" i="113"/>
  <c r="F7" i="113"/>
  <c r="F6" i="113"/>
  <c r="F5" i="113"/>
  <c r="F44" i="108"/>
  <c r="F45" i="108"/>
  <c r="F46" i="108"/>
  <c r="F47" i="108"/>
  <c r="F48" i="108"/>
  <c r="F49" i="108"/>
  <c r="F50" i="108"/>
  <c r="F7" i="111"/>
  <c r="F8" i="111"/>
  <c r="F9" i="111"/>
  <c r="F10" i="111"/>
  <c r="F11" i="111"/>
  <c r="F12" i="111"/>
  <c r="F13" i="111"/>
  <c r="F14" i="111"/>
  <c r="F146" i="91"/>
  <c r="F147" i="91"/>
  <c r="F148" i="91"/>
  <c r="F7" i="112"/>
  <c r="F8" i="112"/>
  <c r="F9" i="112"/>
  <c r="F10" i="112"/>
  <c r="F11" i="112"/>
  <c r="F12" i="112"/>
  <c r="F13" i="112"/>
  <c r="F14" i="112"/>
  <c r="F56" i="104"/>
  <c r="F57" i="104"/>
  <c r="F58" i="104"/>
  <c r="F59" i="104"/>
  <c r="F60" i="104"/>
  <c r="F61" i="104"/>
  <c r="F62" i="104"/>
  <c r="F63" i="104"/>
  <c r="F64" i="104"/>
  <c r="F65" i="104"/>
  <c r="F66" i="104"/>
  <c r="F67" i="104"/>
  <c r="F68" i="104"/>
  <c r="F69" i="104"/>
  <c r="F70" i="104"/>
  <c r="F71" i="104"/>
  <c r="F6" i="112"/>
  <c r="F5" i="112"/>
  <c r="F6" i="111"/>
  <c r="F5" i="111"/>
  <c r="F132" i="91"/>
  <c r="F133" i="91"/>
  <c r="F134" i="91"/>
  <c r="F135" i="91"/>
  <c r="F136" i="91"/>
  <c r="F137" i="91"/>
  <c r="F138" i="91"/>
  <c r="F139" i="91"/>
  <c r="F140" i="91"/>
  <c r="F141" i="91"/>
  <c r="F142" i="91"/>
  <c r="F143" i="91"/>
  <c r="F144" i="91"/>
  <c r="F145" i="91"/>
  <c r="F131" i="91"/>
  <c r="F28" i="108"/>
  <c r="F29" i="108"/>
  <c r="F30" i="108"/>
  <c r="F31" i="108"/>
  <c r="F32" i="108"/>
  <c r="F33" i="108"/>
  <c r="F34" i="108"/>
  <c r="F35" i="108"/>
  <c r="F36" i="108"/>
  <c r="F37" i="108"/>
  <c r="F38" i="108"/>
  <c r="F39" i="108"/>
  <c r="F40" i="108"/>
  <c r="F41" i="108"/>
  <c r="F42" i="108"/>
  <c r="F43" i="108"/>
  <c r="F6" i="110"/>
  <c r="F7" i="110"/>
  <c r="F8" i="110"/>
  <c r="F9" i="110"/>
  <c r="F10" i="110"/>
  <c r="F11" i="110"/>
  <c r="F12" i="110"/>
  <c r="F13" i="110"/>
  <c r="F14" i="110"/>
  <c r="F15" i="110"/>
  <c r="F16" i="110"/>
  <c r="F17" i="110"/>
  <c r="F18" i="110"/>
  <c r="F19" i="110"/>
  <c r="F20" i="110"/>
  <c r="F21" i="110"/>
  <c r="F22" i="110"/>
  <c r="F23" i="110"/>
  <c r="F24" i="110"/>
  <c r="F25" i="110"/>
  <c r="F26" i="110"/>
  <c r="F27" i="110"/>
  <c r="F5" i="110"/>
  <c r="F318" i="23"/>
  <c r="F319" i="23"/>
  <c r="F320" i="23"/>
  <c r="F321" i="23"/>
  <c r="F322" i="23"/>
  <c r="F323" i="23"/>
  <c r="F324" i="23"/>
  <c r="F325" i="23"/>
  <c r="F326" i="23"/>
  <c r="F327" i="23"/>
  <c r="F328" i="23"/>
  <c r="F329" i="23"/>
  <c r="F330" i="23"/>
  <c r="F331" i="23"/>
  <c r="F332" i="23"/>
  <c r="F317" i="23"/>
  <c r="F44" i="104"/>
  <c r="F45" i="104"/>
  <c r="F46" i="104"/>
  <c r="F47" i="104"/>
  <c r="F48" i="104"/>
  <c r="F49" i="104"/>
  <c r="F50" i="104"/>
  <c r="F51" i="104"/>
  <c r="F52" i="104"/>
  <c r="F53" i="104"/>
  <c r="F54" i="104"/>
  <c r="F55" i="104"/>
  <c r="F119" i="91"/>
  <c r="F120" i="91"/>
  <c r="F121" i="91"/>
  <c r="F122" i="91"/>
  <c r="F123" i="91"/>
  <c r="F124" i="91"/>
  <c r="F125" i="91"/>
  <c r="F126" i="91"/>
  <c r="F127" i="91"/>
  <c r="F115" i="91"/>
  <c r="F116" i="91"/>
  <c r="F117" i="91"/>
  <c r="F118" i="91"/>
  <c r="F15" i="108"/>
  <c r="F16" i="108"/>
  <c r="F17" i="108"/>
  <c r="F18" i="108"/>
  <c r="F19" i="108"/>
  <c r="F20" i="108"/>
  <c r="F21" i="108"/>
  <c r="F22" i="108"/>
  <c r="F23" i="108"/>
  <c r="F24" i="108"/>
  <c r="F25" i="108"/>
  <c r="F26" i="108"/>
  <c r="F27" i="108"/>
  <c r="F14" i="108"/>
  <c r="F33" i="104"/>
  <c r="F34" i="104"/>
  <c r="F35" i="104"/>
  <c r="F36" i="104"/>
  <c r="F37" i="104"/>
  <c r="F38" i="104"/>
  <c r="F39" i="104"/>
  <c r="F40" i="104"/>
  <c r="F41" i="104"/>
  <c r="F42" i="104"/>
  <c r="F43" i="104"/>
  <c r="F32" i="104"/>
  <c r="F24" i="107"/>
  <c r="F25" i="107"/>
  <c r="F26" i="107"/>
  <c r="F27" i="107"/>
  <c r="F28" i="107"/>
  <c r="F29" i="107"/>
  <c r="F30" i="107"/>
  <c r="F31" i="107"/>
  <c r="F32" i="107"/>
  <c r="F33" i="107"/>
  <c r="F34" i="107"/>
  <c r="F104" i="91"/>
  <c r="F105" i="91"/>
  <c r="F106" i="91"/>
  <c r="F107" i="91"/>
  <c r="F108" i="91"/>
  <c r="F109" i="91"/>
  <c r="F110" i="91"/>
  <c r="F111" i="91"/>
  <c r="F112" i="91"/>
  <c r="F113" i="91"/>
  <c r="F114" i="91"/>
  <c r="F43" i="69"/>
  <c r="F44" i="69"/>
  <c r="F45" i="69"/>
  <c r="F46" i="69"/>
  <c r="F47" i="69"/>
  <c r="F48" i="69"/>
  <c r="F49" i="69"/>
  <c r="F50" i="69"/>
  <c r="F51" i="69"/>
  <c r="F52" i="69"/>
  <c r="F53" i="69"/>
  <c r="F42" i="69"/>
  <c r="F13" i="109"/>
  <c r="F15" i="109"/>
  <c r="F16" i="109"/>
  <c r="F17" i="109"/>
  <c r="F18" i="109"/>
  <c r="F19" i="109"/>
  <c r="F20" i="109"/>
  <c r="F21" i="109"/>
  <c r="F12" i="109"/>
  <c r="F148" i="66"/>
  <c r="F149" i="66"/>
  <c r="F150" i="66"/>
  <c r="F151" i="66"/>
  <c r="F152" i="66"/>
  <c r="F153" i="66"/>
  <c r="F154" i="66"/>
  <c r="F155" i="66"/>
  <c r="F156" i="66"/>
  <c r="F157" i="66"/>
  <c r="F158" i="66"/>
  <c r="F159" i="66"/>
  <c r="F160" i="66"/>
  <c r="F15" i="107"/>
  <c r="F16" i="107"/>
  <c r="F17" i="107"/>
  <c r="F18" i="107"/>
  <c r="F19" i="107"/>
  <c r="F20" i="107"/>
  <c r="F21" i="107"/>
  <c r="F22" i="107"/>
  <c r="F23" i="107"/>
  <c r="F14" i="107"/>
  <c r="F96" i="91"/>
  <c r="F97" i="91"/>
  <c r="F98" i="91"/>
  <c r="F99" i="91"/>
  <c r="F100" i="91"/>
  <c r="F101" i="91"/>
  <c r="F102" i="91"/>
  <c r="F103" i="91"/>
  <c r="F9" i="109"/>
  <c r="F8" i="109"/>
  <c r="F12" i="106"/>
  <c r="F11" i="106"/>
  <c r="F10" i="106"/>
  <c r="F9" i="106"/>
  <c r="F8" i="106"/>
  <c r="F12" i="105"/>
  <c r="F13" i="105"/>
  <c r="F14" i="105"/>
  <c r="F15" i="105"/>
  <c r="F16" i="105"/>
  <c r="F17" i="105"/>
  <c r="F18" i="105"/>
  <c r="F19" i="105"/>
  <c r="F11" i="105"/>
  <c r="F323" i="24"/>
  <c r="F324" i="24"/>
  <c r="F325" i="24"/>
  <c r="F326" i="24"/>
  <c r="F327" i="24"/>
  <c r="F322" i="24"/>
  <c r="E112" i="63"/>
  <c r="E113" i="63"/>
  <c r="E114" i="63"/>
  <c r="E105" i="63"/>
  <c r="E106" i="63"/>
  <c r="E107" i="63"/>
  <c r="E108" i="63"/>
  <c r="E109" i="63"/>
  <c r="E110" i="63"/>
  <c r="E111" i="63"/>
  <c r="F86" i="91"/>
  <c r="F87" i="91"/>
  <c r="F88" i="91"/>
  <c r="F89" i="91"/>
  <c r="F90" i="91"/>
  <c r="F92" i="91"/>
  <c r="F93" i="91"/>
  <c r="F94" i="91"/>
  <c r="F95" i="91"/>
  <c r="F85" i="91"/>
  <c r="E101" i="63"/>
  <c r="E102" i="63"/>
  <c r="E103" i="63"/>
  <c r="E104" i="63"/>
  <c r="F69" i="95"/>
  <c r="F71" i="95"/>
  <c r="F72" i="95"/>
  <c r="F73" i="95"/>
  <c r="F74" i="95"/>
  <c r="F75" i="95"/>
  <c r="F70" i="95"/>
  <c r="E98" i="63"/>
  <c r="E99" i="63"/>
  <c r="E100" i="63"/>
  <c r="E97" i="63"/>
  <c r="F100" i="79"/>
  <c r="F101" i="79"/>
  <c r="F102" i="79"/>
  <c r="F103" i="79"/>
  <c r="F104" i="79"/>
  <c r="F105" i="79"/>
  <c r="F106" i="79"/>
  <c r="F107" i="79"/>
  <c r="F102" i="77"/>
  <c r="F103" i="77"/>
  <c r="F104" i="77"/>
  <c r="F105" i="77"/>
  <c r="F106" i="77"/>
  <c r="F107" i="77"/>
  <c r="F108" i="77"/>
  <c r="F109" i="77"/>
  <c r="F2" i="104" l="1"/>
  <c r="F60" i="95"/>
  <c r="F61" i="95"/>
  <c r="F62" i="95"/>
  <c r="F63" i="95"/>
  <c r="F64" i="95"/>
  <c r="F65" i="95"/>
  <c r="E400" i="32"/>
  <c r="E401" i="32"/>
  <c r="E402" i="32"/>
  <c r="E403" i="32"/>
  <c r="E404" i="32"/>
  <c r="E405" i="32"/>
  <c r="E406" i="32"/>
  <c r="E407" i="32"/>
  <c r="E408" i="32"/>
  <c r="E409" i="32"/>
  <c r="E399" i="32"/>
  <c r="F59" i="95"/>
  <c r="F49" i="98"/>
  <c r="F50" i="98"/>
  <c r="F51" i="98"/>
  <c r="F52" i="98"/>
  <c r="F53" i="98"/>
  <c r="F54" i="98"/>
  <c r="F55" i="98"/>
  <c r="F56" i="98"/>
  <c r="F70" i="91"/>
  <c r="F71" i="91"/>
  <c r="F72" i="91"/>
  <c r="F73" i="91"/>
  <c r="F74" i="91"/>
  <c r="F75" i="91"/>
  <c r="F76" i="91"/>
  <c r="F69" i="91"/>
  <c r="F48" i="98"/>
  <c r="F94" i="79"/>
  <c r="F95" i="79"/>
  <c r="F96" i="79"/>
  <c r="F97" i="79"/>
  <c r="F98" i="79"/>
  <c r="F99" i="79"/>
  <c r="F305" i="24"/>
  <c r="F101" i="77"/>
  <c r="F399" i="30" l="1"/>
  <c r="F400" i="30"/>
  <c r="F401" i="30"/>
  <c r="F402" i="30"/>
  <c r="F403" i="30"/>
  <c r="F404" i="30"/>
  <c r="F405" i="30"/>
  <c r="F406" i="30"/>
  <c r="F407" i="30"/>
  <c r="F408" i="30"/>
  <c r="F409" i="30"/>
  <c r="F410" i="30"/>
  <c r="F411" i="30"/>
  <c r="F412" i="30"/>
  <c r="F413" i="30"/>
  <c r="F414" i="30"/>
  <c r="F415" i="30"/>
  <c r="F416" i="30"/>
  <c r="F398" i="30"/>
  <c r="F47" i="98"/>
  <c r="F46" i="98"/>
  <c r="F45" i="98"/>
  <c r="F49" i="97"/>
  <c r="F50" i="97"/>
  <c r="F51" i="97"/>
  <c r="F52" i="97"/>
  <c r="F53" i="97"/>
  <c r="F54" i="97"/>
  <c r="F55" i="97"/>
  <c r="F56" i="97"/>
  <c r="F66" i="91"/>
  <c r="F67" i="91"/>
  <c r="F68" i="91"/>
  <c r="F65" i="91"/>
  <c r="F85" i="79"/>
  <c r="F48" i="97"/>
  <c r="F47" i="97"/>
  <c r="F46" i="97"/>
  <c r="F299" i="24"/>
  <c r="F80" i="79"/>
  <c r="F81" i="79"/>
  <c r="F82" i="79"/>
  <c r="F83" i="79"/>
  <c r="F87" i="81"/>
  <c r="F88" i="81"/>
  <c r="F89" i="81"/>
  <c r="F90" i="81"/>
  <c r="F91" i="81"/>
  <c r="F92" i="81"/>
  <c r="F93" i="81"/>
  <c r="F86" i="81"/>
  <c r="F86" i="79"/>
  <c r="F87" i="79"/>
  <c r="F88" i="79"/>
  <c r="F89" i="79"/>
  <c r="F90" i="79"/>
  <c r="F91" i="79"/>
  <c r="F92" i="79"/>
  <c r="F93" i="79"/>
  <c r="F84" i="79"/>
  <c r="F93" i="77"/>
  <c r="F94" i="77"/>
  <c r="F95" i="77"/>
  <c r="F96" i="77"/>
  <c r="F97" i="77"/>
  <c r="F98" i="77"/>
  <c r="F36" i="98"/>
  <c r="F37" i="98"/>
  <c r="F38" i="98"/>
  <c r="F39" i="98"/>
  <c r="F40" i="98"/>
  <c r="F41" i="98"/>
  <c r="F42" i="98"/>
  <c r="F43" i="98"/>
  <c r="F44" i="98"/>
  <c r="F120" i="66"/>
  <c r="F121" i="66"/>
  <c r="F122" i="66"/>
  <c r="F123" i="66"/>
  <c r="F124" i="66"/>
  <c r="F125" i="66"/>
  <c r="F126" i="66"/>
  <c r="F127" i="66"/>
  <c r="F128" i="66"/>
  <c r="F5" i="103"/>
  <c r="F6" i="103"/>
  <c r="F7" i="103"/>
  <c r="F8" i="103"/>
  <c r="F9" i="103"/>
  <c r="F10" i="103"/>
  <c r="F11" i="103"/>
  <c r="F12" i="103"/>
  <c r="F13" i="103"/>
  <c r="F14" i="103"/>
  <c r="F15" i="103"/>
  <c r="F4" i="103"/>
  <c r="F39" i="97"/>
  <c r="F40" i="97"/>
  <c r="F41" i="97"/>
  <c r="F42" i="97"/>
  <c r="F43" i="97"/>
  <c r="F44" i="97"/>
  <c r="F45" i="97"/>
  <c r="F293" i="24"/>
  <c r="F294" i="24"/>
  <c r="F295" i="24"/>
  <c r="F296" i="24"/>
  <c r="F297" i="24"/>
  <c r="F298" i="24"/>
  <c r="F300" i="24"/>
  <c r="F301" i="24"/>
  <c r="F302" i="24"/>
  <c r="F292" i="24"/>
  <c r="F14" i="102"/>
  <c r="F15" i="102"/>
  <c r="F16" i="102"/>
  <c r="F17" i="102"/>
  <c r="F12" i="102"/>
  <c r="F291" i="24" l="1"/>
  <c r="F11" i="102"/>
  <c r="F10" i="102"/>
  <c r="F17" i="101"/>
  <c r="F18" i="101"/>
  <c r="F19" i="101"/>
  <c r="F20" i="101"/>
  <c r="F21" i="101"/>
  <c r="F22" i="101"/>
  <c r="F23" i="101"/>
  <c r="F24" i="101"/>
  <c r="F25" i="101"/>
  <c r="F290" i="24"/>
  <c r="F8" i="102"/>
  <c r="F9" i="102" s="1"/>
  <c r="F38" i="95"/>
  <c r="F39" i="95" s="1"/>
  <c r="F40" i="95" s="1"/>
  <c r="F41" i="95" s="1"/>
  <c r="F50" i="91"/>
  <c r="F51" i="91"/>
  <c r="F52" i="91"/>
  <c r="F53" i="91"/>
  <c r="F54" i="91"/>
  <c r="F55" i="91"/>
  <c r="F56" i="91"/>
  <c r="F112" i="66"/>
  <c r="F113" i="66"/>
  <c r="F114" i="66"/>
  <c r="F115" i="66"/>
  <c r="F116" i="66"/>
  <c r="F117" i="66"/>
  <c r="F119" i="66"/>
  <c r="F73" i="79"/>
  <c r="F74" i="79"/>
  <c r="F75" i="79"/>
  <c r="F76" i="79"/>
  <c r="F77" i="79"/>
  <c r="F78" i="79"/>
  <c r="F79" i="79"/>
  <c r="E66" i="63"/>
  <c r="E67" i="63"/>
  <c r="E68" i="63"/>
  <c r="E69" i="63"/>
  <c r="E70" i="63"/>
  <c r="E71" i="63"/>
  <c r="F111" i="66"/>
  <c r="F110" i="66"/>
  <c r="F109" i="66"/>
  <c r="F108" i="66"/>
  <c r="F107" i="66"/>
  <c r="E65" i="63"/>
  <c r="F11" i="101"/>
  <c r="F12" i="101"/>
  <c r="F13" i="101"/>
  <c r="F14" i="101"/>
  <c r="F15" i="101"/>
  <c r="F16" i="101"/>
  <c r="F10" i="101"/>
  <c r="F24" i="100"/>
  <c r="F27" i="98"/>
  <c r="F28" i="98"/>
  <c r="F29" i="98"/>
  <c r="F30" i="98"/>
  <c r="F31" i="98"/>
  <c r="F32" i="98"/>
  <c r="F33" i="98"/>
  <c r="F34" i="98"/>
  <c r="F31" i="97" l="1"/>
  <c r="F32" i="97"/>
  <c r="F33" i="97"/>
  <c r="F34" i="97"/>
  <c r="F35" i="97"/>
  <c r="F36" i="97"/>
  <c r="F37" i="97"/>
  <c r="F38" i="97"/>
  <c r="F8" i="101"/>
  <c r="F9" i="101" s="1"/>
  <c r="F188" i="57"/>
  <c r="F189" i="57"/>
  <c r="F190" i="57"/>
  <c r="F191" i="57"/>
  <c r="F193" i="57"/>
  <c r="F194" i="57"/>
  <c r="F195" i="57"/>
  <c r="F77" i="77"/>
  <c r="F78" i="77"/>
  <c r="F79" i="77"/>
  <c r="F80" i="77"/>
  <c r="F81" i="77"/>
  <c r="F82" i="77"/>
  <c r="F83" i="77"/>
  <c r="F84" i="77"/>
  <c r="F85" i="77"/>
  <c r="F86" i="77"/>
  <c r="F87" i="77"/>
  <c r="F88" i="77"/>
  <c r="F89" i="77"/>
  <c r="F90" i="77"/>
  <c r="F91" i="77"/>
  <c r="F92" i="77"/>
  <c r="F19" i="100"/>
  <c r="F20" i="100"/>
  <c r="F21" i="100"/>
  <c r="F22" i="100"/>
  <c r="F23" i="100"/>
  <c r="F25" i="100"/>
  <c r="F26" i="100"/>
  <c r="F27" i="100"/>
  <c r="F28" i="100"/>
  <c r="F68" i="79"/>
  <c r="F69" i="79"/>
  <c r="F70" i="79"/>
  <c r="F71" i="79"/>
  <c r="F72" i="79"/>
  <c r="F22" i="98"/>
  <c r="F23" i="98"/>
  <c r="F24" i="98"/>
  <c r="F25" i="98"/>
  <c r="F26" i="98"/>
  <c r="F43" i="91" l="1"/>
  <c r="F44" i="91"/>
  <c r="F45" i="91"/>
  <c r="F46" i="91"/>
  <c r="F47" i="91"/>
  <c r="F48" i="91"/>
  <c r="F49" i="91"/>
  <c r="F30" i="95"/>
  <c r="F31" i="95"/>
  <c r="F32" i="95"/>
  <c r="F33" i="95"/>
  <c r="F34" i="95"/>
  <c r="F35" i="95"/>
  <c r="E59" i="63"/>
  <c r="E60" i="63"/>
  <c r="E61" i="63"/>
  <c r="E62" i="63"/>
  <c r="E63" i="63"/>
  <c r="E64" i="63"/>
  <c r="F185" i="57"/>
  <c r="F186" i="57"/>
  <c r="F187" i="57"/>
  <c r="F26" i="97"/>
  <c r="F67" i="79"/>
  <c r="F21" i="98"/>
  <c r="F20" i="98"/>
  <c r="F25" i="97"/>
  <c r="F27" i="97"/>
  <c r="F28" i="97"/>
  <c r="F29" i="97"/>
  <c r="F30" i="97"/>
  <c r="F20" i="99"/>
  <c r="F19" i="99"/>
  <c r="F18" i="99"/>
  <c r="F184" i="57"/>
  <c r="F183" i="57"/>
  <c r="F182" i="57"/>
  <c r="F28" i="95"/>
  <c r="F27" i="95"/>
  <c r="F26" i="95"/>
  <c r="F25" i="95"/>
  <c r="F24" i="95"/>
  <c r="F42" i="91"/>
  <c r="F41" i="91"/>
  <c r="F40" i="91"/>
  <c r="F39" i="91"/>
  <c r="F38" i="91"/>
  <c r="F11" i="100"/>
  <c r="F12" i="100"/>
  <c r="F13" i="100"/>
  <c r="F14" i="100"/>
  <c r="F15" i="100"/>
  <c r="F16" i="100"/>
  <c r="F17" i="100"/>
  <c r="F18" i="100"/>
  <c r="F61" i="79"/>
  <c r="F62" i="79"/>
  <c r="F63" i="79"/>
  <c r="F64" i="79"/>
  <c r="F65" i="79"/>
  <c r="F66" i="79"/>
  <c r="F67" i="77"/>
  <c r="F68" i="77"/>
  <c r="F69" i="77"/>
  <c r="F70" i="77"/>
  <c r="F71" i="77"/>
  <c r="F72" i="77"/>
  <c r="F73" i="77"/>
  <c r="F74" i="77"/>
  <c r="F75" i="77"/>
  <c r="F76" i="77"/>
  <c r="F63" i="77"/>
  <c r="F91" i="66"/>
  <c r="F96" i="66"/>
  <c r="F93" i="66"/>
  <c r="F94" i="66"/>
  <c r="F95" i="66"/>
  <c r="F97" i="66"/>
  <c r="F98" i="66"/>
  <c r="F99" i="66"/>
  <c r="F100" i="66"/>
  <c r="F101" i="66"/>
  <c r="F102" i="66"/>
  <c r="F103" i="66"/>
  <c r="F104" i="66"/>
  <c r="F105" i="66"/>
  <c r="F106" i="66"/>
  <c r="E53" i="63"/>
  <c r="E54" i="63"/>
  <c r="E55" i="63"/>
  <c r="E56" i="63"/>
  <c r="E57" i="63"/>
  <c r="E58" i="63"/>
  <c r="F21" i="97"/>
  <c r="F22" i="97"/>
  <c r="F23" i="97"/>
  <c r="F24" i="97"/>
  <c r="F60" i="79"/>
  <c r="F19" i="98"/>
  <c r="F18" i="98"/>
  <c r="F17" i="98"/>
  <c r="F16" i="98"/>
  <c r="F15" i="98"/>
  <c r="F14" i="98"/>
  <c r="F34" i="91"/>
  <c r="F12" i="98"/>
  <c r="F10" i="100"/>
  <c r="F9" i="100"/>
  <c r="F20" i="97"/>
  <c r="F19" i="97"/>
  <c r="F18" i="97"/>
  <c r="F181" i="57"/>
  <c r="F180" i="57"/>
  <c r="F179" i="57"/>
  <c r="F178" i="57"/>
  <c r="F177" i="57"/>
  <c r="F8" i="100"/>
  <c r="F7" i="100"/>
  <c r="F6" i="100"/>
  <c r="F176" i="57"/>
  <c r="F175" i="57"/>
  <c r="E39" i="63"/>
  <c r="E40" i="63"/>
  <c r="E41" i="63"/>
  <c r="E42" i="63"/>
  <c r="E43" i="63"/>
  <c r="E44" i="63"/>
  <c r="E45" i="63"/>
  <c r="E46" i="63"/>
  <c r="E47" i="63"/>
  <c r="E48" i="63"/>
  <c r="E49" i="63"/>
  <c r="E50" i="63"/>
  <c r="E51" i="63"/>
  <c r="E52" i="63"/>
  <c r="F11" i="98"/>
  <c r="F33" i="91"/>
  <c r="F32" i="91"/>
  <c r="F31" i="91"/>
  <c r="F35" i="91"/>
  <c r="F36" i="91"/>
  <c r="F37" i="91"/>
  <c r="F30" i="91"/>
  <c r="F28" i="91"/>
  <c r="F29" i="91"/>
  <c r="F11" i="99"/>
  <c r="F12" i="99"/>
  <c r="F13" i="99"/>
  <c r="F14" i="99"/>
  <c r="F15" i="99"/>
  <c r="F16" i="99"/>
  <c r="F17" i="99"/>
  <c r="F10" i="99"/>
  <c r="F9" i="99"/>
  <c r="F26" i="91"/>
  <c r="F27" i="91"/>
  <c r="F92" i="66"/>
  <c r="F79" i="66"/>
  <c r="F80" i="66"/>
  <c r="F81" i="66"/>
  <c r="F82" i="66"/>
  <c r="F83" i="66"/>
  <c r="F84" i="66"/>
  <c r="F85" i="66"/>
  <c r="F86" i="66"/>
  <c r="F87" i="66"/>
  <c r="F88" i="66"/>
  <c r="F89" i="66"/>
  <c r="F90" i="66"/>
  <c r="E361" i="30" l="1"/>
  <c r="E362" i="30"/>
  <c r="E363" i="30"/>
  <c r="E364" i="30"/>
  <c r="E365" i="30"/>
  <c r="E366" i="30"/>
  <c r="E367" i="30"/>
  <c r="F13" i="95"/>
  <c r="F14" i="95"/>
  <c r="F15" i="95"/>
  <c r="F16" i="95"/>
  <c r="F17" i="95"/>
  <c r="F18" i="95"/>
  <c r="F19" i="95"/>
  <c r="F20" i="95"/>
  <c r="F21" i="95"/>
  <c r="F22" i="95"/>
  <c r="F23" i="95"/>
  <c r="F29" i="95"/>
  <c r="F29" i="92"/>
  <c r="F30" i="92"/>
  <c r="F31" i="92"/>
  <c r="F32" i="92"/>
  <c r="F33" i="92"/>
  <c r="F34" i="92"/>
  <c r="F35" i="92"/>
  <c r="F36" i="92"/>
  <c r="F60" i="77"/>
  <c r="F61" i="77"/>
  <c r="F62" i="77"/>
  <c r="F64" i="77"/>
  <c r="F65" i="77"/>
  <c r="F66" i="77"/>
  <c r="F28" i="92" l="1"/>
  <c r="F27" i="92"/>
  <c r="G89" i="66"/>
  <c r="E360" i="30"/>
  <c r="E359" i="30"/>
  <c r="F10" i="98"/>
  <c r="F9" i="98"/>
  <c r="F8" i="98"/>
  <c r="F7" i="98"/>
  <c r="F8" i="99" l="1"/>
  <c r="F7" i="99"/>
  <c r="F6" i="99"/>
  <c r="F5" i="99"/>
  <c r="F49" i="79"/>
  <c r="F50" i="79"/>
  <c r="F51" i="79"/>
  <c r="F52" i="79"/>
  <c r="F53" i="79"/>
  <c r="F54" i="79"/>
  <c r="F55" i="79"/>
  <c r="F56" i="79"/>
  <c r="F57" i="79"/>
  <c r="F58" i="79"/>
  <c r="F59" i="79"/>
  <c r="F48" i="79"/>
  <c r="F23" i="91"/>
  <c r="F21" i="92"/>
  <c r="F22" i="92"/>
  <c r="F23" i="92"/>
  <c r="F24" i="92"/>
  <c r="F25" i="92"/>
  <c r="F26" i="92"/>
  <c r="F49" i="77" l="1"/>
  <c r="F50" i="77"/>
  <c r="F51" i="77"/>
  <c r="F52" i="77"/>
  <c r="F53" i="77"/>
  <c r="F54" i="77"/>
  <c r="F55" i="77"/>
  <c r="F56" i="77"/>
  <c r="F57" i="77"/>
  <c r="F58" i="77"/>
  <c r="F59" i="77"/>
  <c r="F41" i="79" l="1"/>
  <c r="F42" i="79"/>
  <c r="F43" i="79"/>
  <c r="F44" i="79"/>
  <c r="F45" i="79"/>
  <c r="F46" i="79"/>
  <c r="F47" i="79"/>
  <c r="F52" i="74"/>
  <c r="F53" i="74"/>
  <c r="F54" i="74"/>
  <c r="F55" i="74"/>
  <c r="F56" i="74"/>
  <c r="F57" i="74"/>
  <c r="F58" i="74"/>
  <c r="F59" i="74"/>
  <c r="F20" i="96"/>
  <c r="F19" i="96"/>
  <c r="F18" i="96"/>
  <c r="F17" i="96"/>
  <c r="F16" i="96"/>
  <c r="F15" i="96"/>
  <c r="F14" i="96"/>
  <c r="F13" i="96"/>
  <c r="F12" i="96"/>
  <c r="F11" i="96"/>
  <c r="F10" i="96"/>
  <c r="F9" i="96"/>
  <c r="F8" i="96"/>
  <c r="F7" i="96"/>
  <c r="F6" i="96"/>
  <c r="F5" i="96"/>
  <c r="F12" i="95" l="1"/>
  <c r="F11" i="95"/>
  <c r="F10" i="95"/>
  <c r="F9" i="95"/>
  <c r="F8" i="95"/>
  <c r="F7" i="95"/>
  <c r="F6" i="95"/>
  <c r="F5" i="95"/>
  <c r="F11" i="94"/>
  <c r="F10" i="94"/>
  <c r="F9" i="94"/>
  <c r="F8" i="94"/>
  <c r="F7" i="94"/>
  <c r="F6" i="94"/>
  <c r="F5" i="94"/>
  <c r="F20" i="93"/>
  <c r="F19" i="93"/>
  <c r="F18" i="93"/>
  <c r="F17" i="93"/>
  <c r="F16" i="93"/>
  <c r="F15" i="93"/>
  <c r="F14" i="93"/>
  <c r="F13" i="93"/>
  <c r="F12" i="93"/>
  <c r="F11" i="93"/>
  <c r="F10" i="93"/>
  <c r="F9" i="93"/>
  <c r="F8" i="93"/>
  <c r="F7" i="93"/>
  <c r="F6" i="93"/>
  <c r="F5" i="93"/>
  <c r="F26" i="83" l="1"/>
  <c r="F27" i="83"/>
  <c r="F28" i="83"/>
  <c r="F29" i="83"/>
  <c r="F30" i="83"/>
  <c r="F31" i="83"/>
  <c r="F32" i="83"/>
  <c r="F33" i="83"/>
  <c r="F34" i="83"/>
  <c r="F33" i="79" l="1"/>
  <c r="F34" i="79"/>
  <c r="F35" i="79"/>
  <c r="F36" i="79"/>
  <c r="F37" i="79"/>
  <c r="F38" i="79"/>
  <c r="F39" i="79"/>
  <c r="F40" i="79"/>
  <c r="F28" i="81"/>
  <c r="F29" i="81"/>
  <c r="F30" i="81"/>
  <c r="F31" i="81"/>
  <c r="F32" i="81"/>
  <c r="F33" i="81"/>
  <c r="F34" i="81"/>
  <c r="F35" i="81"/>
  <c r="F36" i="81"/>
  <c r="F37" i="81"/>
  <c r="F38" i="81"/>
  <c r="F39" i="81"/>
  <c r="F40" i="74" l="1"/>
  <c r="F41" i="74"/>
  <c r="F42" i="74"/>
  <c r="F43" i="74"/>
  <c r="F44" i="74"/>
  <c r="F45" i="74"/>
  <c r="F46" i="74"/>
  <c r="F47" i="74"/>
  <c r="F48" i="74"/>
  <c r="F49" i="74"/>
  <c r="F50" i="74"/>
  <c r="F51" i="74"/>
  <c r="F20" i="92" l="1"/>
  <c r="F19" i="92"/>
  <c r="F18" i="92"/>
  <c r="F17" i="92"/>
  <c r="F16" i="92"/>
  <c r="F15" i="92"/>
  <c r="F14" i="92"/>
  <c r="F13" i="92"/>
  <c r="F12" i="92"/>
  <c r="F11" i="92"/>
  <c r="F10" i="92"/>
  <c r="F9" i="92"/>
  <c r="F8" i="92"/>
  <c r="F7" i="92"/>
  <c r="F6" i="92"/>
  <c r="F5" i="92"/>
  <c r="F20" i="91"/>
  <c r="F19" i="91"/>
  <c r="F18" i="91"/>
  <c r="F17" i="91"/>
  <c r="F16" i="91"/>
  <c r="F15" i="91"/>
  <c r="F14" i="91"/>
  <c r="F13" i="91"/>
  <c r="F12" i="91"/>
  <c r="F11" i="91"/>
  <c r="F10" i="91"/>
  <c r="F9" i="91"/>
  <c r="F8" i="91"/>
  <c r="F7" i="91"/>
  <c r="F6" i="91"/>
  <c r="F5" i="91"/>
  <c r="F35" i="77"/>
  <c r="F36" i="77"/>
  <c r="F37" i="77"/>
  <c r="F38" i="77"/>
  <c r="F39" i="77"/>
  <c r="F40" i="77"/>
  <c r="F41" i="77"/>
  <c r="F42" i="77"/>
  <c r="F43" i="77"/>
  <c r="F44" i="77"/>
  <c r="F45" i="77"/>
  <c r="F46" i="77"/>
  <c r="F47" i="77"/>
  <c r="F48" i="77"/>
  <c r="F67" i="66"/>
  <c r="F68" i="66"/>
  <c r="F69" i="66"/>
  <c r="F70" i="66"/>
  <c r="F71" i="66"/>
  <c r="F72" i="66"/>
  <c r="F73" i="66"/>
  <c r="F74" i="66"/>
  <c r="F75" i="66"/>
  <c r="F76" i="66"/>
  <c r="F77" i="66"/>
  <c r="F78" i="66"/>
  <c r="F20" i="90"/>
  <c r="F19" i="90"/>
  <c r="F18" i="90"/>
  <c r="F17" i="90"/>
  <c r="F16" i="90"/>
  <c r="F15" i="90"/>
  <c r="F14" i="90"/>
  <c r="F13" i="90"/>
  <c r="F12" i="90"/>
  <c r="F11" i="90"/>
  <c r="F10" i="90"/>
  <c r="F9" i="90"/>
  <c r="F8" i="90"/>
  <c r="F7" i="90"/>
  <c r="F6" i="90"/>
  <c r="F5" i="90"/>
  <c r="F14" i="86"/>
  <c r="F15" i="86"/>
  <c r="F16" i="86"/>
  <c r="F17" i="86"/>
  <c r="F18" i="86"/>
  <c r="F19" i="86"/>
  <c r="F20" i="86"/>
  <c r="F21" i="86"/>
  <c r="F22" i="86"/>
  <c r="F14" i="83"/>
  <c r="F15" i="83"/>
  <c r="F16" i="83"/>
  <c r="F17" i="83"/>
  <c r="F18" i="83"/>
  <c r="F19" i="83"/>
  <c r="F20" i="83"/>
  <c r="F21" i="83"/>
  <c r="F22" i="83"/>
  <c r="F23" i="83"/>
  <c r="F24" i="83"/>
  <c r="F25" i="83"/>
  <c r="F23" i="79"/>
  <c r="F24" i="79"/>
  <c r="F25" i="79"/>
  <c r="F26" i="79"/>
  <c r="F27" i="79"/>
  <c r="F28" i="79"/>
  <c r="F29" i="79"/>
  <c r="F30" i="79"/>
  <c r="F31" i="79"/>
  <c r="F32" i="79"/>
  <c r="F35" i="74" l="1"/>
  <c r="F36" i="74"/>
  <c r="F37" i="74"/>
  <c r="F38" i="74"/>
  <c r="F39" i="74"/>
  <c r="F20" i="89"/>
  <c r="F19" i="89"/>
  <c r="F18" i="89"/>
  <c r="F17" i="89"/>
  <c r="F16" i="89"/>
  <c r="F15" i="89"/>
  <c r="F14" i="89"/>
  <c r="F13" i="89"/>
  <c r="F12" i="89"/>
  <c r="F11" i="89"/>
  <c r="F10" i="89"/>
  <c r="F9" i="89"/>
  <c r="F8" i="89"/>
  <c r="F7" i="89"/>
  <c r="F6" i="89"/>
  <c r="F5" i="89"/>
  <c r="F20" i="88"/>
  <c r="F19" i="88"/>
  <c r="F18" i="88"/>
  <c r="F17" i="88"/>
  <c r="F16" i="88"/>
  <c r="F15" i="88"/>
  <c r="F14" i="88"/>
  <c r="F13" i="88"/>
  <c r="F12" i="88"/>
  <c r="F11" i="88"/>
  <c r="F10" i="88"/>
  <c r="F9" i="88"/>
  <c r="F8" i="88"/>
  <c r="F7" i="88"/>
  <c r="F6" i="88"/>
  <c r="F5" i="88"/>
  <c r="F14" i="87" l="1"/>
  <c r="F15" i="87"/>
  <c r="F16" i="87"/>
  <c r="F17" i="87"/>
  <c r="F18" i="87"/>
  <c r="F19" i="87"/>
  <c r="F20" i="87"/>
  <c r="F39" i="70"/>
  <c r="F40" i="70"/>
  <c r="F41" i="70"/>
  <c r="F42" i="70"/>
  <c r="F43" i="70"/>
  <c r="F44" i="70"/>
  <c r="F45" i="70"/>
  <c r="F46" i="70"/>
  <c r="F47" i="70"/>
  <c r="F48" i="70"/>
  <c r="F17" i="79" l="1"/>
  <c r="F14" i="82"/>
  <c r="F15" i="82"/>
  <c r="F16" i="82"/>
  <c r="F17" i="82"/>
  <c r="F18" i="82"/>
  <c r="F19" i="82"/>
  <c r="F20" i="82"/>
  <c r="F21" i="82"/>
  <c r="F22" i="82"/>
  <c r="F134" i="55" l="1"/>
  <c r="F135" i="55"/>
  <c r="F136" i="55"/>
  <c r="F137" i="55"/>
  <c r="F138" i="55"/>
  <c r="F139" i="55"/>
  <c r="F56" i="66"/>
  <c r="F57" i="66"/>
  <c r="F58" i="66"/>
  <c r="F59" i="66"/>
  <c r="F60" i="66"/>
  <c r="F61" i="66"/>
  <c r="F62" i="66"/>
  <c r="F63" i="66"/>
  <c r="F64" i="66"/>
  <c r="F65" i="66"/>
  <c r="F66" i="66"/>
  <c r="F13" i="87" l="1"/>
  <c r="F12" i="87"/>
  <c r="F11" i="87"/>
  <c r="F10" i="87"/>
  <c r="F9" i="87"/>
  <c r="F8" i="87"/>
  <c r="F7" i="87"/>
  <c r="F6" i="87"/>
  <c r="F5" i="87"/>
  <c r="F13" i="86" l="1"/>
  <c r="F12" i="86"/>
  <c r="F11" i="86"/>
  <c r="F10" i="86"/>
  <c r="F9" i="86"/>
  <c r="F8" i="86"/>
  <c r="F7" i="86"/>
  <c r="F6" i="86"/>
  <c r="F5" i="86"/>
  <c r="F13" i="85"/>
  <c r="F12" i="85"/>
  <c r="F11" i="85"/>
  <c r="F10" i="85"/>
  <c r="F9" i="85"/>
  <c r="F8" i="85"/>
  <c r="F7" i="85"/>
  <c r="F6" i="85"/>
  <c r="F5" i="85"/>
  <c r="F13" i="84"/>
  <c r="F12" i="84"/>
  <c r="F11" i="84"/>
  <c r="F10" i="84"/>
  <c r="F9" i="84"/>
  <c r="F8" i="84"/>
  <c r="F7" i="84"/>
  <c r="F6" i="84"/>
  <c r="F5" i="84"/>
  <c r="F13" i="83" l="1"/>
  <c r="F12" i="83"/>
  <c r="F11" i="83"/>
  <c r="F10" i="83"/>
  <c r="F9" i="83"/>
  <c r="F8" i="83"/>
  <c r="F7" i="83"/>
  <c r="F6" i="83"/>
  <c r="F5" i="83"/>
  <c r="F74" i="55"/>
  <c r="F75" i="55"/>
  <c r="F76" i="55"/>
  <c r="F77" i="55"/>
  <c r="F78" i="55"/>
  <c r="F79" i="55"/>
  <c r="F80" i="55"/>
  <c r="F81" i="55"/>
  <c r="F82" i="55"/>
  <c r="F83" i="55"/>
  <c r="F84" i="55"/>
  <c r="F85" i="55"/>
  <c r="F86" i="55"/>
  <c r="F87" i="55"/>
  <c r="F88" i="55"/>
  <c r="F89" i="55"/>
  <c r="F90" i="55"/>
  <c r="F91" i="55"/>
  <c r="F92" i="55"/>
  <c r="F93" i="55"/>
  <c r="F94" i="55"/>
  <c r="F95" i="55"/>
  <c r="F96" i="55"/>
  <c r="F97" i="55"/>
  <c r="F98" i="55"/>
  <c r="F99" i="55"/>
  <c r="F100" i="55"/>
  <c r="F101" i="55"/>
  <c r="F102" i="55"/>
  <c r="F103" i="55"/>
  <c r="F104" i="55"/>
  <c r="F105" i="55"/>
  <c r="F106" i="55"/>
  <c r="F107" i="55"/>
  <c r="F108" i="55"/>
  <c r="F109" i="55"/>
  <c r="F110" i="55"/>
  <c r="F111" i="55"/>
  <c r="F112" i="55"/>
  <c r="F113" i="55"/>
  <c r="F114" i="55"/>
  <c r="F115" i="55"/>
  <c r="F116" i="55"/>
  <c r="F117" i="55"/>
  <c r="F118" i="55"/>
  <c r="F119" i="55"/>
  <c r="F120" i="55"/>
  <c r="F121" i="55"/>
  <c r="F122" i="55"/>
  <c r="F123" i="55"/>
  <c r="F124" i="55"/>
  <c r="F125" i="55"/>
  <c r="F126" i="55"/>
  <c r="F127" i="55"/>
  <c r="F128" i="55"/>
  <c r="F129" i="55"/>
  <c r="F130" i="55"/>
  <c r="F131" i="55"/>
  <c r="F132" i="55"/>
  <c r="F133" i="55"/>
  <c r="F14" i="81" l="1"/>
  <c r="F15" i="81"/>
  <c r="F16" i="81"/>
  <c r="F17" i="81"/>
  <c r="F18" i="81"/>
  <c r="F19" i="81"/>
  <c r="F20" i="81"/>
  <c r="F21" i="81"/>
  <c r="F22" i="81"/>
  <c r="F23" i="81"/>
  <c r="F24" i="81"/>
  <c r="F25" i="81"/>
  <c r="F26" i="81"/>
  <c r="F27" i="81"/>
  <c r="F13" i="82"/>
  <c r="F12" i="82"/>
  <c r="F11" i="82"/>
  <c r="F10" i="82"/>
  <c r="F9" i="82"/>
  <c r="F8" i="82"/>
  <c r="F7" i="82"/>
  <c r="F6" i="82"/>
  <c r="F5" i="82"/>
  <c r="F13" i="81"/>
  <c r="F12" i="81"/>
  <c r="F11" i="81"/>
  <c r="F10" i="81"/>
  <c r="F9" i="81"/>
  <c r="F8" i="81"/>
  <c r="F7" i="81"/>
  <c r="F6" i="81"/>
  <c r="F5" i="81"/>
  <c r="F49" i="66"/>
  <c r="F50" i="66"/>
  <c r="F51" i="66"/>
  <c r="F52" i="66"/>
  <c r="F53" i="66"/>
  <c r="F54" i="66"/>
  <c r="F55" i="66"/>
  <c r="E321" i="30"/>
  <c r="E322" i="30"/>
  <c r="E323" i="30"/>
  <c r="E324" i="30"/>
  <c r="E325" i="30"/>
  <c r="E326" i="30"/>
  <c r="E327" i="30"/>
  <c r="F29" i="70" l="1"/>
  <c r="F30" i="70"/>
  <c r="F31" i="70"/>
  <c r="F32" i="70"/>
  <c r="F33" i="70"/>
  <c r="F34" i="70"/>
  <c r="F35" i="70"/>
  <c r="E290" i="30" l="1"/>
  <c r="E291" i="30"/>
  <c r="E292" i="30"/>
  <c r="E293" i="30"/>
  <c r="E294" i="30"/>
  <c r="E295" i="30"/>
  <c r="E296" i="30"/>
  <c r="E297" i="30"/>
  <c r="E298" i="30"/>
  <c r="E299" i="30"/>
  <c r="E300" i="30"/>
  <c r="E301" i="30"/>
  <c r="E302" i="30"/>
  <c r="E303" i="30"/>
  <c r="E304" i="30"/>
  <c r="E305" i="30"/>
  <c r="E306" i="30"/>
  <c r="E307" i="30"/>
  <c r="E308" i="30"/>
  <c r="E309" i="30"/>
  <c r="E310" i="30"/>
  <c r="E311" i="30"/>
  <c r="E312" i="30"/>
  <c r="E313" i="30"/>
  <c r="E314" i="30"/>
  <c r="E315" i="30"/>
  <c r="E316" i="30"/>
  <c r="E317" i="30"/>
  <c r="E318" i="30"/>
  <c r="E319" i="30"/>
  <c r="E320" i="30"/>
  <c r="F13" i="80" l="1"/>
  <c r="F12" i="80"/>
  <c r="F11" i="80"/>
  <c r="F10" i="80"/>
  <c r="F9" i="80"/>
  <c r="F8" i="80"/>
  <c r="F7" i="80"/>
  <c r="F6" i="80"/>
  <c r="F5" i="80"/>
  <c r="F22" i="79"/>
  <c r="F21" i="79"/>
  <c r="F20" i="79"/>
  <c r="F19" i="79"/>
  <c r="F18" i="79"/>
  <c r="F16" i="79"/>
  <c r="F15" i="79"/>
  <c r="F14" i="79"/>
  <c r="F13" i="79"/>
  <c r="F12" i="79"/>
  <c r="F11" i="79"/>
  <c r="F10" i="79"/>
  <c r="F9" i="79"/>
  <c r="F8" i="79"/>
  <c r="F7" i="79"/>
  <c r="F6" i="79"/>
  <c r="F5" i="79"/>
  <c r="F34" i="78" l="1"/>
  <c r="F33" i="78"/>
  <c r="F32" i="78"/>
  <c r="F31" i="78"/>
  <c r="F30" i="78"/>
  <c r="F29" i="78"/>
  <c r="F28" i="78"/>
  <c r="F27" i="78"/>
  <c r="F26" i="78"/>
  <c r="F25" i="78"/>
  <c r="F24" i="78"/>
  <c r="F23" i="78"/>
  <c r="F22" i="78"/>
  <c r="F21" i="78"/>
  <c r="F20" i="78"/>
  <c r="F19" i="78"/>
  <c r="F18" i="78"/>
  <c r="F17" i="78"/>
  <c r="F16" i="78"/>
  <c r="F15" i="78"/>
  <c r="F14" i="78"/>
  <c r="F13" i="78"/>
  <c r="F12" i="78"/>
  <c r="F11" i="78"/>
  <c r="F10" i="78"/>
  <c r="F9" i="78"/>
  <c r="F8" i="78"/>
  <c r="F7" i="78"/>
  <c r="F6" i="78"/>
  <c r="F34" i="77"/>
  <c r="F33" i="77"/>
  <c r="F32" i="77"/>
  <c r="F31" i="77"/>
  <c r="F30" i="77"/>
  <c r="F29" i="77"/>
  <c r="F28" i="77"/>
  <c r="F27" i="77"/>
  <c r="F26" i="77"/>
  <c r="F25" i="77"/>
  <c r="F24" i="77"/>
  <c r="F23" i="77"/>
  <c r="F22" i="77"/>
  <c r="F21" i="77"/>
  <c r="F20" i="77"/>
  <c r="F19" i="77"/>
  <c r="F18" i="77"/>
  <c r="F17" i="77"/>
  <c r="F16" i="77"/>
  <c r="F15" i="77"/>
  <c r="F14" i="77"/>
  <c r="F13" i="77"/>
  <c r="F12" i="77"/>
  <c r="F11" i="77"/>
  <c r="F10" i="77"/>
  <c r="F9" i="77"/>
  <c r="F8" i="77"/>
  <c r="F7" i="77"/>
  <c r="F6" i="77"/>
  <c r="F34" i="76"/>
  <c r="F33" i="76"/>
  <c r="F32" i="76"/>
  <c r="F31" i="76"/>
  <c r="F30" i="76"/>
  <c r="F29" i="76"/>
  <c r="F28" i="76"/>
  <c r="F27" i="76"/>
  <c r="F26" i="76"/>
  <c r="F25" i="76"/>
  <c r="F24" i="76"/>
  <c r="F23" i="76"/>
  <c r="F22" i="76"/>
  <c r="F21" i="76"/>
  <c r="F20" i="76"/>
  <c r="F19" i="76"/>
  <c r="F18" i="76"/>
  <c r="F17" i="76"/>
  <c r="F16" i="76"/>
  <c r="F15" i="76"/>
  <c r="F14" i="76"/>
  <c r="F13" i="76"/>
  <c r="F12" i="76"/>
  <c r="F11" i="76"/>
  <c r="F10" i="76"/>
  <c r="F9" i="76"/>
  <c r="F8" i="76"/>
  <c r="F7" i="76"/>
  <c r="F6" i="76"/>
  <c r="F34" i="75"/>
  <c r="F33" i="75"/>
  <c r="F32" i="75"/>
  <c r="F31" i="75"/>
  <c r="F30" i="75"/>
  <c r="F29" i="75"/>
  <c r="F28" i="75"/>
  <c r="F27" i="75"/>
  <c r="F26" i="75"/>
  <c r="F25" i="75"/>
  <c r="F24" i="75"/>
  <c r="F23" i="75"/>
  <c r="F22" i="75"/>
  <c r="F21" i="75"/>
  <c r="F20" i="75"/>
  <c r="F19" i="75"/>
  <c r="F18" i="75"/>
  <c r="F17" i="75"/>
  <c r="F16" i="75"/>
  <c r="F15" i="75"/>
  <c r="F14" i="75"/>
  <c r="F13" i="75"/>
  <c r="F12" i="75"/>
  <c r="F11" i="75"/>
  <c r="F10" i="75"/>
  <c r="F9" i="75"/>
  <c r="F8" i="75"/>
  <c r="F7" i="75"/>
  <c r="F6" i="75"/>
  <c r="E300" i="32" l="1"/>
  <c r="E301" i="32"/>
  <c r="E302" i="32"/>
  <c r="E303" i="32"/>
  <c r="E304" i="32"/>
  <c r="E305" i="32"/>
  <c r="E306" i="32"/>
  <c r="E307" i="32"/>
  <c r="E308" i="32"/>
  <c r="E309" i="32"/>
  <c r="F39" i="66"/>
  <c r="F40" i="66"/>
  <c r="F41" i="66"/>
  <c r="F42" i="66"/>
  <c r="F43" i="66"/>
  <c r="F44" i="66"/>
  <c r="F45" i="66"/>
  <c r="F46" i="66"/>
  <c r="F47" i="66"/>
  <c r="F48" i="66"/>
  <c r="F29" i="67"/>
  <c r="F30" i="67"/>
  <c r="F31" i="67"/>
  <c r="F32" i="67"/>
  <c r="F33" i="67"/>
  <c r="F34" i="67"/>
  <c r="F35" i="67"/>
  <c r="F36" i="67"/>
  <c r="F37" i="67"/>
  <c r="F38" i="67"/>
  <c r="F39" i="67"/>
  <c r="F40" i="67"/>
  <c r="F41" i="67"/>
  <c r="F42" i="67"/>
  <c r="F43" i="67"/>
  <c r="F34" i="74" l="1"/>
  <c r="F33" i="74"/>
  <c r="F32" i="74"/>
  <c r="F31" i="74"/>
  <c r="F30" i="74"/>
  <c r="F29" i="74"/>
  <c r="F28" i="74"/>
  <c r="F27" i="74"/>
  <c r="F26" i="74"/>
  <c r="F25" i="74"/>
  <c r="F24" i="74"/>
  <c r="F23" i="74"/>
  <c r="F22" i="74"/>
  <c r="F21" i="74"/>
  <c r="F20" i="74"/>
  <c r="F19" i="74"/>
  <c r="F18" i="74"/>
  <c r="F17" i="74"/>
  <c r="F16" i="74"/>
  <c r="F15" i="74"/>
  <c r="F14" i="74"/>
  <c r="F13" i="74"/>
  <c r="F12" i="74"/>
  <c r="F11" i="74"/>
  <c r="F10" i="74"/>
  <c r="F9" i="74"/>
  <c r="F8" i="74"/>
  <c r="F7" i="74"/>
  <c r="F6" i="74"/>
  <c r="F27" i="66" l="1"/>
  <c r="F28" i="66"/>
  <c r="F29" i="66"/>
  <c r="F30" i="66"/>
  <c r="F31" i="66"/>
  <c r="F32" i="66"/>
  <c r="F33" i="66"/>
  <c r="F34" i="66"/>
  <c r="E293" i="32"/>
  <c r="E294" i="32"/>
  <c r="E295" i="32"/>
  <c r="E296" i="32"/>
  <c r="E297" i="32"/>
  <c r="E298" i="32"/>
  <c r="E299" i="32"/>
  <c r="F29" i="73" l="1"/>
  <c r="F30" i="73"/>
  <c r="F31" i="73"/>
  <c r="F32" i="73"/>
  <c r="F33" i="73"/>
  <c r="F34" i="73"/>
  <c r="F35" i="73"/>
  <c r="F38" i="73"/>
  <c r="F37" i="73"/>
  <c r="F36" i="73"/>
  <c r="F28" i="73"/>
  <c r="F27" i="73"/>
  <c r="F26" i="73"/>
  <c r="F25" i="73"/>
  <c r="F24" i="73"/>
  <c r="F23" i="73"/>
  <c r="F22" i="73"/>
  <c r="F21" i="73"/>
  <c r="F20" i="73"/>
  <c r="F19" i="73"/>
  <c r="F18" i="73"/>
  <c r="F17" i="73"/>
  <c r="F16" i="73"/>
  <c r="F15" i="73"/>
  <c r="F14" i="73"/>
  <c r="F13" i="73"/>
  <c r="F12" i="73"/>
  <c r="F11" i="73"/>
  <c r="F10" i="73"/>
  <c r="F9" i="73"/>
  <c r="F8" i="73"/>
  <c r="F7" i="73"/>
  <c r="F6" i="73"/>
  <c r="F38" i="72"/>
  <c r="F37" i="72"/>
  <c r="F36" i="72"/>
  <c r="F35" i="72"/>
  <c r="F28" i="72"/>
  <c r="F27" i="72"/>
  <c r="F26" i="72"/>
  <c r="F25" i="72"/>
  <c r="F24" i="72"/>
  <c r="F23" i="72"/>
  <c r="F22" i="72"/>
  <c r="F21" i="72"/>
  <c r="F20" i="72"/>
  <c r="F19" i="72"/>
  <c r="F18" i="72"/>
  <c r="F17" i="72"/>
  <c r="F16" i="72"/>
  <c r="F15" i="72"/>
  <c r="F14" i="72"/>
  <c r="F13" i="72"/>
  <c r="F12" i="72"/>
  <c r="F11" i="72"/>
  <c r="F10" i="72"/>
  <c r="F9" i="72"/>
  <c r="F8" i="72"/>
  <c r="F7" i="72"/>
  <c r="F6" i="72"/>
  <c r="F38" i="71"/>
  <c r="F37" i="71"/>
  <c r="F36" i="71"/>
  <c r="F35" i="71"/>
  <c r="F28" i="71"/>
  <c r="F27" i="71"/>
  <c r="F26" i="71"/>
  <c r="F25" i="71"/>
  <c r="F24" i="71"/>
  <c r="F23" i="71"/>
  <c r="F22" i="71"/>
  <c r="F21" i="71"/>
  <c r="F20" i="71"/>
  <c r="F19" i="71"/>
  <c r="F18" i="71"/>
  <c r="F17" i="71"/>
  <c r="F16" i="71"/>
  <c r="F15" i="71"/>
  <c r="F14" i="71"/>
  <c r="F13" i="71"/>
  <c r="F12" i="71"/>
  <c r="F11" i="71"/>
  <c r="F10" i="71"/>
  <c r="F9" i="71"/>
  <c r="F8" i="71"/>
  <c r="F7" i="71"/>
  <c r="F6" i="71"/>
  <c r="F38" i="69"/>
  <c r="F37" i="69"/>
  <c r="F36" i="69"/>
  <c r="F35" i="69"/>
  <c r="F28" i="69"/>
  <c r="F27" i="69"/>
  <c r="F26" i="69"/>
  <c r="F25" i="69"/>
  <c r="F24" i="69"/>
  <c r="F23" i="69"/>
  <c r="F22" i="69"/>
  <c r="F21" i="69"/>
  <c r="F20" i="69"/>
  <c r="F19" i="69"/>
  <c r="F18" i="69"/>
  <c r="F17" i="69"/>
  <c r="F16" i="69"/>
  <c r="F15" i="69"/>
  <c r="F14" i="69"/>
  <c r="F13" i="69"/>
  <c r="F12" i="69"/>
  <c r="F11" i="69"/>
  <c r="F10" i="69"/>
  <c r="F9" i="69"/>
  <c r="F8" i="69"/>
  <c r="F7" i="69"/>
  <c r="F6" i="69"/>
  <c r="F38" i="70"/>
  <c r="F37" i="70"/>
  <c r="F36" i="70"/>
  <c r="F28" i="70"/>
  <c r="F27" i="70"/>
  <c r="F26" i="70"/>
  <c r="F25" i="70"/>
  <c r="F24" i="70"/>
  <c r="F23" i="70"/>
  <c r="F22" i="70"/>
  <c r="F21" i="70"/>
  <c r="F20" i="70"/>
  <c r="F19" i="70"/>
  <c r="F18" i="70"/>
  <c r="F17" i="70"/>
  <c r="F16" i="70"/>
  <c r="F15" i="70"/>
  <c r="F14" i="70"/>
  <c r="F13" i="70"/>
  <c r="F12" i="70"/>
  <c r="F11" i="70"/>
  <c r="F10" i="70"/>
  <c r="F9" i="70"/>
  <c r="F8" i="70"/>
  <c r="F7" i="70"/>
  <c r="F6" i="70"/>
  <c r="F18" i="67" l="1"/>
  <c r="F19" i="67"/>
  <c r="F20" i="67"/>
  <c r="F21" i="67"/>
  <c r="F22" i="67"/>
  <c r="F23" i="67"/>
  <c r="F24" i="67"/>
  <c r="F25" i="67"/>
  <c r="F26" i="67"/>
  <c r="F27" i="67"/>
  <c r="F28" i="67"/>
  <c r="F18" i="66" l="1"/>
  <c r="F19" i="66"/>
  <c r="F20" i="66"/>
  <c r="F21" i="66"/>
  <c r="F22" i="66"/>
  <c r="F23" i="66"/>
  <c r="F24" i="66"/>
  <c r="F25" i="66"/>
  <c r="F26" i="66"/>
  <c r="F97" i="58" l="1"/>
  <c r="F98" i="58"/>
  <c r="F99" i="58"/>
  <c r="F100" i="58"/>
  <c r="F101" i="58"/>
  <c r="F102" i="58"/>
  <c r="F103" i="58"/>
  <c r="F104" i="58"/>
  <c r="F105" i="58"/>
  <c r="F106" i="58"/>
  <c r="F107" i="58"/>
  <c r="E282" i="32"/>
  <c r="E283" i="32"/>
  <c r="E284" i="32"/>
  <c r="E285" i="32"/>
  <c r="E286" i="32"/>
  <c r="E287" i="32"/>
  <c r="E288" i="32"/>
  <c r="E289" i="32"/>
  <c r="E290" i="32"/>
  <c r="E291" i="32"/>
  <c r="E292" i="32"/>
  <c r="F38" i="68" l="1"/>
  <c r="F37" i="68"/>
  <c r="F36" i="68"/>
  <c r="F35" i="68"/>
  <c r="F17" i="68"/>
  <c r="F16" i="68"/>
  <c r="F15" i="68"/>
  <c r="F14" i="68"/>
  <c r="F13" i="68"/>
  <c r="F12" i="68"/>
  <c r="F11" i="68"/>
  <c r="F10" i="68"/>
  <c r="F9" i="68"/>
  <c r="F8" i="68"/>
  <c r="F7" i="68"/>
  <c r="F6" i="68"/>
  <c r="E282" i="30" l="1"/>
  <c r="E283" i="30"/>
  <c r="E284" i="30"/>
  <c r="E285" i="30"/>
  <c r="E286" i="30"/>
  <c r="E287" i="30"/>
  <c r="E288" i="30"/>
  <c r="E289" i="30"/>
  <c r="E281" i="30"/>
  <c r="E275" i="32" l="1"/>
  <c r="E276" i="32"/>
  <c r="E277" i="32"/>
  <c r="E278" i="32"/>
  <c r="E279" i="32"/>
  <c r="E280" i="32"/>
  <c r="E281" i="32"/>
  <c r="F17" i="67"/>
  <c r="F16" i="67"/>
  <c r="F15" i="67"/>
  <c r="F14" i="67"/>
  <c r="F13" i="67"/>
  <c r="F12" i="67"/>
  <c r="F11" i="67"/>
  <c r="F10" i="67"/>
  <c r="F9" i="67"/>
  <c r="F8" i="67"/>
  <c r="F7" i="67"/>
  <c r="F6" i="67"/>
  <c r="F38" i="66" l="1"/>
  <c r="F37" i="66"/>
  <c r="F36" i="66"/>
  <c r="F35" i="66"/>
  <c r="F17" i="66"/>
  <c r="F16" i="66"/>
  <c r="F15" i="66"/>
  <c r="F14" i="66"/>
  <c r="F13" i="66"/>
  <c r="F12" i="66"/>
  <c r="F11" i="66"/>
  <c r="F10" i="66"/>
  <c r="F9" i="66"/>
  <c r="F8" i="66"/>
  <c r="F7" i="66"/>
  <c r="F6" i="66"/>
  <c r="F85" i="58"/>
  <c r="F86" i="58"/>
  <c r="F87" i="58"/>
  <c r="F88" i="58"/>
  <c r="F89" i="58"/>
  <c r="F90" i="58"/>
  <c r="F91" i="58"/>
  <c r="F92" i="58"/>
  <c r="F93" i="58"/>
  <c r="F94" i="58"/>
  <c r="F95" i="58"/>
  <c r="F96" i="58"/>
  <c r="F84" i="58"/>
  <c r="E263" i="32"/>
  <c r="E264" i="32"/>
  <c r="E265" i="32"/>
  <c r="E266" i="32"/>
  <c r="E267" i="32"/>
  <c r="E268" i="32"/>
  <c r="E269" i="32"/>
  <c r="E270" i="32"/>
  <c r="E271" i="32"/>
  <c r="E272" i="32"/>
  <c r="E273" i="32"/>
  <c r="E274" i="32"/>
  <c r="E262" i="32"/>
  <c r="F7" i="65" l="1"/>
  <c r="F8" i="65"/>
  <c r="F9" i="65"/>
  <c r="F10" i="65"/>
  <c r="F11" i="65"/>
  <c r="F12" i="65"/>
  <c r="F13" i="65"/>
  <c r="F14" i="65"/>
  <c r="F15" i="65"/>
  <c r="F16" i="65"/>
  <c r="F17" i="65"/>
  <c r="F38" i="65"/>
  <c r="F37" i="65"/>
  <c r="F36" i="65"/>
  <c r="F35" i="65"/>
  <c r="F6" i="65"/>
  <c r="D259" i="32" l="1"/>
  <c r="D260" i="32" s="1"/>
  <c r="F67" i="55"/>
  <c r="F68" i="55"/>
  <c r="F69" i="55"/>
  <c r="F70" i="55"/>
  <c r="F71" i="55"/>
  <c r="F72" i="55"/>
  <c r="F73" i="55"/>
  <c r="F38" i="64"/>
  <c r="F37" i="64"/>
  <c r="F36" i="64"/>
  <c r="F35" i="64"/>
  <c r="F34" i="64"/>
  <c r="F33" i="64"/>
  <c r="F32" i="64"/>
  <c r="F31" i="64"/>
  <c r="F30" i="64"/>
  <c r="F29" i="64"/>
  <c r="F28" i="64"/>
  <c r="F27" i="64"/>
  <c r="F26" i="64"/>
  <c r="F25" i="64"/>
  <c r="F24" i="64"/>
  <c r="F23" i="64"/>
  <c r="F22" i="64"/>
  <c r="F21" i="64"/>
  <c r="F20" i="64"/>
  <c r="F19" i="64"/>
  <c r="F18" i="64"/>
  <c r="F17" i="64"/>
  <c r="F16" i="64"/>
  <c r="F15" i="64"/>
  <c r="F14" i="64"/>
  <c r="F13" i="64"/>
  <c r="F12" i="64"/>
  <c r="F10" i="64"/>
  <c r="F9" i="64"/>
  <c r="F8" i="64"/>
  <c r="F7" i="64"/>
  <c r="F6" i="64"/>
  <c r="E242" i="32"/>
  <c r="E243" i="32"/>
  <c r="E244" i="32"/>
  <c r="E245" i="32"/>
  <c r="E246" i="32"/>
  <c r="E247" i="32"/>
  <c r="E248" i="32"/>
  <c r="E249" i="32"/>
  <c r="E250" i="32"/>
  <c r="E251" i="32"/>
  <c r="E252" i="32"/>
  <c r="E253" i="32"/>
  <c r="E254" i="32"/>
  <c r="E255" i="32"/>
  <c r="F63" i="55" l="1"/>
  <c r="F64" i="55"/>
  <c r="F65" i="55"/>
  <c r="F66" i="55"/>
  <c r="F291" i="23"/>
  <c r="F292" i="23"/>
  <c r="F293" i="23"/>
  <c r="F294" i="23"/>
  <c r="F45" i="55" l="1"/>
  <c r="F46" i="55"/>
  <c r="F47" i="55"/>
  <c r="F48" i="55"/>
  <c r="F49" i="55"/>
  <c r="F50" i="55"/>
  <c r="F51" i="55"/>
  <c r="F52" i="55"/>
  <c r="F53" i="55"/>
  <c r="F54" i="55"/>
  <c r="F55" i="55"/>
  <c r="F56" i="55"/>
  <c r="F57" i="55"/>
  <c r="F58" i="55"/>
  <c r="F59" i="55"/>
  <c r="F60" i="55"/>
  <c r="F61" i="55"/>
  <c r="F62" i="55"/>
  <c r="E6" i="63" l="1"/>
  <c r="E7" i="63"/>
  <c r="E8" i="63"/>
  <c r="E208" i="32" l="1"/>
  <c r="E209" i="32"/>
  <c r="E210" i="32"/>
  <c r="E211" i="32"/>
  <c r="E212" i="32"/>
  <c r="E213" i="32"/>
  <c r="E214" i="32"/>
  <c r="E215" i="32"/>
  <c r="E216" i="32"/>
  <c r="E217" i="32"/>
  <c r="E218" i="32"/>
  <c r="E219" i="32"/>
  <c r="E220" i="32"/>
  <c r="E221" i="32"/>
  <c r="E222" i="32"/>
  <c r="E223" i="32"/>
  <c r="E224" i="32"/>
  <c r="E225" i="32"/>
  <c r="E226" i="32"/>
  <c r="E227" i="32"/>
  <c r="E228" i="32"/>
  <c r="E229" i="32"/>
  <c r="E230" i="32"/>
  <c r="E231" i="32"/>
  <c r="E232" i="32"/>
  <c r="E233" i="32"/>
  <c r="E234" i="32"/>
  <c r="E235" i="32"/>
  <c r="E236" i="32"/>
  <c r="E237" i="32"/>
  <c r="E238" i="32"/>
  <c r="E239" i="32"/>
  <c r="E240" i="32"/>
  <c r="E241" i="32"/>
  <c r="F273" i="23" l="1"/>
  <c r="F274" i="23"/>
  <c r="F275" i="23"/>
  <c r="F276" i="23"/>
  <c r="F277" i="23"/>
  <c r="F278" i="23"/>
  <c r="F279" i="23"/>
  <c r="F280" i="23"/>
  <c r="F281" i="23"/>
  <c r="F282" i="23"/>
  <c r="F283" i="23"/>
  <c r="F284" i="23"/>
  <c r="F285" i="23"/>
  <c r="F286" i="23"/>
  <c r="F287" i="23"/>
  <c r="F288" i="23"/>
  <c r="F289" i="23"/>
  <c r="F290" i="23"/>
  <c r="E38" i="63" l="1"/>
  <c r="E37" i="63"/>
  <c r="E36" i="63"/>
  <c r="E35" i="63"/>
  <c r="E34" i="63"/>
  <c r="E33" i="63"/>
  <c r="E32" i="63"/>
  <c r="E31" i="63"/>
  <c r="E30" i="63"/>
  <c r="E29" i="63"/>
  <c r="E27" i="63"/>
  <c r="E26" i="63"/>
  <c r="E25" i="63"/>
  <c r="E22" i="63"/>
  <c r="E21" i="63"/>
  <c r="E20" i="63"/>
  <c r="E19" i="63"/>
  <c r="E18" i="63"/>
  <c r="E17" i="63"/>
  <c r="E16" i="63"/>
  <c r="E15" i="63"/>
  <c r="E14" i="63"/>
  <c r="E13" i="63"/>
  <c r="E12" i="63"/>
  <c r="E11" i="63"/>
  <c r="E10" i="63"/>
  <c r="E9" i="63"/>
  <c r="E225" i="30" l="1"/>
  <c r="E226" i="30"/>
  <c r="E227" i="30"/>
  <c r="E228" i="30"/>
  <c r="E229" i="30"/>
  <c r="E230" i="30"/>
  <c r="E231" i="30"/>
  <c r="E232" i="30"/>
  <c r="E233" i="30"/>
  <c r="E234" i="30"/>
  <c r="E235" i="30"/>
  <c r="E236" i="30"/>
  <c r="E237" i="30"/>
  <c r="E238" i="30"/>
  <c r="E239" i="30"/>
  <c r="E240" i="30"/>
  <c r="E241" i="30"/>
  <c r="E242" i="30"/>
  <c r="E243" i="30"/>
  <c r="E244" i="30"/>
  <c r="E245" i="30"/>
  <c r="E246" i="30"/>
  <c r="F38" i="61" l="1"/>
  <c r="F37" i="61"/>
  <c r="F36" i="61"/>
  <c r="F35" i="61"/>
  <c r="F34" i="61"/>
  <c r="F33" i="61"/>
  <c r="F32" i="61"/>
  <c r="F31" i="61"/>
  <c r="F30" i="61"/>
  <c r="F29" i="61"/>
  <c r="F28" i="61"/>
  <c r="F27" i="61"/>
  <c r="F26" i="61"/>
  <c r="F25" i="61"/>
  <c r="F24" i="61"/>
  <c r="F23" i="61"/>
  <c r="F22" i="61"/>
  <c r="F21" i="61"/>
  <c r="F20" i="61"/>
  <c r="F19" i="61"/>
  <c r="F18" i="61"/>
  <c r="F17" i="61"/>
  <c r="F16" i="61"/>
  <c r="F15" i="61"/>
  <c r="F14" i="61"/>
  <c r="F13" i="61"/>
  <c r="F12" i="61"/>
  <c r="F11" i="61"/>
  <c r="F10" i="61"/>
  <c r="F9" i="61"/>
  <c r="F38" i="62"/>
  <c r="F37" i="62"/>
  <c r="F36" i="62"/>
  <c r="F35" i="62"/>
  <c r="F34" i="62"/>
  <c r="F33" i="62"/>
  <c r="F32" i="62"/>
  <c r="F31" i="62"/>
  <c r="F30" i="62"/>
  <c r="F29" i="62"/>
  <c r="F28" i="62"/>
  <c r="F27" i="62"/>
  <c r="F26" i="62"/>
  <c r="F25" i="62"/>
  <c r="F24" i="62"/>
  <c r="F23" i="62"/>
  <c r="F22" i="62"/>
  <c r="F21" i="62"/>
  <c r="F20" i="62"/>
  <c r="F19" i="62"/>
  <c r="F18" i="62"/>
  <c r="F17" i="62"/>
  <c r="F16" i="62"/>
  <c r="F15" i="62"/>
  <c r="F14" i="62"/>
  <c r="F13" i="62"/>
  <c r="F12" i="62"/>
  <c r="F11" i="62"/>
  <c r="F10" i="62"/>
  <c r="F9" i="62"/>
  <c r="F244" i="24"/>
  <c r="F245" i="24"/>
  <c r="F246" i="24"/>
  <c r="F247" i="24"/>
  <c r="F248" i="24"/>
  <c r="F26" i="58"/>
  <c r="F27" i="58"/>
  <c r="F28" i="58"/>
  <c r="F29" i="58"/>
  <c r="F30" i="58"/>
  <c r="F31" i="58"/>
  <c r="F32" i="58"/>
  <c r="F40" i="55"/>
  <c r="F41" i="55"/>
  <c r="F42" i="55"/>
  <c r="F43" i="55"/>
  <c r="F44" i="55"/>
  <c r="F267" i="23"/>
  <c r="F268" i="23"/>
  <c r="F269" i="23"/>
  <c r="F270" i="23"/>
  <c r="F271" i="23"/>
  <c r="F272" i="23"/>
  <c r="F33" i="56" l="1"/>
  <c r="F32" i="56"/>
  <c r="F31" i="56"/>
  <c r="F243" i="24"/>
  <c r="F242" i="24"/>
  <c r="F241" i="24"/>
  <c r="F240" i="24"/>
  <c r="F239" i="24"/>
  <c r="E224" i="30"/>
  <c r="E223" i="30"/>
  <c r="F265" i="23"/>
  <c r="F266" i="23"/>
  <c r="F264" i="23"/>
  <c r="F263" i="23"/>
  <c r="F262" i="23"/>
  <c r="F261" i="23"/>
  <c r="F260" i="23"/>
  <c r="F33" i="57"/>
  <c r="F34" i="57"/>
  <c r="F35" i="57"/>
  <c r="F36" i="57"/>
  <c r="F37" i="57"/>
  <c r="F38" i="57"/>
  <c r="F33" i="55"/>
  <c r="F34" i="55"/>
  <c r="F35" i="55"/>
  <c r="F36" i="55"/>
  <c r="F37" i="55"/>
  <c r="F38" i="55"/>
  <c r="F39" i="55"/>
  <c r="F19" i="58" l="1"/>
  <c r="F20" i="58"/>
  <c r="F21" i="58"/>
  <c r="F22" i="58"/>
  <c r="F23" i="58"/>
  <c r="F24" i="58"/>
  <c r="F25" i="58"/>
  <c r="F19" i="59" l="1"/>
  <c r="F20" i="59"/>
  <c r="F21" i="59"/>
  <c r="F22" i="59"/>
  <c r="F23" i="59"/>
  <c r="F24" i="59"/>
  <c r="F25" i="59"/>
  <c r="E219" i="30"/>
  <c r="E220" i="30"/>
  <c r="E221" i="30"/>
  <c r="E222" i="30"/>
  <c r="F235" i="24"/>
  <c r="F236" i="24"/>
  <c r="F237" i="24"/>
  <c r="F238" i="24"/>
  <c r="F21" i="57"/>
  <c r="F22" i="57"/>
  <c r="F23" i="57"/>
  <c r="F24" i="57"/>
  <c r="F25" i="57"/>
  <c r="F26" i="57"/>
  <c r="F27" i="57"/>
  <c r="F28" i="57"/>
  <c r="F29" i="57"/>
  <c r="F30" i="57"/>
  <c r="F31" i="57"/>
  <c r="F32" i="57"/>
  <c r="F23" i="56"/>
  <c r="F24" i="56"/>
  <c r="F25" i="56"/>
  <c r="F26" i="56"/>
  <c r="F27" i="56"/>
  <c r="F28" i="56"/>
  <c r="F29" i="56"/>
  <c r="F30" i="56"/>
  <c r="F28" i="55"/>
  <c r="F29" i="55"/>
  <c r="F30" i="55"/>
  <c r="F31" i="55"/>
  <c r="F32" i="55"/>
  <c r="E214" i="30"/>
  <c r="E215" i="30"/>
  <c r="E216" i="30"/>
  <c r="E217" i="30"/>
  <c r="E218" i="30"/>
  <c r="F25" i="55"/>
  <c r="F26" i="55"/>
  <c r="F27" i="55"/>
  <c r="F232" i="24"/>
  <c r="F233" i="24"/>
  <c r="F234" i="24"/>
  <c r="F255" i="23"/>
  <c r="F256" i="23"/>
  <c r="F257" i="23"/>
  <c r="F258" i="23"/>
  <c r="F259" i="23"/>
  <c r="E213" i="30"/>
  <c r="E212" i="30"/>
  <c r="E207" i="32" l="1"/>
  <c r="E206" i="32"/>
  <c r="F19" i="56"/>
  <c r="F20" i="56"/>
  <c r="F21" i="56"/>
  <c r="F22" i="56"/>
  <c r="F226" i="24"/>
  <c r="F227" i="24"/>
  <c r="F228" i="24"/>
  <c r="F229" i="24"/>
  <c r="F230" i="24"/>
  <c r="F231" i="24"/>
  <c r="E209" i="30"/>
  <c r="E210" i="30"/>
  <c r="E211" i="30"/>
  <c r="F250" i="23"/>
  <c r="F251" i="23"/>
  <c r="F252" i="23"/>
  <c r="F253" i="23"/>
  <c r="F254" i="23"/>
  <c r="F246" i="23"/>
  <c r="F247" i="23"/>
  <c r="F248" i="23"/>
  <c r="F249" i="23"/>
  <c r="F222" i="24"/>
  <c r="F225" i="24"/>
  <c r="F224" i="24"/>
  <c r="F223" i="24"/>
  <c r="F11" i="55" l="1"/>
  <c r="F12" i="55"/>
  <c r="F13" i="55"/>
  <c r="F14" i="55"/>
  <c r="F15" i="55"/>
  <c r="F20" i="55"/>
  <c r="F21" i="55"/>
  <c r="F22" i="55"/>
  <c r="F23" i="55"/>
  <c r="F24" i="55"/>
  <c r="F18" i="59"/>
  <c r="F17" i="59"/>
  <c r="F16" i="59"/>
  <c r="F15" i="59"/>
  <c r="F14" i="59"/>
  <c r="F13" i="59"/>
  <c r="F12" i="59"/>
  <c r="F11" i="59"/>
  <c r="F10" i="59"/>
  <c r="F9" i="59"/>
  <c r="F18" i="58"/>
  <c r="F17" i="58"/>
  <c r="F16" i="58"/>
  <c r="F15" i="58"/>
  <c r="F14" i="58"/>
  <c r="F13" i="58"/>
  <c r="F12" i="58"/>
  <c r="F11" i="58"/>
  <c r="F10" i="58"/>
  <c r="F9" i="58"/>
  <c r="F15" i="57"/>
  <c r="F16" i="57"/>
  <c r="F17" i="57"/>
  <c r="F18" i="57"/>
  <c r="F19" i="57"/>
  <c r="F20" i="57"/>
  <c r="F15" i="56"/>
  <c r="F16" i="56"/>
  <c r="F17" i="56"/>
  <c r="F18" i="56"/>
  <c r="F13" i="57"/>
  <c r="F14" i="57"/>
  <c r="F13" i="56"/>
  <c r="F14" i="56"/>
  <c r="E18" i="55"/>
  <c r="F19" i="55" s="1"/>
  <c r="E17" i="55"/>
  <c r="E16" i="55"/>
  <c r="F16" i="55" s="1"/>
  <c r="E198" i="32"/>
  <c r="E199" i="32"/>
  <c r="E200" i="32"/>
  <c r="E201" i="32"/>
  <c r="E202" i="32"/>
  <c r="E203" i="32"/>
  <c r="E204" i="32"/>
  <c r="E205" i="32"/>
  <c r="E194" i="32"/>
  <c r="E195" i="32"/>
  <c r="E196" i="32"/>
  <c r="E197" i="32"/>
  <c r="F12" i="57"/>
  <c r="F11" i="57"/>
  <c r="F10" i="57"/>
  <c r="F9" i="57"/>
  <c r="F10" i="56"/>
  <c r="F11" i="56"/>
  <c r="F12" i="56"/>
  <c r="F9" i="56"/>
  <c r="F18" i="55" l="1"/>
  <c r="F17" i="55"/>
  <c r="F121" i="46"/>
  <c r="F122" i="46"/>
  <c r="F123" i="46"/>
  <c r="F124" i="46"/>
  <c r="F125" i="46"/>
  <c r="E201" i="30"/>
  <c r="E202" i="30"/>
  <c r="E203" i="30"/>
  <c r="E204" i="30"/>
  <c r="E205" i="30"/>
  <c r="E206" i="30"/>
  <c r="E207" i="30"/>
  <c r="E208" i="30"/>
  <c r="E193" i="32"/>
  <c r="E192" i="32"/>
  <c r="E191" i="32"/>
  <c r="E190" i="32"/>
  <c r="E189" i="32"/>
  <c r="E188" i="32"/>
  <c r="F238" i="23"/>
  <c r="F239" i="23"/>
  <c r="F240" i="23"/>
  <c r="F241" i="23"/>
  <c r="F242" i="23"/>
  <c r="F243" i="23"/>
  <c r="F244" i="23"/>
  <c r="F245" i="23"/>
  <c r="E236" i="23"/>
  <c r="F118" i="46"/>
  <c r="F119" i="46"/>
  <c r="F120" i="46"/>
  <c r="E196" i="30"/>
  <c r="E197" i="30"/>
  <c r="E198" i="30"/>
  <c r="E199" i="30"/>
  <c r="E200" i="30"/>
  <c r="E235" i="23"/>
  <c r="F235" i="23" s="1"/>
  <c r="F19" i="53"/>
  <c r="F20" i="53"/>
  <c r="F21" i="53"/>
  <c r="E185" i="32"/>
  <c r="E186" i="32"/>
  <c r="E187" i="32"/>
  <c r="F231" i="23"/>
  <c r="F232" i="23"/>
  <c r="F233" i="23"/>
  <c r="F234" i="23"/>
  <c r="F112" i="46"/>
  <c r="F113" i="46"/>
  <c r="F114" i="46"/>
  <c r="F115" i="46"/>
  <c r="F116" i="46"/>
  <c r="F117" i="46"/>
  <c r="E190" i="30"/>
  <c r="E191" i="30"/>
  <c r="E192" i="30"/>
  <c r="E193" i="30"/>
  <c r="E194" i="30"/>
  <c r="E195" i="30"/>
  <c r="E180" i="32"/>
  <c r="E181" i="32"/>
  <c r="E182" i="32"/>
  <c r="E183" i="32"/>
  <c r="E184" i="32"/>
  <c r="E189" i="30"/>
  <c r="E108" i="46"/>
  <c r="F236" i="23" l="1"/>
  <c r="F237" i="23"/>
  <c r="F228" i="23"/>
  <c r="F229" i="23"/>
  <c r="F230" i="23"/>
  <c r="F106" i="46"/>
  <c r="F107" i="46"/>
  <c r="F108" i="46"/>
  <c r="F109" i="46"/>
  <c r="F110" i="46"/>
  <c r="F111" i="46"/>
  <c r="E182" i="30"/>
  <c r="E183" i="30"/>
  <c r="E184" i="30"/>
  <c r="E185" i="30"/>
  <c r="E186" i="30"/>
  <c r="E187" i="30"/>
  <c r="E188" i="30"/>
  <c r="E176" i="32"/>
  <c r="E177" i="32"/>
  <c r="E178" i="32"/>
  <c r="E179" i="32"/>
  <c r="F81" i="47"/>
  <c r="F82" i="47"/>
  <c r="F83" i="47"/>
  <c r="F84" i="47"/>
  <c r="F85" i="47"/>
  <c r="F86" i="47"/>
  <c r="F87" i="47"/>
  <c r="F88" i="47"/>
  <c r="F89" i="47"/>
  <c r="F154" i="36"/>
  <c r="F153" i="36"/>
  <c r="F152" i="36"/>
  <c r="F151" i="36"/>
  <c r="F150" i="36"/>
  <c r="F149" i="36"/>
  <c r="F148" i="36"/>
  <c r="F147" i="36"/>
  <c r="F146" i="36"/>
  <c r="F145" i="36"/>
  <c r="F158" i="35"/>
  <c r="F157" i="35"/>
  <c r="E168" i="32"/>
  <c r="E169" i="32"/>
  <c r="E170" i="32"/>
  <c r="E171" i="32"/>
  <c r="E172" i="32"/>
  <c r="E173" i="32"/>
  <c r="E174" i="32"/>
  <c r="E175" i="32"/>
  <c r="F18" i="54" l="1"/>
  <c r="F17" i="54"/>
  <c r="F16" i="54"/>
  <c r="F15" i="54"/>
  <c r="F14" i="54"/>
  <c r="F13" i="54"/>
  <c r="F12" i="54"/>
  <c r="F11" i="54"/>
  <c r="F10" i="54"/>
  <c r="F9" i="54"/>
  <c r="F8" i="54"/>
  <c r="F7" i="54"/>
  <c r="F6" i="54"/>
  <c r="F6" i="53"/>
  <c r="F18" i="53"/>
  <c r="F17" i="53"/>
  <c r="F16" i="53"/>
  <c r="F15" i="53"/>
  <c r="F14" i="53"/>
  <c r="F13" i="53"/>
  <c r="F12" i="53"/>
  <c r="F11" i="53"/>
  <c r="F10" i="53"/>
  <c r="F9" i="53"/>
  <c r="F8" i="53"/>
  <c r="F7" i="53"/>
  <c r="F170" i="23"/>
  <c r="F171" i="23"/>
  <c r="F172" i="23"/>
  <c r="F173" i="23"/>
  <c r="F174" i="23"/>
  <c r="F175" i="23"/>
  <c r="F176" i="23"/>
  <c r="F177" i="23"/>
  <c r="F178" i="23"/>
  <c r="F179" i="23"/>
  <c r="F180" i="23"/>
  <c r="F181" i="23"/>
  <c r="F182" i="23"/>
  <c r="F183" i="23"/>
  <c r="F184" i="23"/>
  <c r="F185" i="23"/>
  <c r="F186" i="23"/>
  <c r="F187" i="23"/>
  <c r="F188" i="23"/>
  <c r="F189" i="23"/>
  <c r="F190" i="23"/>
  <c r="F191" i="23"/>
  <c r="F192" i="23"/>
  <c r="F193" i="23"/>
  <c r="F194" i="23"/>
  <c r="F195" i="23"/>
  <c r="F196" i="23"/>
  <c r="F197" i="23"/>
  <c r="F198" i="23"/>
  <c r="F199" i="23"/>
  <c r="F200" i="23"/>
  <c r="F201" i="23"/>
  <c r="F202" i="23"/>
  <c r="F203" i="23"/>
  <c r="F204" i="23"/>
  <c r="F205" i="23"/>
  <c r="F206" i="23"/>
  <c r="F207" i="23"/>
  <c r="F208" i="23"/>
  <c r="F209" i="23"/>
  <c r="F210" i="23"/>
  <c r="F211" i="23"/>
  <c r="F212" i="23"/>
  <c r="F213" i="23"/>
  <c r="F214" i="23"/>
  <c r="F215" i="23"/>
  <c r="F216" i="23"/>
  <c r="F217" i="23"/>
  <c r="F218" i="23"/>
  <c r="F219" i="23"/>
  <c r="F220" i="23"/>
  <c r="F221" i="23"/>
  <c r="F222" i="23"/>
  <c r="F223" i="23"/>
  <c r="F224" i="23"/>
  <c r="F225" i="23"/>
  <c r="F226" i="23"/>
  <c r="F227" i="23"/>
  <c r="E181" i="30"/>
  <c r="F100" i="46"/>
  <c r="F101" i="46"/>
  <c r="F102" i="46"/>
  <c r="F103" i="46"/>
  <c r="F104" i="46"/>
  <c r="F105" i="46"/>
  <c r="F115" i="43"/>
  <c r="F116" i="43"/>
  <c r="F117" i="43"/>
  <c r="F118" i="43"/>
  <c r="F119" i="43"/>
  <c r="F120" i="43"/>
  <c r="F155" i="35"/>
  <c r="F156" i="35"/>
  <c r="F152" i="35"/>
  <c r="F153" i="35"/>
  <c r="F154" i="35"/>
  <c r="F112" i="43"/>
  <c r="F113" i="43"/>
  <c r="F114" i="43"/>
  <c r="E174" i="30"/>
  <c r="E175" i="30"/>
  <c r="E176" i="30"/>
  <c r="E177" i="30"/>
  <c r="E178" i="30"/>
  <c r="E179" i="30"/>
  <c r="E180" i="30"/>
  <c r="F95" i="46"/>
  <c r="F96" i="46"/>
  <c r="F97" i="46"/>
  <c r="F98" i="46"/>
  <c r="F99" i="46"/>
  <c r="F171" i="24"/>
  <c r="F172" i="24"/>
  <c r="F111" i="43"/>
  <c r="E172" i="30"/>
  <c r="E173" i="30"/>
  <c r="E165" i="32"/>
  <c r="E166" i="32"/>
  <c r="E167" i="32"/>
  <c r="D163" i="32"/>
  <c r="E163" i="32" s="1"/>
  <c r="F138" i="35"/>
  <c r="F139" i="35"/>
  <c r="F140" i="35"/>
  <c r="F141" i="35"/>
  <c r="F142" i="35"/>
  <c r="F143" i="35"/>
  <c r="F144" i="35"/>
  <c r="F145" i="35"/>
  <c r="F146" i="35"/>
  <c r="F147" i="35"/>
  <c r="F148" i="35"/>
  <c r="F149" i="35"/>
  <c r="F150" i="35"/>
  <c r="F151" i="35"/>
  <c r="F142" i="36"/>
  <c r="F143" i="36"/>
  <c r="F144" i="36"/>
  <c r="F106" i="43"/>
  <c r="F107" i="43"/>
  <c r="F108" i="43"/>
  <c r="F109" i="43"/>
  <c r="F110" i="43"/>
  <c r="F75" i="47"/>
  <c r="F76" i="47"/>
  <c r="F77" i="47"/>
  <c r="F78" i="47"/>
  <c r="F79" i="47"/>
  <c r="F80" i="47"/>
  <c r="F327" i="10"/>
  <c r="F328" i="10"/>
  <c r="F329" i="10"/>
  <c r="F330" i="10"/>
  <c r="F331" i="10"/>
  <c r="F332" i="10"/>
  <c r="F90" i="46"/>
  <c r="F91" i="46"/>
  <c r="F92" i="46"/>
  <c r="F93" i="46"/>
  <c r="F94" i="46"/>
  <c r="F84" i="46"/>
  <c r="F85" i="46"/>
  <c r="F86" i="46"/>
  <c r="F87" i="46"/>
  <c r="F88" i="46"/>
  <c r="F89" i="46"/>
  <c r="F104" i="43"/>
  <c r="F105" i="43"/>
  <c r="E161" i="32"/>
  <c r="E162" i="32"/>
  <c r="F140" i="36"/>
  <c r="F141" i="36"/>
  <c r="E167" i="30"/>
  <c r="E168" i="30"/>
  <c r="E169" i="30"/>
  <c r="E170" i="30"/>
  <c r="E171" i="30"/>
  <c r="E162" i="30"/>
  <c r="E163" i="30"/>
  <c r="E164" i="30"/>
  <c r="E165" i="30"/>
  <c r="E166" i="30"/>
  <c r="E155" i="32"/>
  <c r="E156" i="32"/>
  <c r="E157" i="32"/>
  <c r="E158" i="32"/>
  <c r="E159" i="32"/>
  <c r="E160" i="32"/>
  <c r="F134" i="36"/>
  <c r="F135" i="36"/>
  <c r="F136" i="36"/>
  <c r="F137" i="36"/>
  <c r="F138" i="36"/>
  <c r="F139" i="36"/>
  <c r="F69" i="47"/>
  <c r="F70" i="47"/>
  <c r="F71" i="47"/>
  <c r="F72" i="47"/>
  <c r="F73" i="47"/>
  <c r="F74" i="47"/>
  <c r="F98" i="43"/>
  <c r="F99" i="43"/>
  <c r="F100" i="43"/>
  <c r="F101" i="43"/>
  <c r="F102" i="43"/>
  <c r="F103" i="43"/>
  <c r="F318" i="10"/>
  <c r="F319" i="10"/>
  <c r="F320" i="10"/>
  <c r="F321" i="10"/>
  <c r="F322" i="10"/>
  <c r="F323" i="10"/>
  <c r="F324" i="10"/>
  <c r="F325" i="10"/>
  <c r="F326" i="10"/>
  <c r="F137" i="35"/>
  <c r="E151" i="32"/>
  <c r="E152" i="32"/>
  <c r="E153" i="32"/>
  <c r="E154" i="32"/>
  <c r="F6" i="52"/>
  <c r="F7" i="52"/>
  <c r="F8" i="52"/>
  <c r="F18" i="52"/>
  <c r="F17" i="52"/>
  <c r="F16" i="52"/>
  <c r="F15" i="52"/>
  <c r="F14" i="52"/>
  <c r="F13" i="52"/>
  <c r="F12" i="52"/>
  <c r="F11" i="52"/>
  <c r="F10" i="52"/>
  <c r="F9" i="52"/>
  <c r="F68" i="47"/>
  <c r="F67" i="47"/>
  <c r="F133" i="36"/>
  <c r="F65" i="47"/>
  <c r="F66" i="47"/>
  <c r="F96" i="43"/>
  <c r="F97" i="43"/>
  <c r="F95" i="43"/>
  <c r="F294" i="4"/>
  <c r="F317" i="10"/>
  <c r="F316" i="10"/>
  <c r="E150" i="32"/>
  <c r="F291" i="4"/>
  <c r="F292" i="4"/>
  <c r="F293" i="4"/>
  <c r="E164" i="32" l="1"/>
  <c r="F130" i="36"/>
  <c r="F131" i="36"/>
  <c r="F132" i="36"/>
  <c r="F77" i="46"/>
  <c r="F78" i="46"/>
  <c r="F79" i="46"/>
  <c r="F80" i="46"/>
  <c r="F81" i="46"/>
  <c r="F82" i="46"/>
  <c r="F83" i="46"/>
  <c r="F290" i="4"/>
  <c r="E153" i="30"/>
  <c r="E154" i="30"/>
  <c r="E155" i="30"/>
  <c r="E156" i="30"/>
  <c r="E157" i="30"/>
  <c r="E158" i="30"/>
  <c r="E159" i="30"/>
  <c r="E160" i="30"/>
  <c r="E161" i="30"/>
  <c r="F289" i="4"/>
  <c r="F288" i="4"/>
  <c r="F74" i="46"/>
  <c r="F75" i="46"/>
  <c r="F76" i="46"/>
  <c r="F60" i="47"/>
  <c r="F61" i="47"/>
  <c r="F62" i="47"/>
  <c r="F63" i="47"/>
  <c r="F64" i="47"/>
  <c r="F59" i="47"/>
  <c r="F126" i="36"/>
  <c r="F127" i="36"/>
  <c r="F128" i="36"/>
  <c r="F129" i="36"/>
  <c r="F311" i="10"/>
  <c r="F312" i="10"/>
  <c r="F313" i="10"/>
  <c r="F314" i="10"/>
  <c r="F315" i="10"/>
  <c r="F129" i="35"/>
  <c r="F130" i="35"/>
  <c r="F131" i="35"/>
  <c r="F132" i="35"/>
  <c r="F133" i="35"/>
  <c r="F134" i="35"/>
  <c r="F135" i="35"/>
  <c r="F136" i="35"/>
  <c r="F73" i="46"/>
  <c r="E152" i="30"/>
  <c r="E151" i="30"/>
  <c r="F287" i="4"/>
  <c r="F87" i="43"/>
  <c r="F88" i="43"/>
  <c r="F89" i="43"/>
  <c r="F90" i="43"/>
  <c r="F91" i="43"/>
  <c r="F92" i="43"/>
  <c r="F93" i="43"/>
  <c r="F94" i="43"/>
  <c r="F125" i="35"/>
  <c r="F126" i="35"/>
  <c r="F127" i="35"/>
  <c r="F128" i="35"/>
  <c r="F86" i="43"/>
  <c r="F85" i="43"/>
  <c r="F84" i="43"/>
  <c r="E140" i="32" l="1"/>
  <c r="E141" i="32"/>
  <c r="E142" i="32"/>
  <c r="E143" i="32"/>
  <c r="E144" i="32"/>
  <c r="E145" i="32"/>
  <c r="E146" i="32"/>
  <c r="E147" i="32"/>
  <c r="E148" i="32"/>
  <c r="E149" i="32"/>
  <c r="F306" i="10"/>
  <c r="F307" i="10"/>
  <c r="F308" i="10"/>
  <c r="F309" i="10"/>
  <c r="F310" i="10"/>
  <c r="F119" i="36"/>
  <c r="F120" i="36"/>
  <c r="F121" i="36"/>
  <c r="F122" i="36"/>
  <c r="F123" i="36"/>
  <c r="F124" i="36"/>
  <c r="F125" i="36"/>
  <c r="F282" i="4"/>
  <c r="F283" i="4"/>
  <c r="F284" i="4"/>
  <c r="F285" i="4"/>
  <c r="F286" i="4"/>
  <c r="F67" i="46"/>
  <c r="F68" i="46"/>
  <c r="F69" i="46"/>
  <c r="F70" i="46"/>
  <c r="F71" i="46"/>
  <c r="F72" i="46"/>
  <c r="F163" i="24"/>
  <c r="F164" i="24"/>
  <c r="F165" i="24"/>
  <c r="F166" i="24"/>
  <c r="F167" i="24"/>
  <c r="F168" i="24"/>
  <c r="F169" i="24"/>
  <c r="F170" i="24"/>
  <c r="E146" i="30"/>
  <c r="E147" i="30"/>
  <c r="E148" i="30"/>
  <c r="E149" i="30"/>
  <c r="E150" i="30"/>
  <c r="F162" i="24"/>
  <c r="E139" i="32"/>
  <c r="F281" i="4"/>
  <c r="F118" i="36"/>
  <c r="F83" i="43"/>
  <c r="F82" i="43"/>
  <c r="E138" i="32"/>
  <c r="E137" i="32"/>
  <c r="E136" i="32"/>
  <c r="E145" i="30"/>
  <c r="F280" i="4"/>
  <c r="F279" i="4"/>
  <c r="F278" i="4"/>
  <c r="F62" i="46"/>
  <c r="F63" i="46"/>
  <c r="F64" i="46"/>
  <c r="F65" i="46"/>
  <c r="F66" i="46"/>
  <c r="E135" i="32"/>
  <c r="E134" i="32"/>
  <c r="F276" i="4"/>
  <c r="F277" i="4"/>
  <c r="F118" i="35"/>
  <c r="F119" i="35"/>
  <c r="F120" i="35"/>
  <c r="F121" i="35"/>
  <c r="F122" i="35"/>
  <c r="F123" i="35"/>
  <c r="F124" i="35"/>
  <c r="F60" i="46"/>
  <c r="F61" i="46"/>
  <c r="F300" i="10"/>
  <c r="F301" i="10"/>
  <c r="F302" i="10"/>
  <c r="F303" i="10"/>
  <c r="F304" i="10"/>
  <c r="F305" i="10"/>
  <c r="E133" i="32"/>
  <c r="E132" i="32"/>
  <c r="F124" i="10"/>
  <c r="F59" i="10"/>
  <c r="F58" i="10"/>
  <c r="F57" i="10"/>
  <c r="F56" i="10"/>
  <c r="F55" i="10"/>
  <c r="F54" i="10"/>
  <c r="F53" i="10"/>
  <c r="F52" i="10"/>
  <c r="F51" i="10"/>
  <c r="F50" i="10"/>
  <c r="F49" i="10"/>
  <c r="F22" i="10"/>
  <c r="F21" i="10"/>
  <c r="F11" i="10"/>
  <c r="F12" i="10"/>
  <c r="F13" i="10"/>
  <c r="F14" i="10"/>
  <c r="F15" i="10"/>
  <c r="F16" i="10"/>
  <c r="F17" i="10"/>
  <c r="F18" i="10"/>
  <c r="F19" i="10"/>
  <c r="F20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10" i="10"/>
  <c r="F9" i="10"/>
  <c r="F8" i="10"/>
  <c r="F7" i="10"/>
  <c r="F6" i="10"/>
  <c r="F5" i="10"/>
  <c r="F3" i="10"/>
  <c r="F4" i="10"/>
  <c r="F75" i="43"/>
  <c r="F76" i="43"/>
  <c r="F77" i="43"/>
  <c r="F78" i="43"/>
  <c r="F79" i="43"/>
  <c r="F80" i="43"/>
  <c r="F81" i="43"/>
  <c r="F108" i="36"/>
  <c r="F109" i="36"/>
  <c r="F110" i="36"/>
  <c r="F111" i="36"/>
  <c r="F112" i="36"/>
  <c r="F113" i="36"/>
  <c r="F114" i="36"/>
  <c r="F115" i="36"/>
  <c r="F116" i="36"/>
  <c r="F117" i="36"/>
  <c r="F107" i="36"/>
  <c r="F154" i="24"/>
  <c r="F155" i="24"/>
  <c r="F156" i="24"/>
  <c r="F157" i="24"/>
  <c r="F158" i="24"/>
  <c r="F159" i="24"/>
  <c r="F160" i="24"/>
  <c r="F161" i="24"/>
  <c r="F57" i="46"/>
  <c r="F58" i="46"/>
  <c r="F59" i="46"/>
  <c r="E136" i="30"/>
  <c r="E137" i="30"/>
  <c r="E138" i="30"/>
  <c r="E139" i="30"/>
  <c r="E140" i="30"/>
  <c r="E141" i="30"/>
  <c r="E142" i="30"/>
  <c r="E143" i="30"/>
  <c r="E144" i="30"/>
  <c r="F272" i="4"/>
  <c r="F273" i="4"/>
  <c r="F274" i="4"/>
  <c r="F275" i="4"/>
  <c r="F112" i="35"/>
  <c r="F113" i="35"/>
  <c r="F114" i="35"/>
  <c r="F115" i="35"/>
  <c r="F116" i="35"/>
  <c r="F117" i="35"/>
  <c r="F293" i="10"/>
  <c r="F294" i="10"/>
  <c r="F295" i="10"/>
  <c r="F296" i="10"/>
  <c r="F297" i="10"/>
  <c r="F298" i="10"/>
  <c r="F299" i="10"/>
  <c r="E121" i="32"/>
  <c r="E122" i="32"/>
  <c r="E123" i="32"/>
  <c r="E124" i="32"/>
  <c r="E125" i="32"/>
  <c r="E126" i="32"/>
  <c r="E127" i="32"/>
  <c r="E128" i="32"/>
  <c r="E129" i="32"/>
  <c r="E130" i="32"/>
  <c r="E131" i="32"/>
  <c r="F269" i="4"/>
  <c r="F270" i="4"/>
  <c r="F271" i="4"/>
  <c r="F69" i="43"/>
  <c r="F70" i="43"/>
  <c r="F71" i="43"/>
  <c r="F72" i="43"/>
  <c r="F73" i="43"/>
  <c r="F74" i="43"/>
  <c r="E130" i="30"/>
  <c r="E131" i="30"/>
  <c r="E132" i="30"/>
  <c r="E133" i="30"/>
  <c r="E134" i="30"/>
  <c r="E135" i="30"/>
  <c r="F147" i="24"/>
  <c r="F148" i="24"/>
  <c r="F149" i="24"/>
  <c r="F150" i="24"/>
  <c r="F151" i="24"/>
  <c r="F152" i="24"/>
  <c r="F153" i="24"/>
  <c r="F51" i="46"/>
  <c r="F52" i="46"/>
  <c r="F53" i="46"/>
  <c r="F54" i="46"/>
  <c r="F55" i="46"/>
  <c r="F56" i="46"/>
  <c r="F289" i="10"/>
  <c r="F290" i="10"/>
  <c r="F291" i="10"/>
  <c r="F292" i="10"/>
  <c r="F266" i="4"/>
  <c r="F267" i="4"/>
  <c r="F268" i="4"/>
  <c r="F107" i="35"/>
  <c r="F108" i="35"/>
  <c r="F109" i="35"/>
  <c r="F110" i="35"/>
  <c r="F111" i="35"/>
  <c r="F146" i="24"/>
  <c r="F145" i="24"/>
  <c r="F50" i="46"/>
  <c r="F49" i="46"/>
  <c r="F169" i="23"/>
  <c r="F168" i="23"/>
  <c r="F167" i="23"/>
  <c r="F265" i="4"/>
  <c r="F264" i="4"/>
  <c r="E120" i="32"/>
  <c r="E119" i="32"/>
  <c r="F140" i="24"/>
  <c r="F141" i="24"/>
  <c r="F142" i="24"/>
  <c r="F143" i="24"/>
  <c r="F144" i="24"/>
  <c r="F63" i="43"/>
  <c r="F64" i="43"/>
  <c r="F65" i="43"/>
  <c r="F66" i="43"/>
  <c r="F67" i="43"/>
  <c r="F68" i="43"/>
  <c r="F164" i="23"/>
  <c r="F165" i="23"/>
  <c r="F166" i="23"/>
  <c r="F283" i="10"/>
  <c r="F284" i="10"/>
  <c r="F285" i="10"/>
  <c r="F286" i="10"/>
  <c r="F287" i="10"/>
  <c r="F288" i="10"/>
  <c r="F102" i="35"/>
  <c r="F103" i="35"/>
  <c r="F104" i="35"/>
  <c r="F105" i="35"/>
  <c r="F106" i="35"/>
  <c r="F45" i="46"/>
  <c r="F46" i="46"/>
  <c r="F47" i="46"/>
  <c r="F48" i="46"/>
  <c r="E124" i="30"/>
  <c r="E125" i="30"/>
  <c r="E126" i="30"/>
  <c r="E127" i="30"/>
  <c r="E128" i="30"/>
  <c r="E129" i="30"/>
  <c r="F62" i="43"/>
  <c r="F61" i="43"/>
  <c r="F60" i="43"/>
  <c r="E118" i="32"/>
  <c r="E117" i="32"/>
  <c r="E116" i="32"/>
  <c r="E115" i="32"/>
  <c r="E114" i="32"/>
  <c r="F101" i="35"/>
  <c r="F282" i="10"/>
  <c r="F281" i="10"/>
  <c r="F280" i="10"/>
  <c r="F44" i="46"/>
  <c r="F259" i="4"/>
  <c r="F260" i="4"/>
  <c r="F261" i="4"/>
  <c r="F262" i="4"/>
  <c r="F263" i="4"/>
  <c r="F98" i="35"/>
  <c r="F99" i="35"/>
  <c r="F100" i="35"/>
  <c r="F256" i="4"/>
  <c r="F257" i="4"/>
  <c r="F258" i="4"/>
  <c r="F20" i="47"/>
  <c r="F21" i="47"/>
  <c r="F22" i="47"/>
  <c r="F23" i="47"/>
  <c r="F24" i="47"/>
  <c r="F25" i="47"/>
  <c r="F26" i="47"/>
  <c r="F12" i="50"/>
  <c r="F13" i="50"/>
  <c r="F14" i="50"/>
  <c r="F15" i="50"/>
  <c r="F16" i="50"/>
  <c r="E120" i="30"/>
  <c r="E121" i="30"/>
  <c r="E122" i="30"/>
  <c r="E123" i="30"/>
  <c r="F126" i="24"/>
  <c r="F127" i="24"/>
  <c r="F128" i="24"/>
  <c r="F129" i="24"/>
  <c r="F130" i="24"/>
  <c r="F131" i="24"/>
  <c r="F132" i="24"/>
  <c r="F133" i="24"/>
  <c r="F134" i="24"/>
  <c r="F135" i="24"/>
  <c r="F136" i="24"/>
  <c r="F137" i="24"/>
  <c r="F138" i="24"/>
  <c r="F139" i="24"/>
  <c r="F156" i="23"/>
  <c r="F157" i="23"/>
  <c r="F158" i="23"/>
  <c r="F159" i="23"/>
  <c r="F160" i="23"/>
  <c r="F161" i="23"/>
  <c r="F162" i="23"/>
  <c r="F163" i="23"/>
  <c r="E109" i="32"/>
  <c r="E110" i="32"/>
  <c r="E111" i="32"/>
  <c r="E112" i="32"/>
  <c r="E113" i="32"/>
  <c r="E119" i="30"/>
  <c r="E117" i="30"/>
  <c r="E118" i="30"/>
  <c r="E116" i="30"/>
  <c r="F39" i="46"/>
  <c r="F40" i="46"/>
  <c r="F41" i="46"/>
  <c r="F42" i="46"/>
  <c r="F43" i="46"/>
  <c r="F277" i="10"/>
  <c r="F278" i="10"/>
  <c r="F279" i="10"/>
  <c r="F95" i="35"/>
  <c r="F96" i="35"/>
  <c r="F97" i="35"/>
  <c r="F92" i="35"/>
  <c r="F93" i="35"/>
  <c r="F94" i="35"/>
  <c r="F275" i="10"/>
  <c r="F276" i="10"/>
  <c r="F7" i="50"/>
  <c r="F8" i="50"/>
  <c r="F9" i="50"/>
  <c r="F10" i="50"/>
  <c r="F11" i="50"/>
  <c r="F6" i="50"/>
  <c r="F53" i="43"/>
  <c r="F54" i="43"/>
  <c r="F55" i="43"/>
  <c r="F56" i="43"/>
  <c r="F57" i="43"/>
  <c r="F58" i="43"/>
  <c r="F59" i="43"/>
  <c r="E114" i="30"/>
  <c r="E115" i="30"/>
  <c r="F249" i="4"/>
  <c r="F250" i="4"/>
  <c r="F251" i="4"/>
  <c r="F252" i="4"/>
  <c r="F253" i="4"/>
  <c r="F254" i="4"/>
  <c r="F255" i="4"/>
  <c r="F154" i="23"/>
  <c r="F155" i="23"/>
  <c r="E101" i="32"/>
  <c r="E102" i="32"/>
  <c r="E103" i="32"/>
  <c r="E104" i="32"/>
  <c r="E105" i="32"/>
  <c r="E106" i="32"/>
  <c r="E107" i="32"/>
  <c r="E108" i="32"/>
  <c r="F32" i="46"/>
  <c r="F33" i="46"/>
  <c r="F34" i="46"/>
  <c r="F35" i="46"/>
  <c r="F36" i="46"/>
  <c r="F37" i="46"/>
  <c r="F38" i="46"/>
  <c r="F151" i="23"/>
  <c r="F152" i="23"/>
  <c r="F153" i="23"/>
  <c r="F271" i="10"/>
  <c r="F272" i="10"/>
  <c r="F273" i="10"/>
  <c r="F274" i="10"/>
  <c r="F85" i="35"/>
  <c r="F86" i="35"/>
  <c r="F87" i="35"/>
  <c r="F88" i="35"/>
  <c r="F89" i="35"/>
  <c r="F90" i="35"/>
  <c r="F91" i="35"/>
  <c r="F137" i="23"/>
  <c r="F138" i="23"/>
  <c r="F139" i="23"/>
  <c r="F140" i="23"/>
  <c r="F141" i="23"/>
  <c r="F142" i="23"/>
  <c r="F143" i="23"/>
  <c r="F144" i="23"/>
  <c r="F145" i="23"/>
  <c r="F146" i="23"/>
  <c r="F147" i="23"/>
  <c r="F148" i="23"/>
  <c r="F149" i="23"/>
  <c r="F150" i="23"/>
  <c r="F136" i="23"/>
  <c r="F31" i="46"/>
  <c r="F44" i="43"/>
  <c r="F45" i="43"/>
  <c r="F46" i="43"/>
  <c r="F47" i="43"/>
  <c r="F48" i="43"/>
  <c r="F49" i="43"/>
  <c r="F50" i="43"/>
  <c r="F51" i="43"/>
  <c r="F52" i="43"/>
  <c r="F267" i="10"/>
  <c r="F268" i="10"/>
  <c r="F269" i="10"/>
  <c r="F270" i="10"/>
  <c r="E107" i="30"/>
  <c r="E108" i="30"/>
  <c r="E109" i="30"/>
  <c r="E110" i="30"/>
  <c r="E111" i="30"/>
  <c r="E112" i="30"/>
  <c r="E113" i="30"/>
  <c r="F30" i="46" l="1"/>
  <c r="F28" i="46"/>
  <c r="F244" i="4"/>
  <c r="F245" i="4"/>
  <c r="F246" i="4"/>
  <c r="F247" i="4"/>
  <c r="F248" i="4"/>
  <c r="E106" i="30"/>
  <c r="F10" i="47" l="1"/>
  <c r="F11" i="47"/>
  <c r="F12" i="47"/>
  <c r="F13" i="47"/>
  <c r="F14" i="47"/>
  <c r="F15" i="47"/>
  <c r="F16" i="47"/>
  <c r="F17" i="47"/>
  <c r="F18" i="47"/>
  <c r="F19" i="47"/>
  <c r="F242" i="4"/>
  <c r="F243" i="4"/>
  <c r="F78" i="35"/>
  <c r="F79" i="35"/>
  <c r="F80" i="35"/>
  <c r="F81" i="35"/>
  <c r="F82" i="35"/>
  <c r="F83" i="35"/>
  <c r="F84" i="35"/>
  <c r="F235" i="4"/>
  <c r="F236" i="4"/>
  <c r="F237" i="4"/>
  <c r="F238" i="4"/>
  <c r="F240" i="4"/>
  <c r="F241" i="4"/>
  <c r="F239" i="4"/>
  <c r="F120" i="24"/>
  <c r="F121" i="24"/>
  <c r="F122" i="24"/>
  <c r="F123" i="24"/>
  <c r="F124" i="24"/>
  <c r="F125" i="24"/>
  <c r="F261" i="10"/>
  <c r="F262" i="10"/>
  <c r="F263" i="10"/>
  <c r="F264" i="10"/>
  <c r="F265" i="10"/>
  <c r="F266" i="10"/>
  <c r="F23" i="46"/>
  <c r="F24" i="46"/>
  <c r="F25" i="46"/>
  <c r="F26" i="46"/>
  <c r="F27" i="46"/>
  <c r="F29" i="46"/>
  <c r="F40" i="43"/>
  <c r="F41" i="43"/>
  <c r="F42" i="43"/>
  <c r="F43" i="43"/>
  <c r="F8" i="48"/>
  <c r="F7" i="48"/>
  <c r="F117" i="27"/>
  <c r="F118" i="27"/>
  <c r="F119" i="27"/>
  <c r="F120" i="27"/>
  <c r="F121" i="27"/>
  <c r="F122" i="27"/>
  <c r="F123" i="27"/>
  <c r="F124" i="27"/>
  <c r="F125" i="27"/>
  <c r="F126" i="27"/>
  <c r="F117" i="24"/>
  <c r="F118" i="24"/>
  <c r="F119" i="24"/>
  <c r="E95" i="32"/>
  <c r="E96" i="32"/>
  <c r="E97" i="32"/>
  <c r="E98" i="32"/>
  <c r="E99" i="32"/>
  <c r="E100" i="32"/>
  <c r="F8" i="47"/>
  <c r="F9" i="47"/>
  <c r="F7" i="47"/>
  <c r="F28" i="45"/>
  <c r="F27" i="45"/>
  <c r="F26" i="45"/>
  <c r="F116" i="24"/>
  <c r="F260" i="10"/>
  <c r="F259" i="10"/>
  <c r="F258" i="10"/>
  <c r="F77" i="35"/>
  <c r="F6" i="47"/>
  <c r="E97" i="30"/>
  <c r="E98" i="30"/>
  <c r="E99" i="30"/>
  <c r="E100" i="30"/>
  <c r="E101" i="30"/>
  <c r="E102" i="30"/>
  <c r="E103" i="30"/>
  <c r="E104" i="30"/>
  <c r="E105" i="30"/>
  <c r="F73" i="35"/>
  <c r="F74" i="35"/>
  <c r="F75" i="35"/>
  <c r="F76" i="35"/>
  <c r="E90" i="32"/>
  <c r="E91" i="32"/>
  <c r="E92" i="32"/>
  <c r="E93" i="32"/>
  <c r="E94" i="32"/>
  <c r="F30" i="43"/>
  <c r="F31" i="43"/>
  <c r="F32" i="43"/>
  <c r="F33" i="43"/>
  <c r="F34" i="43"/>
  <c r="F35" i="43"/>
  <c r="F36" i="43"/>
  <c r="F37" i="43"/>
  <c r="F38" i="43"/>
  <c r="F39" i="43"/>
  <c r="E95" i="30"/>
  <c r="E96" i="30"/>
  <c r="F112" i="24"/>
  <c r="F113" i="24"/>
  <c r="F114" i="24"/>
  <c r="F115" i="24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29" i="4"/>
  <c r="F230" i="4"/>
  <c r="F231" i="4"/>
  <c r="F232" i="4"/>
  <c r="F233" i="4"/>
  <c r="F234" i="4"/>
  <c r="F70" i="35"/>
  <c r="F71" i="35"/>
  <c r="F72" i="35"/>
  <c r="F21" i="44"/>
  <c r="F20" i="44"/>
  <c r="F227" i="4"/>
  <c r="F20" i="45"/>
  <c r="F21" i="45"/>
  <c r="F22" i="45"/>
  <c r="F23" i="45"/>
  <c r="F24" i="45"/>
  <c r="F25" i="45"/>
  <c r="F91" i="24"/>
  <c r="F92" i="24"/>
  <c r="F93" i="24"/>
  <c r="F94" i="24"/>
  <c r="F95" i="24"/>
  <c r="F96" i="24"/>
  <c r="F97" i="24"/>
  <c r="F98" i="24"/>
  <c r="F99" i="24"/>
  <c r="F100" i="24"/>
  <c r="F101" i="24"/>
  <c r="F102" i="24"/>
  <c r="F103" i="24"/>
  <c r="F104" i="24"/>
  <c r="F105" i="24"/>
  <c r="F106" i="24"/>
  <c r="F107" i="24"/>
  <c r="F108" i="24"/>
  <c r="F109" i="24"/>
  <c r="F110" i="24"/>
  <c r="F111" i="24"/>
  <c r="F127" i="23"/>
  <c r="F128" i="23"/>
  <c r="F129" i="23"/>
  <c r="F130" i="23"/>
  <c r="F131" i="23"/>
  <c r="F132" i="23"/>
  <c r="F133" i="23"/>
  <c r="F134" i="23"/>
  <c r="F135" i="23"/>
  <c r="E82" i="32"/>
  <c r="E83" i="32"/>
  <c r="E84" i="32"/>
  <c r="E85" i="32"/>
  <c r="E86" i="32"/>
  <c r="E87" i="32"/>
  <c r="E88" i="32"/>
  <c r="E89" i="32"/>
  <c r="F23" i="43"/>
  <c r="F24" i="43"/>
  <c r="F25" i="43"/>
  <c r="F26" i="43"/>
  <c r="F27" i="43"/>
  <c r="F28" i="43"/>
  <c r="F29" i="43"/>
  <c r="F114" i="27"/>
  <c r="F115" i="27"/>
  <c r="F116" i="27"/>
  <c r="F112" i="27"/>
  <c r="F113" i="27"/>
  <c r="E87" i="30"/>
  <c r="E88" i="30"/>
  <c r="E89" i="30"/>
  <c r="E90" i="30"/>
  <c r="E91" i="30"/>
  <c r="E92" i="30"/>
  <c r="E93" i="30"/>
  <c r="E94" i="30"/>
  <c r="F63" i="35"/>
  <c r="F64" i="35"/>
  <c r="F65" i="35"/>
  <c r="F66" i="35"/>
  <c r="F67" i="35"/>
  <c r="F68" i="35"/>
  <c r="F69" i="35"/>
  <c r="F221" i="4"/>
  <c r="F222" i="4"/>
  <c r="F223" i="4"/>
  <c r="F224" i="4"/>
  <c r="F225" i="4"/>
  <c r="F226" i="4"/>
  <c r="F228" i="4"/>
  <c r="E85" i="30"/>
  <c r="E86" i="30"/>
  <c r="E78" i="32"/>
  <c r="E79" i="32"/>
  <c r="E80" i="32"/>
  <c r="E81" i="32"/>
  <c r="F22" i="46"/>
  <c r="F21" i="46"/>
  <c r="F20" i="46"/>
  <c r="F19" i="46"/>
  <c r="F18" i="46"/>
  <c r="F17" i="46"/>
  <c r="F16" i="46"/>
  <c r="F15" i="46"/>
  <c r="F14" i="46"/>
  <c r="F13" i="46"/>
  <c r="F12" i="46"/>
  <c r="F11" i="46"/>
  <c r="F10" i="46"/>
  <c r="F9" i="46"/>
  <c r="F8" i="46"/>
  <c r="F7" i="46"/>
  <c r="F6" i="46"/>
  <c r="F107" i="27"/>
  <c r="F108" i="27"/>
  <c r="F109" i="27"/>
  <c r="F110" i="27"/>
  <c r="F111" i="27"/>
  <c r="E74" i="32"/>
  <c r="E75" i="32"/>
  <c r="E76" i="32"/>
  <c r="E77" i="32"/>
  <c r="E79" i="30"/>
  <c r="E80" i="30"/>
  <c r="E81" i="30"/>
  <c r="E82" i="30"/>
  <c r="E83" i="30"/>
  <c r="E84" i="30"/>
  <c r="F20" i="43"/>
  <c r="F21" i="43"/>
  <c r="F22" i="43"/>
  <c r="F216" i="4"/>
  <c r="F217" i="4"/>
  <c r="F218" i="4"/>
  <c r="F219" i="4"/>
  <c r="F220" i="4"/>
  <c r="F57" i="35"/>
  <c r="F58" i="35"/>
  <c r="F59" i="35"/>
  <c r="F60" i="35"/>
  <c r="F61" i="35"/>
  <c r="F62" i="35"/>
  <c r="F53" i="35"/>
  <c r="F54" i="35"/>
  <c r="F55" i="35"/>
  <c r="F56" i="35"/>
  <c r="F215" i="4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19" i="45"/>
  <c r="F18" i="45"/>
  <c r="F17" i="45"/>
  <c r="F16" i="45"/>
  <c r="F15" i="45"/>
  <c r="F14" i="45"/>
  <c r="F13" i="45"/>
  <c r="F12" i="45"/>
  <c r="F11" i="45"/>
  <c r="F10" i="45"/>
  <c r="F9" i="45"/>
  <c r="F8" i="45"/>
  <c r="F7" i="45"/>
  <c r="F6" i="45"/>
  <c r="E78" i="30"/>
  <c r="F114" i="23" l="1"/>
  <c r="F115" i="23"/>
  <c r="F116" i="23"/>
  <c r="F117" i="23"/>
  <c r="F118" i="23"/>
  <c r="F119" i="23"/>
  <c r="F120" i="23"/>
  <c r="F121" i="23"/>
  <c r="F122" i="23"/>
  <c r="F123" i="23"/>
  <c r="F124" i="23"/>
  <c r="F125" i="23"/>
  <c r="F126" i="23"/>
  <c r="F212" i="4"/>
  <c r="F213" i="4"/>
  <c r="F214" i="4"/>
  <c r="F19" i="44"/>
  <c r="F18" i="44"/>
  <c r="F17" i="44"/>
  <c r="F16" i="44"/>
  <c r="F15" i="44"/>
  <c r="F14" i="44"/>
  <c r="F13" i="44"/>
  <c r="F12" i="44"/>
  <c r="F11" i="44"/>
  <c r="F10" i="44"/>
  <c r="F9" i="44"/>
  <c r="F8" i="44"/>
  <c r="F7" i="44"/>
  <c r="F6" i="44"/>
  <c r="F12" i="43"/>
  <c r="F13" i="43"/>
  <c r="F14" i="43"/>
  <c r="F15" i="43"/>
  <c r="F16" i="43"/>
  <c r="F17" i="43"/>
  <c r="F18" i="43"/>
  <c r="F19" i="43"/>
  <c r="E68" i="32"/>
  <c r="E69" i="32"/>
  <c r="E70" i="32"/>
  <c r="E71" i="32"/>
  <c r="E72" i="32"/>
  <c r="E73" i="32"/>
  <c r="F99" i="27"/>
  <c r="F100" i="27"/>
  <c r="F101" i="27"/>
  <c r="F102" i="27"/>
  <c r="F103" i="27"/>
  <c r="F104" i="27"/>
  <c r="F105" i="27"/>
  <c r="F106" i="27"/>
  <c r="F211" i="4"/>
  <c r="F210" i="4"/>
  <c r="F166" i="15"/>
  <c r="F165" i="15"/>
  <c r="F164" i="15"/>
  <c r="F163" i="15"/>
  <c r="F162" i="15"/>
  <c r="F161" i="15"/>
  <c r="F160" i="15"/>
  <c r="F159" i="15"/>
  <c r="F158" i="15"/>
  <c r="F157" i="15"/>
  <c r="F156" i="15"/>
  <c r="F155" i="15"/>
  <c r="F154" i="15"/>
  <c r="F153" i="15"/>
  <c r="F152" i="15"/>
  <c r="F151" i="15"/>
  <c r="F45" i="36"/>
  <c r="F44" i="36"/>
  <c r="F43" i="36"/>
  <c r="F42" i="36"/>
  <c r="F41" i="36"/>
  <c r="F40" i="36"/>
  <c r="F39" i="36"/>
  <c r="F38" i="36"/>
  <c r="F37" i="36"/>
  <c r="F36" i="36"/>
  <c r="F35" i="36"/>
  <c r="F34" i="36"/>
  <c r="F33" i="36"/>
  <c r="F32" i="36"/>
  <c r="F31" i="36"/>
  <c r="F98" i="27"/>
  <c r="F97" i="27"/>
  <c r="F90" i="24"/>
  <c r="F81" i="24"/>
  <c r="F82" i="24"/>
  <c r="F83" i="24"/>
  <c r="F84" i="24"/>
  <c r="F85" i="24"/>
  <c r="F86" i="24"/>
  <c r="F87" i="24"/>
  <c r="F88" i="24"/>
  <c r="F89" i="24"/>
  <c r="E71" i="30"/>
  <c r="E72" i="30"/>
  <c r="E73" i="30"/>
  <c r="E74" i="30"/>
  <c r="E75" i="30"/>
  <c r="F11" i="43"/>
  <c r="F10" i="43"/>
  <c r="F9" i="43"/>
  <c r="F8" i="43"/>
  <c r="F7" i="43"/>
  <c r="F6" i="43"/>
  <c r="F7" i="42"/>
  <c r="F8" i="42"/>
  <c r="F9" i="42"/>
  <c r="F45" i="35"/>
  <c r="F46" i="35"/>
  <c r="F47" i="35"/>
  <c r="F48" i="35"/>
  <c r="F49" i="35"/>
  <c r="F50" i="35"/>
  <c r="F51" i="35"/>
  <c r="F52" i="35"/>
  <c r="E69" i="30"/>
  <c r="E70" i="30"/>
  <c r="E76" i="30"/>
  <c r="E77" i="30"/>
  <c r="F11" i="42"/>
  <c r="F10" i="42"/>
  <c r="F6" i="42"/>
  <c r="F107" i="23"/>
  <c r="F108" i="23"/>
  <c r="F109" i="23"/>
  <c r="F110" i="23"/>
  <c r="F111" i="23"/>
  <c r="F112" i="23"/>
  <c r="F113" i="23"/>
  <c r="E59" i="32"/>
  <c r="E60" i="32"/>
  <c r="E61" i="32"/>
  <c r="E62" i="32"/>
  <c r="E63" i="32"/>
  <c r="E64" i="32"/>
  <c r="E65" i="32"/>
  <c r="E66" i="32"/>
  <c r="E67" i="32"/>
  <c r="F89" i="27"/>
  <c r="F90" i="27"/>
  <c r="F91" i="27"/>
  <c r="F92" i="27"/>
  <c r="F93" i="27"/>
  <c r="F94" i="27"/>
  <c r="F95" i="27"/>
  <c r="F96" i="27"/>
  <c r="F201" i="4"/>
  <c r="F202" i="4"/>
  <c r="F203" i="4"/>
  <c r="F204" i="4"/>
  <c r="F205" i="4"/>
  <c r="F206" i="4"/>
  <c r="F207" i="4"/>
  <c r="F208" i="4"/>
  <c r="F209" i="4"/>
  <c r="E62" i="30"/>
  <c r="E63" i="30"/>
  <c r="E64" i="30"/>
  <c r="E65" i="30"/>
  <c r="E66" i="30"/>
  <c r="E67" i="30"/>
  <c r="E68" i="30"/>
  <c r="F85" i="27"/>
  <c r="F86" i="27"/>
  <c r="F87" i="27"/>
  <c r="F88" i="27"/>
  <c r="F100" i="23"/>
  <c r="F101" i="23"/>
  <c r="F102" i="23"/>
  <c r="F103" i="23"/>
  <c r="F104" i="23"/>
  <c r="F105" i="23"/>
  <c r="F106" i="23"/>
  <c r="F36" i="35"/>
  <c r="F37" i="35"/>
  <c r="F38" i="35"/>
  <c r="F39" i="35"/>
  <c r="F40" i="35"/>
  <c r="F41" i="35"/>
  <c r="F42" i="35"/>
  <c r="F43" i="35"/>
  <c r="F44" i="35"/>
  <c r="F83" i="27"/>
  <c r="F84" i="27"/>
  <c r="F67" i="24"/>
  <c r="F68" i="24"/>
  <c r="F69" i="24"/>
  <c r="F70" i="24"/>
  <c r="F71" i="24"/>
  <c r="F72" i="24"/>
  <c r="F73" i="24"/>
  <c r="F74" i="24"/>
  <c r="F75" i="24"/>
  <c r="F76" i="24"/>
  <c r="F77" i="24"/>
  <c r="F78" i="24"/>
  <c r="F79" i="24"/>
  <c r="F80" i="24"/>
  <c r="F32" i="35"/>
  <c r="F33" i="35"/>
  <c r="F34" i="35"/>
  <c r="F35" i="35"/>
  <c r="E55" i="30"/>
  <c r="E56" i="30"/>
  <c r="E57" i="30"/>
  <c r="E58" i="30"/>
  <c r="E59" i="30"/>
  <c r="E60" i="30"/>
  <c r="E61" i="30"/>
  <c r="F12" i="39"/>
  <c r="F13" i="39"/>
  <c r="F14" i="39"/>
  <c r="F15" i="39"/>
  <c r="F16" i="39"/>
  <c r="F17" i="39"/>
  <c r="F18" i="39"/>
  <c r="E48" i="32"/>
  <c r="E49" i="32"/>
  <c r="E50" i="32"/>
  <c r="E51" i="32"/>
  <c r="E52" i="32"/>
  <c r="E53" i="32"/>
  <c r="E54" i="32"/>
  <c r="E55" i="32"/>
  <c r="E56" i="32"/>
  <c r="E57" i="32"/>
  <c r="E58" i="32"/>
  <c r="F147" i="15"/>
  <c r="F148" i="15"/>
  <c r="F149" i="15"/>
  <c r="F150" i="15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11" i="10"/>
  <c r="F212" i="10"/>
  <c r="F213" i="10"/>
  <c r="F214" i="10"/>
  <c r="F215" i="10"/>
  <c r="F216" i="10"/>
  <c r="F92" i="23"/>
  <c r="F93" i="23"/>
  <c r="F94" i="23"/>
  <c r="F95" i="23"/>
  <c r="F96" i="23"/>
  <c r="F97" i="23"/>
  <c r="F98" i="23"/>
  <c r="F99" i="23"/>
  <c r="E52" i="30"/>
  <c r="E53" i="30"/>
  <c r="E54" i="30"/>
  <c r="F143" i="15"/>
  <c r="F144" i="15"/>
  <c r="F145" i="15"/>
  <c r="F146" i="15"/>
  <c r="F76" i="27"/>
  <c r="F77" i="27"/>
  <c r="F78" i="27"/>
  <c r="F79" i="27"/>
  <c r="F80" i="27"/>
  <c r="F81" i="27"/>
  <c r="F82" i="27"/>
  <c r="F62" i="28"/>
  <c r="F63" i="28"/>
  <c r="F64" i="28"/>
  <c r="F65" i="28"/>
  <c r="F66" i="28"/>
  <c r="F67" i="28"/>
  <c r="F68" i="28"/>
  <c r="F69" i="28"/>
  <c r="F70" i="28"/>
  <c r="F7" i="40"/>
  <c r="F8" i="40"/>
  <c r="F9" i="40"/>
  <c r="F10" i="40"/>
  <c r="F11" i="40"/>
  <c r="F12" i="40"/>
  <c r="F13" i="40"/>
  <c r="F14" i="40"/>
  <c r="F15" i="40"/>
  <c r="F6" i="40"/>
  <c r="F11" i="41"/>
  <c r="F10" i="41"/>
  <c r="F9" i="41"/>
  <c r="F8" i="41"/>
  <c r="F6" i="41"/>
  <c r="F75" i="27"/>
  <c r="F74" i="27"/>
  <c r="E49" i="30"/>
  <c r="E50" i="30"/>
  <c r="E51" i="30"/>
  <c r="F63" i="24"/>
  <c r="F64" i="24"/>
  <c r="F65" i="24"/>
  <c r="F66" i="24"/>
  <c r="F25" i="35"/>
  <c r="F26" i="35"/>
  <c r="F27" i="35"/>
  <c r="F28" i="35"/>
  <c r="F29" i="35"/>
  <c r="F30" i="35"/>
  <c r="F31" i="35"/>
  <c r="F23" i="35"/>
  <c r="F24" i="35"/>
  <c r="F47" i="40"/>
  <c r="F46" i="40"/>
  <c r="F45" i="40"/>
  <c r="F44" i="40"/>
  <c r="F43" i="40"/>
  <c r="F42" i="40"/>
  <c r="F41" i="40"/>
  <c r="E39" i="32"/>
  <c r="E40" i="32"/>
  <c r="E41" i="32"/>
  <c r="E42" i="32"/>
  <c r="E43" i="32"/>
  <c r="E44" i="32"/>
  <c r="E45" i="32"/>
  <c r="E46" i="32"/>
  <c r="E47" i="32"/>
  <c r="F84" i="23"/>
  <c r="F85" i="23"/>
  <c r="F86" i="23"/>
  <c r="F87" i="23"/>
  <c r="F88" i="23"/>
  <c r="F89" i="23"/>
  <c r="F90" i="23"/>
  <c r="F91" i="23"/>
  <c r="F21" i="35"/>
  <c r="F22" i="35"/>
  <c r="E44" i="30"/>
  <c r="F62" i="24"/>
  <c r="F61" i="24"/>
  <c r="E38" i="32"/>
  <c r="E37" i="32"/>
  <c r="F20" i="35"/>
  <c r="F19" i="35"/>
  <c r="E43" i="30"/>
  <c r="E45" i="30"/>
  <c r="E46" i="30"/>
  <c r="E47" i="30"/>
  <c r="E48" i="30"/>
  <c r="F180" i="4"/>
  <c r="F181" i="4"/>
  <c r="F182" i="4"/>
  <c r="F183" i="4"/>
  <c r="F184" i="4"/>
  <c r="F185" i="4"/>
  <c r="F186" i="4"/>
  <c r="F187" i="4"/>
  <c r="F201" i="10"/>
  <c r="F202" i="10"/>
  <c r="F203" i="10"/>
  <c r="F204" i="10"/>
  <c r="F205" i="10"/>
  <c r="F206" i="10"/>
  <c r="F207" i="10"/>
  <c r="F208" i="10"/>
  <c r="F209" i="10"/>
  <c r="F210" i="10"/>
  <c r="F68" i="27"/>
  <c r="F69" i="27"/>
  <c r="F70" i="27"/>
  <c r="F71" i="27"/>
  <c r="F72" i="27"/>
  <c r="F73" i="27"/>
  <c r="F55" i="28"/>
  <c r="F56" i="28"/>
  <c r="F57" i="28"/>
  <c r="F58" i="28"/>
  <c r="F59" i="28"/>
  <c r="F60" i="28"/>
  <c r="F61" i="28"/>
  <c r="F11" i="39"/>
  <c r="F10" i="39"/>
  <c r="F9" i="39"/>
  <c r="F8" i="39"/>
  <c r="F6" i="39"/>
  <c r="F60" i="24"/>
  <c r="F83" i="23"/>
  <c r="F179" i="4"/>
  <c r="F178" i="4"/>
  <c r="F135" i="15"/>
  <c r="F136" i="15"/>
  <c r="F137" i="15"/>
  <c r="F138" i="15"/>
  <c r="F139" i="15"/>
  <c r="F140" i="15"/>
  <c r="F141" i="15"/>
  <c r="F142" i="15"/>
  <c r="E36" i="32"/>
  <c r="E42" i="30"/>
  <c r="F67" i="27"/>
  <c r="F66" i="27"/>
  <c r="F59" i="24"/>
  <c r="F58" i="24"/>
  <c r="F57" i="24"/>
  <c r="F82" i="23"/>
  <c r="F200" i="10"/>
  <c r="F199" i="10"/>
  <c r="F177" i="4"/>
  <c r="F134" i="15"/>
  <c r="F18" i="35"/>
  <c r="F17" i="35"/>
  <c r="F16" i="35"/>
  <c r="F15" i="35"/>
  <c r="F14" i="35"/>
  <c r="F13" i="35"/>
  <c r="F12" i="35"/>
  <c r="F11" i="35"/>
  <c r="F10" i="35"/>
  <c r="F9" i="35"/>
  <c r="E35" i="32"/>
  <c r="E34" i="32"/>
  <c r="E33" i="32"/>
  <c r="F54" i="28"/>
  <c r="F53" i="28"/>
  <c r="F52" i="28"/>
  <c r="F51" i="28"/>
  <c r="F65" i="27"/>
  <c r="F64" i="27"/>
  <c r="F81" i="23"/>
  <c r="F176" i="4"/>
  <c r="F175" i="4"/>
  <c r="F174" i="4"/>
  <c r="F133" i="15"/>
  <c r="F132" i="15"/>
  <c r="F131" i="15"/>
  <c r="F54" i="24"/>
  <c r="E32" i="32"/>
  <c r="F50" i="28"/>
  <c r="F49" i="28"/>
  <c r="F48" i="28"/>
  <c r="F53" i="24"/>
  <c r="F55" i="24"/>
  <c r="F56" i="24"/>
  <c r="F77" i="23"/>
  <c r="F78" i="23"/>
  <c r="F79" i="23"/>
  <c r="F80" i="23"/>
  <c r="F6" i="38"/>
  <c r="F7" i="38"/>
  <c r="F70" i="23"/>
  <c r="F71" i="23"/>
  <c r="F72" i="23"/>
  <c r="F73" i="23"/>
  <c r="F74" i="23"/>
  <c r="F75" i="23"/>
  <c r="F76" i="23"/>
  <c r="F170" i="4"/>
  <c r="F171" i="4"/>
  <c r="F172" i="4"/>
  <c r="F173" i="4"/>
  <c r="F30" i="38"/>
  <c r="F29" i="38"/>
  <c r="F28" i="38"/>
  <c r="F27" i="38"/>
  <c r="F26" i="38"/>
  <c r="F25" i="38"/>
  <c r="F24" i="38"/>
  <c r="F23" i="38"/>
  <c r="F22" i="38"/>
  <c r="F21" i="38"/>
  <c r="F20" i="38"/>
  <c r="F19" i="38"/>
  <c r="F18" i="38"/>
  <c r="F17" i="38"/>
  <c r="F16" i="38"/>
  <c r="F15" i="38"/>
  <c r="F14" i="38"/>
  <c r="F13" i="38"/>
  <c r="F12" i="38"/>
  <c r="F11" i="38"/>
  <c r="F10" i="38"/>
  <c r="F9" i="38"/>
  <c r="F8" i="38"/>
  <c r="F190" i="10"/>
  <c r="F191" i="10"/>
  <c r="F192" i="10"/>
  <c r="F193" i="10"/>
  <c r="F194" i="10"/>
  <c r="F195" i="10"/>
  <c r="F196" i="10"/>
  <c r="F197" i="10"/>
  <c r="F198" i="10"/>
  <c r="F11" i="34"/>
  <c r="F12" i="34"/>
  <c r="F13" i="34"/>
  <c r="E31" i="30"/>
  <c r="E32" i="30"/>
  <c r="E33" i="30"/>
  <c r="E34" i="30"/>
  <c r="E35" i="30"/>
  <c r="E36" i="30"/>
  <c r="E37" i="30"/>
  <c r="E38" i="30"/>
  <c r="E39" i="30"/>
  <c r="E40" i="30"/>
  <c r="E41" i="30"/>
  <c r="F30" i="36"/>
  <c r="F29" i="36"/>
  <c r="F28" i="36"/>
  <c r="F27" i="36"/>
  <c r="F26" i="36"/>
  <c r="F25" i="36"/>
  <c r="F24" i="36"/>
  <c r="F23" i="36"/>
  <c r="F22" i="36"/>
  <c r="F21" i="36"/>
  <c r="F20" i="36"/>
  <c r="F19" i="36"/>
  <c r="F18" i="36"/>
  <c r="F17" i="36"/>
  <c r="F16" i="36"/>
  <c r="F15" i="36"/>
  <c r="F14" i="36"/>
  <c r="F13" i="36"/>
  <c r="F12" i="36"/>
  <c r="F11" i="36"/>
  <c r="F10" i="36"/>
  <c r="F9" i="36"/>
  <c r="F8" i="36"/>
  <c r="F7" i="36"/>
  <c r="F120" i="15"/>
  <c r="F121" i="15"/>
  <c r="F122" i="15"/>
  <c r="F123" i="15"/>
  <c r="F124" i="15"/>
  <c r="F125" i="15"/>
  <c r="F126" i="15"/>
  <c r="F127" i="15"/>
  <c r="F128" i="15"/>
  <c r="F129" i="15"/>
  <c r="F130" i="15"/>
  <c r="F9" i="34"/>
  <c r="F10" i="34"/>
  <c r="F14" i="34"/>
  <c r="F15" i="34"/>
  <c r="F16" i="34"/>
  <c r="F17" i="34"/>
  <c r="F18" i="34"/>
  <c r="F54" i="27"/>
  <c r="F55" i="27"/>
  <c r="F56" i="27"/>
  <c r="F57" i="27"/>
  <c r="F58" i="27"/>
  <c r="F59" i="27"/>
  <c r="F60" i="27"/>
  <c r="F61" i="27"/>
  <c r="F62" i="27"/>
  <c r="F63" i="27"/>
  <c r="F8" i="35"/>
  <c r="F7" i="35"/>
  <c r="F5" i="35"/>
  <c r="F69" i="23"/>
  <c r="F53" i="27"/>
  <c r="F8" i="34"/>
  <c r="F7" i="34"/>
  <c r="F41" i="28"/>
  <c r="F42" i="28"/>
  <c r="F43" i="28"/>
  <c r="F44" i="28"/>
  <c r="F45" i="28"/>
  <c r="F46" i="28"/>
  <c r="F47" i="28"/>
  <c r="F5" i="34"/>
  <c r="F52" i="27"/>
  <c r="E21" i="32"/>
  <c r="E22" i="32"/>
  <c r="E23" i="32"/>
  <c r="E24" i="32"/>
  <c r="E25" i="32"/>
  <c r="E26" i="32"/>
  <c r="E27" i="32"/>
  <c r="E28" i="32"/>
  <c r="E29" i="32"/>
  <c r="E30" i="32"/>
  <c r="E31" i="32"/>
  <c r="F51" i="27"/>
  <c r="F37" i="29"/>
  <c r="F36" i="29"/>
  <c r="F35" i="29"/>
  <c r="F34" i="29"/>
  <c r="F33" i="29"/>
  <c r="F32" i="29"/>
  <c r="F31" i="29"/>
  <c r="F30" i="29"/>
  <c r="F29" i="29"/>
  <c r="F28" i="29"/>
  <c r="F161" i="4"/>
  <c r="F162" i="4"/>
  <c r="F163" i="4"/>
  <c r="F164" i="4"/>
  <c r="F165" i="4"/>
  <c r="F166" i="4"/>
  <c r="F167" i="4"/>
  <c r="F168" i="4"/>
  <c r="F169" i="4"/>
  <c r="F17" i="33" l="1"/>
  <c r="F18" i="33"/>
  <c r="F19" i="33"/>
  <c r="F20" i="33"/>
  <c r="F21" i="33"/>
  <c r="F22" i="33"/>
  <c r="F23" i="33"/>
  <c r="F24" i="33"/>
  <c r="F25" i="33"/>
  <c r="F26" i="33"/>
  <c r="F27" i="33"/>
  <c r="F28" i="33"/>
  <c r="F29" i="33"/>
  <c r="F30" i="33"/>
  <c r="F114" i="15"/>
  <c r="F115" i="15"/>
  <c r="F116" i="15"/>
  <c r="F117" i="15"/>
  <c r="F118" i="15"/>
  <c r="F119" i="15"/>
  <c r="F181" i="10"/>
  <c r="F182" i="10"/>
  <c r="F183" i="10"/>
  <c r="F184" i="10"/>
  <c r="F185" i="10"/>
  <c r="F186" i="10"/>
  <c r="F187" i="10"/>
  <c r="F188" i="10"/>
  <c r="F189" i="10"/>
  <c r="F63" i="23"/>
  <c r="F64" i="23"/>
  <c r="F65" i="23"/>
  <c r="F66" i="23"/>
  <c r="F67" i="23"/>
  <c r="F68" i="23"/>
  <c r="F40" i="24"/>
  <c r="F41" i="24"/>
  <c r="F42" i="24"/>
  <c r="F43" i="24"/>
  <c r="F44" i="24"/>
  <c r="F45" i="24"/>
  <c r="F46" i="24"/>
  <c r="F47" i="24"/>
  <c r="F48" i="24"/>
  <c r="F49" i="24"/>
  <c r="F50" i="24"/>
  <c r="F51" i="24"/>
  <c r="F52" i="24"/>
  <c r="F39" i="24"/>
  <c r="F37" i="24"/>
  <c r="F36" i="24"/>
  <c r="F35" i="24"/>
  <c r="F34" i="24"/>
  <c r="F33" i="24"/>
  <c r="F32" i="24"/>
  <c r="F31" i="24"/>
  <c r="F155" i="4"/>
  <c r="F156" i="4"/>
  <c r="F157" i="4"/>
  <c r="F158" i="4"/>
  <c r="F159" i="4"/>
  <c r="F11" i="33" l="1"/>
  <c r="F12" i="33"/>
  <c r="F13" i="33"/>
  <c r="F14" i="33"/>
  <c r="F15" i="33"/>
  <c r="F16" i="33"/>
  <c r="F106" i="15"/>
  <c r="F107" i="15"/>
  <c r="F108" i="15"/>
  <c r="F109" i="15"/>
  <c r="F110" i="15"/>
  <c r="F111" i="15"/>
  <c r="F112" i="15"/>
  <c r="F113" i="15"/>
  <c r="E12" i="32" l="1"/>
  <c r="E13" i="32"/>
  <c r="E14" i="32"/>
  <c r="E15" i="32"/>
  <c r="E16" i="32"/>
  <c r="E17" i="32"/>
  <c r="E18" i="32"/>
  <c r="E19" i="32"/>
  <c r="E20" i="32"/>
  <c r="E19" i="30"/>
  <c r="E20" i="30"/>
  <c r="E21" i="30"/>
  <c r="E22" i="30"/>
  <c r="E23" i="30"/>
  <c r="E24" i="30"/>
  <c r="E25" i="30"/>
  <c r="E26" i="30"/>
  <c r="E27" i="30"/>
  <c r="E28" i="30"/>
  <c r="E29" i="30"/>
  <c r="E30" i="30"/>
  <c r="F32" i="28"/>
  <c r="F33" i="28"/>
  <c r="F34" i="28"/>
  <c r="F35" i="28"/>
  <c r="F36" i="28"/>
  <c r="F37" i="28"/>
  <c r="F38" i="28"/>
  <c r="F39" i="28"/>
  <c r="F40" i="28"/>
  <c r="F42" i="27"/>
  <c r="F43" i="27"/>
  <c r="F44" i="27"/>
  <c r="F45" i="27"/>
  <c r="F46" i="27"/>
  <c r="F47" i="27"/>
  <c r="F48" i="27"/>
  <c r="F49" i="27"/>
  <c r="F50" i="27"/>
  <c r="F27" i="29" l="1"/>
  <c r="F26" i="29"/>
  <c r="F25" i="29"/>
  <c r="F96" i="15"/>
  <c r="F97" i="15"/>
  <c r="F98" i="15"/>
  <c r="F99" i="15"/>
  <c r="F100" i="15"/>
  <c r="F101" i="15"/>
  <c r="F102" i="15"/>
  <c r="F103" i="15"/>
  <c r="F104" i="15"/>
  <c r="F105" i="15"/>
  <c r="F174" i="10"/>
  <c r="F175" i="10"/>
  <c r="F176" i="10"/>
  <c r="F177" i="10"/>
  <c r="F178" i="10"/>
  <c r="F179" i="10"/>
  <c r="F180" i="10"/>
  <c r="F151" i="4" l="1"/>
  <c r="F152" i="4"/>
  <c r="F153" i="4"/>
  <c r="F154" i="4"/>
  <c r="F7" i="33"/>
  <c r="F10" i="33"/>
  <c r="F9" i="33"/>
  <c r="F8" i="33"/>
  <c r="E9" i="32"/>
  <c r="E10" i="32"/>
  <c r="E11" i="32"/>
  <c r="E8" i="32"/>
  <c r="E12" i="30"/>
  <c r="E13" i="30"/>
  <c r="E15" i="30"/>
  <c r="E16" i="30"/>
  <c r="E17" i="30"/>
  <c r="E18" i="30"/>
  <c r="E11" i="30"/>
  <c r="F27" i="28"/>
  <c r="F28" i="28"/>
  <c r="F29" i="28"/>
  <c r="F30" i="28"/>
  <c r="F31" i="28"/>
  <c r="F53" i="23"/>
  <c r="F54" i="23"/>
  <c r="F55" i="23"/>
  <c r="F56" i="23"/>
  <c r="F57" i="23"/>
  <c r="F58" i="23"/>
  <c r="F59" i="23"/>
  <c r="F60" i="23"/>
  <c r="F61" i="23"/>
  <c r="F62" i="23"/>
  <c r="F24" i="29" l="1"/>
  <c r="F23" i="29"/>
  <c r="F26" i="28"/>
  <c r="F30" i="24"/>
  <c r="F52" i="23"/>
  <c r="F51" i="23"/>
  <c r="F50" i="23"/>
  <c r="F25" i="28"/>
  <c r="F22" i="29"/>
  <c r="F24" i="28"/>
  <c r="F23" i="28"/>
  <c r="F22" i="28"/>
  <c r="F21" i="28"/>
  <c r="F49" i="23"/>
  <c r="F169" i="10"/>
  <c r="F168" i="10"/>
  <c r="F170" i="10"/>
  <c r="F171" i="10"/>
  <c r="F172" i="10"/>
  <c r="F173" i="10"/>
  <c r="F115" i="10" l="1"/>
  <c r="F116" i="10"/>
  <c r="F117" i="10"/>
  <c r="F118" i="10"/>
  <c r="F119" i="10"/>
  <c r="F120" i="10"/>
  <c r="F121" i="10"/>
  <c r="F122" i="10"/>
  <c r="F123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89" i="10"/>
  <c r="F90" i="10"/>
  <c r="F91" i="10"/>
  <c r="F92" i="10"/>
  <c r="F93" i="10"/>
  <c r="F94" i="10"/>
  <c r="F95" i="10"/>
  <c r="F96" i="10"/>
  <c r="F97" i="10"/>
  <c r="F98" i="10"/>
  <c r="F99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143" i="4"/>
  <c r="F144" i="4"/>
  <c r="F147" i="4"/>
  <c r="F148" i="4"/>
  <c r="F149" i="4"/>
  <c r="F150" i="4"/>
  <c r="F91" i="15" l="1"/>
  <c r="F92" i="15"/>
  <c r="F93" i="15"/>
  <c r="F94" i="15"/>
  <c r="F95" i="15"/>
  <c r="F32" i="27" l="1"/>
  <c r="F35" i="27"/>
  <c r="F36" i="27"/>
  <c r="F37" i="27"/>
  <c r="F38" i="27"/>
  <c r="F39" i="27"/>
  <c r="F40" i="27"/>
  <c r="F41" i="27"/>
  <c r="F14" i="29" l="1"/>
  <c r="F15" i="29"/>
  <c r="F16" i="29"/>
  <c r="F17" i="29"/>
  <c r="F18" i="29"/>
  <c r="F19" i="29"/>
  <c r="F20" i="29"/>
  <c r="F21" i="29"/>
  <c r="F13" i="29"/>
  <c r="F29" i="27"/>
  <c r="F30" i="27"/>
  <c r="F31" i="27"/>
  <c r="F43" i="23"/>
  <c r="F44" i="23"/>
  <c r="F45" i="23"/>
  <c r="F46" i="23"/>
  <c r="F47" i="23"/>
  <c r="F48" i="23"/>
  <c r="F139" i="4"/>
  <c r="F140" i="4"/>
  <c r="F141" i="4"/>
  <c r="AE21" i="26" l="1"/>
  <c r="AG21" i="26" s="1"/>
  <c r="AJ21" i="26" s="1"/>
  <c r="F160" i="10" l="1"/>
  <c r="F161" i="10"/>
  <c r="F162" i="10"/>
  <c r="F163" i="10"/>
  <c r="F164" i="10"/>
  <c r="F165" i="10"/>
  <c r="F166" i="10"/>
  <c r="F167" i="10"/>
  <c r="F18" i="24" l="1"/>
  <c r="F19" i="24"/>
  <c r="F20" i="24"/>
  <c r="F21" i="24"/>
  <c r="F22" i="24"/>
  <c r="F23" i="24"/>
  <c r="F24" i="24"/>
  <c r="F25" i="24"/>
  <c r="F26" i="24"/>
  <c r="F27" i="24"/>
  <c r="F28" i="24"/>
  <c r="F29" i="24"/>
  <c r="F155" i="10" l="1"/>
  <c r="F156" i="10"/>
  <c r="F157" i="10"/>
  <c r="F158" i="10"/>
  <c r="F159" i="10"/>
  <c r="F83" i="15" l="1"/>
  <c r="F84" i="15"/>
  <c r="F85" i="15"/>
  <c r="F86" i="15"/>
  <c r="F87" i="15"/>
  <c r="F88" i="15"/>
  <c r="F89" i="15"/>
  <c r="F90" i="15"/>
  <c r="F131" i="4" l="1"/>
  <c r="F132" i="4"/>
  <c r="F133" i="4"/>
  <c r="F134" i="4"/>
  <c r="F135" i="4"/>
  <c r="F136" i="4"/>
  <c r="F137" i="4"/>
  <c r="F138" i="4"/>
  <c r="F20" i="27" l="1"/>
  <c r="F21" i="27"/>
  <c r="F22" i="27"/>
  <c r="F23" i="27"/>
  <c r="F24" i="27"/>
  <c r="F25" i="27"/>
  <c r="F26" i="27"/>
  <c r="F27" i="27"/>
  <c r="F28" i="27"/>
  <c r="F9" i="28" l="1"/>
  <c r="F10" i="28"/>
  <c r="F11" i="28"/>
  <c r="F12" i="28"/>
  <c r="F13" i="28"/>
  <c r="F14" i="28"/>
  <c r="F15" i="28"/>
  <c r="F16" i="28"/>
  <c r="F17" i="28"/>
  <c r="F18" i="28"/>
  <c r="F19" i="28"/>
  <c r="F20" i="28"/>
  <c r="F8" i="28"/>
  <c r="F79" i="15"/>
  <c r="F16" i="27" l="1"/>
  <c r="F17" i="27"/>
  <c r="F18" i="27"/>
  <c r="F19" i="27"/>
  <c r="F31" i="23"/>
  <c r="F32" i="23"/>
  <c r="F33" i="23"/>
  <c r="F34" i="23"/>
  <c r="F35" i="23"/>
  <c r="F36" i="23"/>
  <c r="F37" i="23"/>
  <c r="F38" i="23"/>
  <c r="F39" i="23"/>
  <c r="F40" i="23"/>
  <c r="F41" i="23"/>
  <c r="F42" i="23"/>
  <c r="F151" i="10"/>
  <c r="F152" i="10"/>
  <c r="F153" i="10"/>
  <c r="F154" i="10"/>
  <c r="F80" i="15"/>
  <c r="F81" i="15"/>
  <c r="F82" i="15"/>
  <c r="F69" i="15" l="1"/>
  <c r="F70" i="15"/>
  <c r="F71" i="15"/>
  <c r="F72" i="15"/>
  <c r="F73" i="15"/>
  <c r="F74" i="15"/>
  <c r="F75" i="15"/>
  <c r="F76" i="15"/>
  <c r="F77" i="15"/>
  <c r="F78" i="15"/>
  <c r="F148" i="10" l="1"/>
  <c r="F149" i="10"/>
  <c r="F150" i="10"/>
  <c r="F106" i="6"/>
  <c r="F107" i="6"/>
  <c r="F108" i="6"/>
  <c r="F109" i="6"/>
  <c r="F110" i="6"/>
  <c r="F111" i="6"/>
  <c r="F112" i="6"/>
  <c r="F113" i="6"/>
  <c r="F114" i="6"/>
  <c r="F115" i="6"/>
  <c r="F116" i="6"/>
  <c r="F117" i="6"/>
  <c r="F123" i="4" l="1"/>
  <c r="F124" i="4"/>
  <c r="F125" i="4"/>
  <c r="F126" i="4"/>
  <c r="F127" i="4"/>
  <c r="F128" i="4"/>
  <c r="F129" i="4"/>
  <c r="F130" i="4"/>
  <c r="F164" i="2" l="1"/>
  <c r="F165" i="2"/>
  <c r="F166" i="2"/>
  <c r="F167" i="2"/>
  <c r="F168" i="2"/>
  <c r="F26" i="23" l="1"/>
  <c r="F27" i="23"/>
  <c r="F28" i="23"/>
  <c r="F29" i="23"/>
  <c r="F143" i="10"/>
  <c r="F25" i="23" l="1"/>
  <c r="F30" i="23"/>
  <c r="F60" i="15" l="1"/>
  <c r="F61" i="15"/>
  <c r="F62" i="15"/>
  <c r="F63" i="15"/>
  <c r="F64" i="15"/>
  <c r="F65" i="15"/>
  <c r="F66" i="15"/>
  <c r="F67" i="15"/>
  <c r="F68" i="15"/>
  <c r="F23" i="23"/>
  <c r="F24" i="23"/>
  <c r="F158" i="2" l="1"/>
  <c r="F159" i="2"/>
  <c r="F160" i="2"/>
  <c r="F161" i="2"/>
  <c r="F162" i="2"/>
  <c r="F163" i="2"/>
  <c r="F116" i="4"/>
  <c r="F117" i="4"/>
  <c r="F118" i="4"/>
  <c r="F119" i="4"/>
  <c r="F120" i="4"/>
  <c r="F121" i="4"/>
  <c r="F122" i="4"/>
  <c r="F138" i="10"/>
  <c r="F139" i="10"/>
  <c r="F140" i="10"/>
  <c r="F142" i="10"/>
  <c r="F144" i="10"/>
  <c r="F145" i="10"/>
  <c r="F146" i="10"/>
  <c r="F147" i="10"/>
  <c r="F8" i="27"/>
  <c r="F9" i="27"/>
  <c r="F10" i="27"/>
  <c r="F11" i="27"/>
  <c r="F12" i="27"/>
  <c r="F13" i="27"/>
  <c r="F14" i="27"/>
  <c r="F15" i="27"/>
  <c r="F7" i="27"/>
  <c r="F10" i="24" l="1"/>
  <c r="F11" i="24"/>
  <c r="F12" i="24"/>
  <c r="F13" i="24"/>
  <c r="F14" i="24"/>
  <c r="F15" i="24"/>
  <c r="F16" i="24"/>
  <c r="F17" i="24"/>
  <c r="F53" i="15"/>
  <c r="F54" i="15"/>
  <c r="F55" i="15"/>
  <c r="F56" i="15"/>
  <c r="F57" i="15"/>
  <c r="F58" i="15"/>
  <c r="F59" i="15"/>
  <c r="F18" i="23" l="1"/>
  <c r="F19" i="23"/>
  <c r="F20" i="23"/>
  <c r="F21" i="23"/>
  <c r="F22" i="23"/>
  <c r="F104" i="6" l="1"/>
  <c r="F105" i="6"/>
  <c r="F154" i="2" l="1"/>
  <c r="F155" i="2"/>
  <c r="F156" i="2"/>
  <c r="F157" i="2"/>
  <c r="F50" i="15"/>
  <c r="F51" i="15"/>
  <c r="F52" i="15"/>
  <c r="F110" i="4"/>
  <c r="F111" i="4"/>
  <c r="F112" i="4"/>
  <c r="F113" i="4"/>
  <c r="F114" i="4"/>
  <c r="F115" i="4"/>
  <c r="F7" i="24"/>
  <c r="F8" i="24"/>
  <c r="F9" i="24"/>
  <c r="F6" i="24"/>
  <c r="F20" i="17" l="1"/>
  <c r="F21" i="17"/>
  <c r="F22" i="17"/>
  <c r="F23" i="17"/>
  <c r="F24" i="17"/>
  <c r="F25" i="17"/>
  <c r="F26" i="17"/>
  <c r="F134" i="10"/>
  <c r="F135" i="10"/>
  <c r="F136" i="10"/>
  <c r="F137" i="10"/>
  <c r="F152" i="2" l="1"/>
  <c r="F153" i="2"/>
  <c r="F29" i="15"/>
  <c r="F30" i="15"/>
  <c r="F31" i="15"/>
  <c r="F32" i="15"/>
  <c r="F33" i="15"/>
  <c r="F34" i="15"/>
  <c r="F35" i="15"/>
  <c r="F36" i="15"/>
  <c r="F37" i="15"/>
  <c r="F38" i="15"/>
  <c r="F39" i="15"/>
  <c r="F40" i="15"/>
  <c r="F41" i="15"/>
  <c r="F42" i="15"/>
  <c r="F43" i="15"/>
  <c r="F44" i="15"/>
  <c r="F45" i="15"/>
  <c r="F46" i="15"/>
  <c r="F47" i="15"/>
  <c r="F48" i="15"/>
  <c r="F49" i="15"/>
  <c r="F28" i="15"/>
  <c r="F127" i="10"/>
  <c r="F128" i="10"/>
  <c r="F129" i="10"/>
  <c r="F130" i="10"/>
  <c r="F131" i="10"/>
  <c r="F132" i="10"/>
  <c r="F133" i="10"/>
  <c r="F125" i="10"/>
  <c r="F126" i="10"/>
  <c r="F16" i="17" l="1"/>
  <c r="F17" i="17"/>
  <c r="F18" i="17"/>
  <c r="F19" i="17"/>
  <c r="F15" i="17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90" i="4"/>
  <c r="E149" i="2"/>
  <c r="E150" i="2" s="1"/>
  <c r="F148" i="2"/>
  <c r="F149" i="2" l="1"/>
  <c r="F151" i="2"/>
  <c r="F150" i="2"/>
  <c r="F14" i="23"/>
  <c r="F15" i="23"/>
  <c r="F16" i="23"/>
  <c r="F17" i="23"/>
  <c r="F10" i="23"/>
  <c r="F11" i="23"/>
  <c r="F12" i="23"/>
  <c r="F13" i="23"/>
  <c r="F9" i="23"/>
  <c r="F99" i="6" l="1"/>
  <c r="F95" i="6" l="1"/>
  <c r="F96" i="6"/>
  <c r="F97" i="6"/>
  <c r="F98" i="6"/>
  <c r="F100" i="6"/>
  <c r="F101" i="6"/>
  <c r="F102" i="6"/>
  <c r="F103" i="6"/>
  <c r="F86" i="6"/>
  <c r="F87" i="6"/>
  <c r="F88" i="6"/>
  <c r="F89" i="6"/>
  <c r="F90" i="6"/>
  <c r="F91" i="6"/>
  <c r="F92" i="6"/>
  <c r="F93" i="6"/>
  <c r="F94" i="6"/>
  <c r="F85" i="6"/>
  <c r="F8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L4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kabel sudah di bawa ke ws</t>
        </r>
      </text>
    </comment>
    <comment ref="N45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kabel sudah di bawa ke ws</t>
        </r>
      </text>
    </comment>
    <comment ref="L6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Hambil dari pancalaksana</t>
        </r>
      </text>
    </comment>
  </commentList>
</comments>
</file>

<file path=xl/sharedStrings.xml><?xml version="1.0" encoding="utf-8"?>
<sst xmlns="http://schemas.openxmlformats.org/spreadsheetml/2006/main" count="13038" uniqueCount="8109">
  <si>
    <t>TANGGAL</t>
  </si>
  <si>
    <t>LANGKAH LANGKAH YANG SUDAH DAN SEDANG DILAKUKAN</t>
  </si>
  <si>
    <t>LANGKAH YANG AKAN DILAKUKAN</t>
  </si>
  <si>
    <t>Turunkan pipa samapai pipa</t>
  </si>
  <si>
    <t>Lanjut pengangkatan</t>
  </si>
  <si>
    <t>Di kunci dengan putra kiri sampai kencang, siap di angkat</t>
  </si>
  <si>
    <t>Menurunklan pipa kembali dengan cara di las</t>
  </si>
  <si>
    <t>Pengangkatan ngu oxygen</t>
  </si>
  <si>
    <t>Pengangkatan Pipa baru dapat 10 btg dari 15 btg</t>
  </si>
  <si>
    <t>lanjut ngakalin pipa</t>
  </si>
  <si>
    <t xml:space="preserve">mancing lagi sudah nyangkut dalam proses pengangkatan </t>
  </si>
  <si>
    <t>5 batang dari 22 batang</t>
  </si>
  <si>
    <t>sisa 17 batng</t>
  </si>
  <si>
    <t>angkat pipa stang bor</t>
  </si>
  <si>
    <t>angkat pipa stang bor dapat 1 batang</t>
  </si>
  <si>
    <t>lanjut nurunin stang bor</t>
  </si>
  <si>
    <t>sisa 5 batang</t>
  </si>
  <si>
    <t>beli oxigen</t>
  </si>
  <si>
    <t>sisa 4 batang</t>
  </si>
  <si>
    <t>angkat pipa</t>
  </si>
  <si>
    <t>akan di koring 4 atau 5 inch</t>
  </si>
  <si>
    <t>ganti team</t>
  </si>
  <si>
    <t>asikin dan opan</t>
  </si>
  <si>
    <t>nunggu pak opan</t>
  </si>
  <si>
    <t>team baru sampe lokasi</t>
  </si>
  <si>
    <t>service poly gearbox</t>
  </si>
  <si>
    <t>buat koring 6 inch</t>
  </si>
  <si>
    <t xml:space="preserve">bongkar tap </t>
  </si>
  <si>
    <t>las koring</t>
  </si>
  <si>
    <t>turun koring</t>
  </si>
  <si>
    <t>bersihkan stang bor</t>
  </si>
  <si>
    <t>nurunin stang bor belum sampai dasar</t>
  </si>
  <si>
    <t>nurunin koring baru dapat 43 meter</t>
  </si>
  <si>
    <t>nurunin koring sampai dasar</t>
  </si>
  <si>
    <t xml:space="preserve">beli gigi nanas </t>
  </si>
  <si>
    <t>baru selesai benerin gardan</t>
  </si>
  <si>
    <t>setting gearbox dan gerabah yang putus</t>
  </si>
  <si>
    <t xml:space="preserve">service alat </t>
  </si>
  <si>
    <t>angkat stang bor kurungan 6inch dari kedalaman 54M</t>
  </si>
  <si>
    <t>ganti tap</t>
  </si>
  <si>
    <t>percobaan turun pipa 4 inch tapi di angkat lagi karena ada batuan</t>
  </si>
  <si>
    <t>angkat stang bor</t>
  </si>
  <si>
    <t>buat koring 5 inch</t>
  </si>
  <si>
    <t>Ngangkat stangbor gagal</t>
  </si>
  <si>
    <t>betulin dudukan dinamo dan water swifel</t>
  </si>
  <si>
    <t>ngakalin pipa</t>
  </si>
  <si>
    <t>ngakalin pipa sampai kedalaman 44 meter mentok</t>
  </si>
  <si>
    <t>diduga ada batu menghalangi</t>
  </si>
  <si>
    <t>lanjut akalin pipa</t>
  </si>
  <si>
    <t>angkat stang bor coring &amp; ganti coring ke 6 inch</t>
  </si>
  <si>
    <t>service pully &amp; turunin coring 6 inch</t>
  </si>
  <si>
    <t>persiapan borehole camera</t>
  </si>
  <si>
    <t>turun coring 6 inch ketemu pipa yang patah di kedalaman 43 M</t>
  </si>
  <si>
    <t>turun pancingan tap buka coring dapet 4btg</t>
  </si>
  <si>
    <t>turun coring 6 inch untuk ngambil sisa pipa yang terputus</t>
  </si>
  <si>
    <t>angkat stangbor ganti coring 5 inch karena gak masuk</t>
  </si>
  <si>
    <t>turun coring 5 inch ngerabah stangbor yang patah</t>
  </si>
  <si>
    <t>belum ketemu pipa yang patah</t>
  </si>
  <si>
    <t>belum ketemu pipa yang patah dan rencana ganti coring 6 inch</t>
  </si>
  <si>
    <t>angkat stangbor dapet 10 btg listrik mati dan perbaikan ns</t>
  </si>
  <si>
    <t>angkat turun tap. Belum kena</t>
  </si>
  <si>
    <t>masih dalam percobaan ngeraba pipa yang patah</t>
  </si>
  <si>
    <t>ngelas coring buat pancingan biar ngejepit dan lanjut nurunin coring</t>
  </si>
  <si>
    <t>angkat stangbor yang patah dapet 2 btg</t>
  </si>
  <si>
    <t>membuat reducer pipa tubing 73 ke 89 dan turun coring 5 inch</t>
  </si>
  <si>
    <t>melanjutkan turun pipa coring dan buat reducer 2.5 inch ke 3 inch</t>
  </si>
  <si>
    <t xml:space="preserve">masukan pipa coring ke tap </t>
  </si>
  <si>
    <t>coba nyepul air sirkulasi belum jalan</t>
  </si>
  <si>
    <t>angkat stang bor yang baru turun baru dapet 8 btg</t>
  </si>
  <si>
    <t>full up stangbor,  bersihkan lobang stangbor dan buat sub baru di stangbor 89</t>
  </si>
  <si>
    <t>Masih turun stang bor. ( Koring + tap )</t>
  </si>
  <si>
    <t>Ganti sok stangbor 89 pakai shock tcubing 73.</t>
  </si>
  <si>
    <t>Isi oli gardan winch dua duanya.</t>
  </si>
  <si>
    <t xml:space="preserve">Melanjutkan, turun koring + tap </t>
  </si>
  <si>
    <t>Sebelum mentok dasar di sepul tapi ngeblok. Akhirnya di angkat lagi, full up.</t>
  </si>
  <si>
    <t>Koordinasi untuk membersihkan semua stang bor</t>
  </si>
  <si>
    <t>karena ada kotoran / batu kecil saja gak keluar karena lubang tap kecil</t>
  </si>
  <si>
    <t>Masih turun tap</t>
  </si>
  <si>
    <t>Service water swiple,( bolong)</t>
  </si>
  <si>
    <t>Lanjut turun tap masih kurang 7 btg lagi untuk sampai top stang bawah.</t>
  </si>
  <si>
    <t>Turun tap</t>
  </si>
  <si>
    <t>Service / ganti baut polli gearbok</t>
  </si>
  <si>
    <t>Lanjut turun tap</t>
  </si>
  <si>
    <t xml:space="preserve">Tap sudah terkonek, hanya digantung saja karena malam gak boleh lembur. </t>
  </si>
  <si>
    <t>Dilanjut besok</t>
  </si>
  <si>
    <t>Angkat stangbor, macet, di sepul juga gak keluar.</t>
  </si>
  <si>
    <t>Siapkan dudukan dongkrak, beli kawat las 1 pack, RD 3,2mm.</t>
  </si>
  <si>
    <t>Nebang kayu buat landasan dongkrak.</t>
  </si>
  <si>
    <t>Coba mendongkrak dan lepas.</t>
  </si>
  <si>
    <t>Diangkat dulu stang bor nya, baru dapat 3btg, keburu sore.</t>
  </si>
  <si>
    <t>full up stangbor,  dan mengupdate data stangbor berdasarkan ukuran</t>
  </si>
  <si>
    <t>Turun stangbor untuk konek ke stangbor yang putus</t>
  </si>
  <si>
    <t>Tersambung dan diputar kanan dengan kunci</t>
  </si>
  <si>
    <t>Sudah keras, minta bantuan m. Sofyan. Sampai sore belum bisa terangkat</t>
  </si>
  <si>
    <t>Memutar kanan dengan kunci pipa sudah tidak dapat, akhirnya di dongkrak</t>
  </si>
  <si>
    <t>pipa sudah naik sekitar 1 meter. Di dongkrak</t>
  </si>
  <si>
    <t>Masih lanjut dongkrak stangbor. Sampai sore tadi baru naik 2,20 m</t>
  </si>
  <si>
    <t>Buka pipa stang bor 1 btg.</t>
  </si>
  <si>
    <t>Lanjut dongkrak lagi baru dapat 40 cm.</t>
  </si>
  <si>
    <t>Persiapan buat tumbukan.</t>
  </si>
  <si>
    <t>Bongkar ,/ lepas dongkrak, karena sudah susah untuk naik.</t>
  </si>
  <si>
    <t xml:space="preserve">Membuat dudukan dinamo untuk rell siling, </t>
  </si>
  <si>
    <t>Buat dudukan tumbukan.</t>
  </si>
  <si>
    <t xml:space="preserve">Persiapan rubah dudukan dinamo tuntuk tumbukan </t>
  </si>
  <si>
    <t>Buat tumpuan tumbukan</t>
  </si>
  <si>
    <t>Coba di tumbuk, belum bisa turun, keburu sore</t>
  </si>
  <si>
    <t>31 Maret 2024</t>
  </si>
  <si>
    <t>masukin tap</t>
  </si>
  <si>
    <t>turunin mersin gardan</t>
  </si>
  <si>
    <t>spul</t>
  </si>
  <si>
    <t xml:space="preserve">masukin lagi tap </t>
  </si>
  <si>
    <t>putar manual</t>
  </si>
  <si>
    <t>putar kiri</t>
  </si>
  <si>
    <t>sisa 2 batang di bawah</t>
  </si>
  <si>
    <t>cari lahan yang bawah untuk titik selanjutnya</t>
  </si>
  <si>
    <t>putar kiri buat lepas stang bor yang dibawahh</t>
  </si>
  <si>
    <t>minta bantuan warga untuk bantu angkat pipa</t>
  </si>
  <si>
    <t>masih belum ada yang bantuin putar kiri</t>
  </si>
  <si>
    <t>butuh kunci pipa 36</t>
  </si>
  <si>
    <t>putar kanan masih belum bisa</t>
  </si>
  <si>
    <t>butuh pipa 1 inch buat spul 82 meter</t>
  </si>
  <si>
    <t>putar kanan lagi</t>
  </si>
  <si>
    <t>las stang bor biar kunci gigit di stang bor</t>
  </si>
  <si>
    <t>kendala huja deras</t>
  </si>
  <si>
    <t>nunggu pipa dari cianjur</t>
  </si>
  <si>
    <t>akalin stang bor</t>
  </si>
  <si>
    <t>las kuningan kunci pipa</t>
  </si>
  <si>
    <t>team 2 orang ke baros</t>
  </si>
  <si>
    <t>antar pipa 1.5 dari cianjur</t>
  </si>
  <si>
    <t>ipan bantu di mancak 2</t>
  </si>
  <si>
    <t>geolistrik cari titik selanjutnya</t>
  </si>
  <si>
    <t>libur lebaran</t>
  </si>
  <si>
    <t>persiapan alat untuk keperluan langsir air dan bor samping</t>
  </si>
  <si>
    <t>las pipa 1.5</t>
  </si>
  <si>
    <t>buat koring dan las widia</t>
  </si>
  <si>
    <t>langsir air</t>
  </si>
  <si>
    <t>buka rel gardan</t>
  </si>
  <si>
    <t>pasang gardan</t>
  </si>
  <si>
    <t>pasang rel gardan</t>
  </si>
  <si>
    <t>las antting buat drat kasar</t>
  </si>
  <si>
    <t>nurunin pipa 1.5 bor samping</t>
  </si>
  <si>
    <t>las  sambungan pipa</t>
  </si>
  <si>
    <t>stang bor baru masuk 21 batang, kedalaman 63 meter</t>
  </si>
  <si>
    <t>kirm pipa 1.5 untuk kekurangannya</t>
  </si>
  <si>
    <t>service ns</t>
  </si>
  <si>
    <t>14 batang ukuran 1.5 meter</t>
  </si>
  <si>
    <t>las stang bor sisa kekurangan</t>
  </si>
  <si>
    <t>bantu geolistrik</t>
  </si>
  <si>
    <t>masukin stang bor 1.5 inch kedalaman 74 meter</t>
  </si>
  <si>
    <t>spuling</t>
  </si>
  <si>
    <t>nurunin stang bor 1,5 inch kedalaman 77 meter</t>
  </si>
  <si>
    <t>bikin sambungan soket 1 1/4 kombinasi</t>
  </si>
  <si>
    <t>lanjut spuling</t>
  </si>
  <si>
    <t>nurunin stang bor 1,5 inch kedalaman 78,5 meter</t>
  </si>
  <si>
    <t>langsir air dan kebuituhan</t>
  </si>
  <si>
    <t>las stang bor &amp; nurunin stang bor 1 1/4 di kedalaman 60M</t>
  </si>
  <si>
    <t>nurunin stang bor 1 1/4 sampai kedalaman 79M</t>
  </si>
  <si>
    <t>lanjut spuling &amp; service ns</t>
  </si>
  <si>
    <t>lanjut spuling + las stangbor</t>
  </si>
  <si>
    <t>las stang bor + bantu mancak 2</t>
  </si>
  <si>
    <t>lansir air</t>
  </si>
  <si>
    <t>02 Mei 2024</t>
  </si>
  <si>
    <t>Spuling dan langsir air</t>
  </si>
  <si>
    <t xml:space="preserve">las stangbor </t>
  </si>
  <si>
    <t>3 Mei 2024</t>
  </si>
  <si>
    <t>rakit gearbok yang baru</t>
  </si>
  <si>
    <t>4 Mei 2024</t>
  </si>
  <si>
    <t>spul sampai dasar</t>
  </si>
  <si>
    <t>putar kanan kunci pipa meleset</t>
  </si>
  <si>
    <t>5 Mei 2024</t>
  </si>
  <si>
    <t>potong rel menara dan turunin gardan</t>
  </si>
  <si>
    <t>pindahin dinamo dan pasang dinamo</t>
  </si>
  <si>
    <t>potong stang bor dan las stang bor</t>
  </si>
  <si>
    <t>6 Mei 2024</t>
  </si>
  <si>
    <t>Setting gearbox baru</t>
  </si>
  <si>
    <t>las sambungan stang bor</t>
  </si>
  <si>
    <t>beli v belt</t>
  </si>
  <si>
    <t>putar kanan sambungan as gearbox ga kuat</t>
  </si>
  <si>
    <t>7 Mei 2024</t>
  </si>
  <si>
    <t>las plenes &amp; buat lubang baud</t>
  </si>
  <si>
    <t>potong stang bor yang kepanjangan</t>
  </si>
  <si>
    <t>di coba puter kanan gearbox gak kuat malah ke bakar</t>
  </si>
  <si>
    <t>8 Mei 2024</t>
  </si>
  <si>
    <t>ambil dinamo</t>
  </si>
  <si>
    <t>gearbox rusak</t>
  </si>
  <si>
    <t>9 Mei 2024</t>
  </si>
  <si>
    <t>service gearbok di worksop</t>
  </si>
  <si>
    <t>10 Mei 2024</t>
  </si>
  <si>
    <t>rakit rangkat mesin bor</t>
  </si>
  <si>
    <t>11 Mei 2024</t>
  </si>
  <si>
    <t>masih rakit mesin</t>
  </si>
  <si>
    <t>12 Mei 2024</t>
  </si>
  <si>
    <t>rakit rangka gardan</t>
  </si>
  <si>
    <t>13 Mei 2024</t>
  </si>
  <si>
    <t>14 Mei 2024</t>
  </si>
  <si>
    <t>rakit gardan selesai</t>
  </si>
  <si>
    <t>15 Mei 2024</t>
  </si>
  <si>
    <t>ganti pully gearbox</t>
  </si>
  <si>
    <t>Coba puter kanan sudah muter stengah putaran lasan plenes sambungan k stangbor ga kuat patah lagi las nya</t>
  </si>
  <si>
    <t>lanjut spuling pakai stangbor 1 1/4</t>
  </si>
  <si>
    <t>16 Mei 2024</t>
  </si>
  <si>
    <t>membuang sambungan pipa 1 1/4 dan spuling</t>
  </si>
  <si>
    <t>17 Mei 2024</t>
  </si>
  <si>
    <t>angkat semua stang bor 1 1/4</t>
  </si>
  <si>
    <t>puter lagi stang bor 73</t>
  </si>
  <si>
    <t>patah lagi lasan lenes as gardan</t>
  </si>
  <si>
    <t>18 Mei 2024</t>
  </si>
  <si>
    <t>las plenes , bantu lansir air dan coba outer lagi asnya patah</t>
  </si>
  <si>
    <t>19 Mei 2024</t>
  </si>
  <si>
    <t>las gardan dan las bud gardan kerja sampai jam 12</t>
  </si>
  <si>
    <t>20 Mei 2024</t>
  </si>
  <si>
    <t>beongkar plenes ,las ulang dan benerin mesin gerinda</t>
  </si>
  <si>
    <t>21 Mei 2024</t>
  </si>
  <si>
    <t>spuling dari salam stangbor pake pvc 1 inch 20 btg</t>
  </si>
  <si>
    <t>22 Mei 2024</t>
  </si>
  <si>
    <t>pasang gardan yang awal</t>
  </si>
  <si>
    <t>las stanggbor 73 biar bisa pasang swipel</t>
  </si>
  <si>
    <t>23 Mei 2024</t>
  </si>
  <si>
    <t>bikin socket pvc 1 inch dan masukin pipa ke pinggir stangbor sampai mentok</t>
  </si>
  <si>
    <t>24 Mei 2024</t>
  </si>
  <si>
    <t>spuling dari pinggir stangbor</t>
  </si>
  <si>
    <t>angkat semua pipa pvc 1 inch</t>
  </si>
  <si>
    <t>bikin soket lalu di masukin ke dalam stangbor Cuma lubang bawah di tutup dop</t>
  </si>
  <si>
    <t>25 Mei 2024</t>
  </si>
  <si>
    <t>turunin gardan pertama</t>
  </si>
  <si>
    <t>tuker dinamo win sama penggerak</t>
  </si>
  <si>
    <t>las plenes sambungan as gardan ke stangbor</t>
  </si>
  <si>
    <t>bantuin nurunin mesin yang baru</t>
  </si>
  <si>
    <t>26 Mei 2024</t>
  </si>
  <si>
    <t>d puter kanan lagi udah dapet 3/4 putaran as gardan patah</t>
  </si>
  <si>
    <t>bongkar as gardan</t>
  </si>
  <si>
    <t>sambung lagi as gardan</t>
  </si>
  <si>
    <t>27 Mei 2024</t>
  </si>
  <si>
    <t>pasang bering sama nglas</t>
  </si>
  <si>
    <t>pasang mesin lagi buat puter kanan</t>
  </si>
  <si>
    <t>coba puter kanan sudah dapat 1/2 putaran as gardan ga kuat patah lgi</t>
  </si>
  <si>
    <t>BUTUH AS GARDAN</t>
  </si>
  <si>
    <t>28 Mei 2024</t>
  </si>
  <si>
    <t>nggrinda + las as gardan d sambung lagi asnya</t>
  </si>
  <si>
    <t>bantuin angkat mesin yang satu lagi</t>
  </si>
  <si>
    <t>ganti bering as gardan</t>
  </si>
  <si>
    <t>29 Mei 2024</t>
  </si>
  <si>
    <t>copot dulu Gier d mesin baru</t>
  </si>
  <si>
    <t>angkut sasis dan Gier ke titik bor sama warga</t>
  </si>
  <si>
    <t>pasang + las bering as</t>
  </si>
  <si>
    <t>las plenes as gardan</t>
  </si>
  <si>
    <t>30 Mei 2024</t>
  </si>
  <si>
    <t>las plenes</t>
  </si>
  <si>
    <t>puter kanan sudah 3/4 putaran patah lagi</t>
  </si>
  <si>
    <t>bongkar as gardan</t>
  </si>
  <si>
    <t>perlu di kirim as lagi yang lebih besar</t>
  </si>
  <si>
    <t>31 Mei 2024</t>
  </si>
  <si>
    <t>bikin soket PVC 1 inci</t>
  </si>
  <si>
    <t>masukin k tngah stangbor sampai mentok</t>
  </si>
  <si>
    <t>las as gardan yang patah</t>
  </si>
  <si>
    <t>1 Juni 2024</t>
  </si>
  <si>
    <t>masukin k pinggir stngbor bertahap turunnya</t>
  </si>
  <si>
    <t>las + seting as gardan biar udah d spul langsung d puter</t>
  </si>
  <si>
    <t>2 Juni 2024</t>
  </si>
  <si>
    <t>spuling sampai mentok</t>
  </si>
  <si>
    <t>ganti posisi dinamo yang 15 hp buat Sling yang 5,5 hp buat gardan</t>
  </si>
  <si>
    <t>bikin cleman buat stangbor mau pake dongkrak</t>
  </si>
  <si>
    <t>sambil nunggu dongkrak</t>
  </si>
  <si>
    <t>3 Juni 2024</t>
  </si>
  <si>
    <t>naikin smua + motongin PVC 1 inci</t>
  </si>
  <si>
    <t>bantu langsir air</t>
  </si>
  <si>
    <t>naikin gardan</t>
  </si>
  <si>
    <t>las cleman buat dongkrak</t>
  </si>
  <si>
    <t>ngdongkrak baru dapat 5 cm</t>
  </si>
  <si>
    <t>4 Juni 2024</t>
  </si>
  <si>
    <t>masih ngdongkrak</t>
  </si>
  <si>
    <t>nglas clem + sambungan stangbor copot dari las nya</t>
  </si>
  <si>
    <t>dongkrak lagi baru dapat 5 cm</t>
  </si>
  <si>
    <t>sasis d ganjelnya d tambah lagi karna ambles</t>
  </si>
  <si>
    <t>dongkrak baru naik 5 cm</t>
  </si>
  <si>
    <t>5 Juni 2024</t>
  </si>
  <si>
    <t>bikin soket lagi PVC 1 inci</t>
  </si>
  <si>
    <t>masukin lagi pipa PVC 1inci biar sambil spul pinggir sambil dongkrak</t>
  </si>
  <si>
    <t>dongkrak lagi baru naik 3 cm</t>
  </si>
  <si>
    <t>seting alat</t>
  </si>
  <si>
    <t>pasang dinamo</t>
  </si>
  <si>
    <t>Baru selesai perakitan alat besok baru mulai ngebor</t>
  </si>
  <si>
    <t>sampai kedalaman 20 M reaming 8 inch</t>
  </si>
  <si>
    <t>masih ngakalin pakai kurungan 5 inch masih belum kena</t>
  </si>
  <si>
    <t>kasih tawas</t>
  </si>
  <si>
    <t>borehole camera</t>
  </si>
  <si>
    <t>posisi ujung pipa ada di bawah batu</t>
  </si>
  <si>
    <t>di ke tengahi dulu pipa nya</t>
  </si>
  <si>
    <t>ga berhasih cangkol pipa</t>
  </si>
  <si>
    <t>bikin koring 6 inch mata segmen</t>
  </si>
  <si>
    <t>koring 6 inch</t>
  </si>
  <si>
    <t>belum tembus batu yang di atas pipa</t>
  </si>
  <si>
    <t>lanjut koring</t>
  </si>
  <si>
    <t xml:space="preserve">pipa sudah kena </t>
  </si>
  <si>
    <t>kendala lepas lagi</t>
  </si>
  <si>
    <t>team baru sampai worksop</t>
  </si>
  <si>
    <t>nunggu helper</t>
  </si>
  <si>
    <t>hari ini k lokasi</t>
  </si>
  <si>
    <t>beres beres lokasi</t>
  </si>
  <si>
    <t>buat alat untuk nempelin koring 6 inch ke tap</t>
  </si>
  <si>
    <t>belum ada hasil</t>
  </si>
  <si>
    <t>masih belum ada hasil</t>
  </si>
  <si>
    <t>koring 6 inch di jadikan 8 inch</t>
  </si>
  <si>
    <t>turun naik stang bor belum ada hasil</t>
  </si>
  <si>
    <t>masih belum ada hasil untuk ngatasin trouble pipa bor yang patah</t>
  </si>
  <si>
    <t>buat alat untuk nempelin koring 8 inch ke tap</t>
  </si>
  <si>
    <t>reaming 8 inch sampai 20 meter</t>
  </si>
  <si>
    <t>reaming pake coring 8 inch dan ganti kurungan lagi ke 6 inch</t>
  </si>
  <si>
    <t>stangbor yang patah sudah masuk kurungan</t>
  </si>
  <si>
    <t>angkat stangbor yang trouble</t>
  </si>
  <si>
    <t>kunci pipa ambil dari mancak 1</t>
  </si>
  <si>
    <t>sedot air di kali, koring turun</t>
  </si>
  <si>
    <t>terangkat 4 batang, sisa 10 batang di bawah</t>
  </si>
  <si>
    <t>angkat koring 6 inch</t>
  </si>
  <si>
    <t>bikin koring 4 inch baru masuk 4 batang</t>
  </si>
  <si>
    <t>lanjut nurunin koring 4 inch</t>
  </si>
  <si>
    <t>turun stangbor baru dapet 1 meter</t>
  </si>
  <si>
    <t>stangbor patah</t>
  </si>
  <si>
    <t>reparasi stang bor</t>
  </si>
  <si>
    <t>perbaikan stangbor dan pembuatan tap kiri kurungan 6 inch</t>
  </si>
  <si>
    <t xml:space="preserve">naikin stangbor </t>
  </si>
  <si>
    <t>motongin plat di stangbor dan nyepul</t>
  </si>
  <si>
    <t>angkat stangbor cek coringan</t>
  </si>
  <si>
    <t>perbaikan alat bor</t>
  </si>
  <si>
    <t>dapet setengah meter pakai stangbor 2 inch</t>
  </si>
  <si>
    <t>koring 4 inch baru dapat total 22 meter</t>
  </si>
  <si>
    <t>perbaikan stangbor</t>
  </si>
  <si>
    <t>ambil air</t>
  </si>
  <si>
    <t xml:space="preserve">perbaikan ns </t>
  </si>
  <si>
    <t>turun stangbor baru sampai kedalaman 22 meter</t>
  </si>
  <si>
    <t>angkat lagi mata bor pdc karena hanya dapet sejengkal lanjut ambil widia</t>
  </si>
  <si>
    <t>harus di coring</t>
  </si>
  <si>
    <t>mancing widia yang patah pakai magnet sambil nunggu kiriman coring</t>
  </si>
  <si>
    <t>nyoba ngebor kering masuk 2 jengkal tapi nyepit terus</t>
  </si>
  <si>
    <t>hari ini dapet 3 jengkal</t>
  </si>
  <si>
    <t>hari ini ngebor dapet 30 cm</t>
  </si>
  <si>
    <t>dapet setengah meter perkiraan udah sampe kedalaman 25 M</t>
  </si>
  <si>
    <t xml:space="preserve">req kawat las, gerinda tipis dan tebal </t>
  </si>
  <si>
    <t>angkat stangbor ngecek coringan , segmentya abis</t>
  </si>
  <si>
    <t>butuh coring 5 inch</t>
  </si>
  <si>
    <t>dan trun lagi pake pdc sudah sampai kedalaman 24M</t>
  </si>
  <si>
    <t>angkat matabor pdc ganti coring soalnya ke jepit terus</t>
  </si>
  <si>
    <t>lanjut bor pakai pdc</t>
  </si>
  <si>
    <t>dapet 15cm</t>
  </si>
  <si>
    <t>dapet 50cm</t>
  </si>
  <si>
    <t>membuat coring dan baru nurunin coring</t>
  </si>
  <si>
    <t>Proges dapat setengah meter lebih 2 kali turun naik.total 25.5 M</t>
  </si>
  <si>
    <t>soal stang ada yg panjang ada pendek..batu 2 guluntung</t>
  </si>
  <si>
    <t>progres hari ini dapet 30 cm</t>
  </si>
  <si>
    <t>pengeboran dapat 20 cm</t>
  </si>
  <si>
    <t>angkat pipa, cek mata bor, dan minta dinamo 7,5hp</t>
  </si>
  <si>
    <t>pengeboran dapat 10 cm</t>
  </si>
  <si>
    <t>ganti dinamo 7.5hp dan rombak dudukannya</t>
  </si>
  <si>
    <t>kendala hujan deras dari jam 2 sampai sore</t>
  </si>
  <si>
    <t>Lnjut stel dinamo</t>
  </si>
  <si>
    <t>angkat turun pipa</t>
  </si>
  <si>
    <t>las dudukan dinamo</t>
  </si>
  <si>
    <t>lanjut pengeboran</t>
  </si>
  <si>
    <t>angkat mata bor</t>
  </si>
  <si>
    <t>cek kondisi mata bor</t>
  </si>
  <si>
    <t>ganti mata bor</t>
  </si>
  <si>
    <t>turunin stang bor belum kelar</t>
  </si>
  <si>
    <t>lanjut turunin stang bor</t>
  </si>
  <si>
    <t>dapat 50 meter turunin stang bor</t>
  </si>
  <si>
    <t>tutup sumur biar aman</t>
  </si>
  <si>
    <t>beresin alat alat</t>
  </si>
  <si>
    <t>pasang panel</t>
  </si>
  <si>
    <t>turunin stang bor sampai dasar</t>
  </si>
  <si>
    <t>pengeboran dapat 30cm</t>
  </si>
  <si>
    <t>pergantian team</t>
  </si>
  <si>
    <t>koring 5 inch kedalaman 80.30 meter</t>
  </si>
  <si>
    <t>koring 5 inch dapat 15 cm</t>
  </si>
  <si>
    <t>total kedalaman 80.45 meter</t>
  </si>
  <si>
    <t>angkat pipa, cek mata bor</t>
  </si>
  <si>
    <t>peerbaikan poly motor gearbox lepas</t>
  </si>
  <si>
    <t>mata bor masih bagus</t>
  </si>
  <si>
    <t>ambil batu yang nempel di koring</t>
  </si>
  <si>
    <t>turunin stang bor kembali</t>
  </si>
  <si>
    <t>ganti mata bor koring</t>
  </si>
  <si>
    <t>las mata bor koring 4 inch</t>
  </si>
  <si>
    <t>lanjut pengeboran posisi lapisan masih keras</t>
  </si>
  <si>
    <t>bikin mata bor baru pakai widia</t>
  </si>
  <si>
    <t>pengeboran dapat 18 cm total kedalaman 80,63 meter</t>
  </si>
  <si>
    <t>lapisan masih keras dan masih nurunin pipa stangbor sampai bodem</t>
  </si>
  <si>
    <t>siapin pipa casing 4 inch 20btg</t>
  </si>
  <si>
    <t>Baru sampai kedalaman 80,88m</t>
  </si>
  <si>
    <t>angkat stang bor &amp; bor dapet 15 cm</t>
  </si>
  <si>
    <t>ngebor dapet 10 cm lapisan</t>
  </si>
  <si>
    <t>ngebor dapet 15 cm total sudah sampai kedalaman 81M</t>
  </si>
  <si>
    <t>ngebor dapet 18 cm</t>
  </si>
  <si>
    <t>angkat stangbor dapet 8 btg</t>
  </si>
  <si>
    <t>menyelesaikan angkat stangbor</t>
  </si>
  <si>
    <t>Hari ini masukin pipa pralon 4 inch</t>
  </si>
  <si>
    <t>sambil nunggu pipa 1,5 di alihkan ke baros</t>
  </si>
  <si>
    <t>bikin mata bor  diameter 3 7/8</t>
  </si>
  <si>
    <t>bikin klem 4 inch</t>
  </si>
  <si>
    <t>nurunin stang bor baru dapat 8 batang</t>
  </si>
  <si>
    <t>nurunin stang bor sampai dasar</t>
  </si>
  <si>
    <t>air nya naik kurang lepas, sehingga air jebol ke samping</t>
  </si>
  <si>
    <t>Masuk Casing 4 inch udah sampai kedalaman 81M</t>
  </si>
  <si>
    <t>turun pipa 18 batang langsung tes pake air &amp; air keluar lancar</t>
  </si>
  <si>
    <t>turun pipa 1,5 inch</t>
  </si>
  <si>
    <t>angkat pipa pvc 18 btg dan reparasi stang bor yang baru datang pada bengkok</t>
  </si>
  <si>
    <t>bor 3 inch</t>
  </si>
  <si>
    <t>pengelasan sambungan di stang bor baru dapet 20 btg  1,5 inch</t>
  </si>
  <si>
    <t>pengelasan stangbor dapet 28btg</t>
  </si>
  <si>
    <t xml:space="preserve">turun stangbor 1.5 inch baru 25 btg </t>
  </si>
  <si>
    <t>sudah sampai kedalaman 81 M water loss</t>
  </si>
  <si>
    <t>kalo bisa request tanah lempung yang bagus</t>
  </si>
  <si>
    <t>masukin tanah ke samping casing</t>
  </si>
  <si>
    <t>request mata bor PGSE/PDC</t>
  </si>
  <si>
    <t>masukin tanah ke samping casing dan nyoba nyepul Alhamdulilah air keluar</t>
  </si>
  <si>
    <t>perbaikan water swifel dan menambah tanah ke samping casing</t>
  </si>
  <si>
    <t xml:space="preserve">ngebor dapet 1M jam 4 water loss lagi lanjut isi tanah </t>
  </si>
  <si>
    <t>ngebor dapat 50 cm lapisan masih keras</t>
  </si>
  <si>
    <t xml:space="preserve">ngebor belum dapet progres lapisan keras </t>
  </si>
  <si>
    <t>angkat stangbor baru dapet 15btg dan persiapan mata bor porwing</t>
  </si>
  <si>
    <t>mata widia masih kurang</t>
  </si>
  <si>
    <t>angkat stangbor sampai selesai dan pesiapan bikin mata bor forwing</t>
  </si>
  <si>
    <t xml:space="preserve">turun stangbor sampai bodem dan baru selesai las stangbor </t>
  </si>
  <si>
    <t>ngebor dapet 20 cm lapisan masih keras  sambil masukin tanah ke samping casing</t>
  </si>
  <si>
    <t>ngebor masih belum tembus mungkin besok di angkat dulu mata bornya</t>
  </si>
  <si>
    <t>harus pakai mata bor pdc</t>
  </si>
  <si>
    <t>belum ada tambahan progres</t>
  </si>
  <si>
    <t>narik selang dulu sampai selesai dan angkat stangbor baru 12 btg</t>
  </si>
  <si>
    <t>Lanjutin ngangkat stangbor sampai selesai, ngelas mata bor dulu di lakop,</t>
  </si>
  <si>
    <t>lalu turunin lagi stang bornya sampai  dasar. Mungkin besok baru bisa ngebor</t>
  </si>
  <si>
    <t xml:space="preserve">ngebor teryata dinamonya ngorok, </t>
  </si>
  <si>
    <t>bongkar dinamo poli di copot pindahin ke dinamo baru.</t>
  </si>
  <si>
    <t xml:space="preserve"> Servis sasis ke dudukan dinamo</t>
  </si>
  <si>
    <t>Poli dinamo belum beres harus tambah daging atau di kasih bos pake pipah</t>
  </si>
  <si>
    <t>memperbaiki poly dynamo , dan ngebor udah sampai kedalaman 83.50</t>
  </si>
  <si>
    <t>progres hari ini dapet 20 cm lapisan masih keras dan masih water los</t>
  </si>
  <si>
    <t>ngisi tanah ke samping casing , ngebor dapet 40 cm</t>
  </si>
  <si>
    <t>betulin water swifel bocor</t>
  </si>
  <si>
    <t>Ngangkat stangbor sampai selesai, cek mata bor bersihkan karena mampet</t>
  </si>
  <si>
    <t>langsung turunin lagi baru dapat 12 batang. Lambat karena  sistim las</t>
  </si>
  <si>
    <t>MAT 29 meter</t>
  </si>
  <si>
    <t>Turun stangbor , abis jumat ngebor dapet 15cm</t>
  </si>
  <si>
    <t>ngebor dari pagi sampe sore dapet 30cm dan lembur sampe jam 10 dapet 15cm</t>
  </si>
  <si>
    <t>pagi ngebor dan lanjut benerin swifel danti flange</t>
  </si>
  <si>
    <t>lembur sampe jam 10 , dapet 20 cm , total sampai di kedalaman 86.45m</t>
  </si>
  <si>
    <t>ngebor dapat 15 cm lapisan masih keras, kemungkinan besok ga mau masuk juga,</t>
  </si>
  <si>
    <t xml:space="preserve"> mau di angkat stangbornya, mau dicoba paping tes dulu pak</t>
  </si>
  <si>
    <t>siapin coring 4 inch silver</t>
  </si>
  <si>
    <t xml:space="preserve"> ngebor dapat 10 cm lapisan masih keras</t>
  </si>
  <si>
    <t>angkat stangbor sampai selesai, cek mata bor, bersihin mata bor</t>
  </si>
  <si>
    <t xml:space="preserve">bikin pancingan buat ngangkat pipah casing </t>
  </si>
  <si>
    <t xml:space="preserve">atau gerakin pipah supaya tanah samping 4 turun kebawah. </t>
  </si>
  <si>
    <t>Pipah pancingan udah turun 17 batang</t>
  </si>
  <si>
    <t>kedalaman 7 meter mata bor 6 inch</t>
  </si>
  <si>
    <t>kedalaman 11 meter mata bor 6 inch</t>
  </si>
  <si>
    <t>kedalaman 13 meter mata bor 6 inch</t>
  </si>
  <si>
    <t>kedalaman 14 meter mata bor 6 inch</t>
  </si>
  <si>
    <t>kedalaman 15 meter mata bor 6 inch</t>
  </si>
  <si>
    <t>kedalaman 16.50 meter mata bor 6 inch</t>
  </si>
  <si>
    <t>team jainal</t>
  </si>
  <si>
    <t>kedalaman 17.20 mter  mata bor 6 inch</t>
  </si>
  <si>
    <t>team bahri</t>
  </si>
  <si>
    <t>kedalaman 17.20 mter  mata bor 8 inch</t>
  </si>
  <si>
    <t>kedalaman 17.50 mter  mata bor 8 inch</t>
  </si>
  <si>
    <t>reparasi pleng</t>
  </si>
  <si>
    <t>perbaikan swipel, koring, gearbox dan tenda</t>
  </si>
  <si>
    <t>mulai pengeboran kembali</t>
  </si>
  <si>
    <t>kedalaman 17,80metr lubang 8 inch</t>
  </si>
  <si>
    <t>kendala blok dudukan kipas sudah tipis</t>
  </si>
  <si>
    <t>service blok dudukan kipas ns</t>
  </si>
  <si>
    <t>cabut koring 8 inch</t>
  </si>
  <si>
    <t>ganti triwing 4 inch</t>
  </si>
  <si>
    <t>kedalaman 18,50metr mata bor 4 inch</t>
  </si>
  <si>
    <t>kedalaman 19,85metr mata bor 4 inch</t>
  </si>
  <si>
    <t>kedalamannya 21.75meter mata bor 4 inch</t>
  </si>
  <si>
    <t>kipas ns 100 dan penekan seal</t>
  </si>
  <si>
    <t>kedalamannya 22.35meter mata bor 4 inch</t>
  </si>
  <si>
    <t>kedalamannya 23.10meter mata bor 4 inch</t>
  </si>
  <si>
    <t>kedalamannya 24.30meter mata bor 4 inch</t>
  </si>
  <si>
    <t>kedalamannya 24.65meter mata bor 4 inch</t>
  </si>
  <si>
    <t>kedalamannya 25.85meter mata bor 4 inch</t>
  </si>
  <si>
    <t>kedalamannya 26.15 meter mata bor 4 inch</t>
  </si>
  <si>
    <t>kedalamannya 26.40 meter mata bor 4 inch</t>
  </si>
  <si>
    <t>libur</t>
  </si>
  <si>
    <t>angkat stangbor yang kejepit belum ada progres</t>
  </si>
  <si>
    <t>reparasi mata bor belum ada progres</t>
  </si>
  <si>
    <t>stang bor pada retak</t>
  </si>
  <si>
    <t>turun stangbor sampai kedalaman 18M menggunakan pdc 6 inch</t>
  </si>
  <si>
    <t>baru sampai kedalaman 20.50M menggunakan pdc 6 inch</t>
  </si>
  <si>
    <t>baru sampai kedalaman 23 M menggunakan pdc 6 inch</t>
  </si>
  <si>
    <t>baru sampai kedalaman 23.65 M menggunakan pdc 6 inch</t>
  </si>
  <si>
    <t>baru sampai kedalaman 24.50 M menggunakan pdc 6 inch</t>
  </si>
  <si>
    <t>baru sampai kedalaman 25.30 M menggunakan pdc 6 inch</t>
  </si>
  <si>
    <t>Dynamo lemah di sarankan ganti pully ukuran besar</t>
  </si>
  <si>
    <t>reparasi alat bor</t>
  </si>
  <si>
    <t>reparasi alat bor dan turun stang bor</t>
  </si>
  <si>
    <t>baru sampai kedalaman 25.75 M menggunakan pdc 4 inch</t>
  </si>
  <si>
    <t>mata bor kurang efektif dan water swifel terkendala</t>
  </si>
  <si>
    <t>selesai service mata bor 6 inch dan bikin swipel</t>
  </si>
  <si>
    <t>belum dapet progres</t>
  </si>
  <si>
    <t>belum dapet progres coba coring 6 inch</t>
  </si>
  <si>
    <t>baru sampai kedalaman 26.25 M menggunakan pdc 6 inch</t>
  </si>
  <si>
    <t>masih kedalaman 26.65 M dan rencana ganti mata bor ke 4 inch</t>
  </si>
  <si>
    <t>masih kedalaman 27.30 M dan rencana ganti mata bor ke 4 inch</t>
  </si>
  <si>
    <t>baru sampai kedalaman 27.75 menggunakan mata bor 4 inch</t>
  </si>
  <si>
    <t>baru sampai kedalaman 28.15 menggunakan mata bor 4 inch</t>
  </si>
  <si>
    <t>mata bor udah kurang makan</t>
  </si>
  <si>
    <t>.pormasi baros.baru selesai  bikin coring 5 dan 6 reparasi mata bor. 4 in</t>
  </si>
  <si>
    <t>turun coring tabung 4 in ke jepit terus</t>
  </si>
  <si>
    <t>angkat stangbor yang kejepit dan langsung turun coring</t>
  </si>
  <si>
    <t>sampai kedalaman 25 M reaming pake coring 5 inch</t>
  </si>
  <si>
    <t>sampai kedalaman 27 M reaming pake coring 5 inch</t>
  </si>
  <si>
    <t>sampai kedaleman baru 28.10 M posisi reming pake coring 5 inch</t>
  </si>
  <si>
    <t>sampai kedaleman baru 29 M posisi reming pake coring 5 inch</t>
  </si>
  <si>
    <t>sampai kedaleman baru 29.40 M posisi reming pake coring 5 inch</t>
  </si>
  <si>
    <t>sampai kedaleman  30.mtr mata bor pdc 6 in</t>
  </si>
  <si>
    <t>sampai kedaleman  31mtr mata bor pdc 6 in</t>
  </si>
  <si>
    <t>request kunci pipa yang bagus</t>
  </si>
  <si>
    <t>sampai kedaleman  31.65 mtr mata bor pdc 6 in</t>
  </si>
  <si>
    <t>bor team tanto</t>
  </si>
  <si>
    <t xml:space="preserve">pakai team oasis </t>
  </si>
  <si>
    <t>sampai kedalaman 100</t>
  </si>
  <si>
    <t>kontruksi 5 inch</t>
  </si>
  <si>
    <t>dilanjutkan team oasis (muadi dan dapung)</t>
  </si>
  <si>
    <t>muadi dapung mobilisasi alat</t>
  </si>
  <si>
    <t>setting alat</t>
  </si>
  <si>
    <t>lanjut seting alat</t>
  </si>
  <si>
    <t>mulai pengeboran</t>
  </si>
  <si>
    <t>reaming 6 inch kedalaman 21 meter</t>
  </si>
  <si>
    <t>kendala stang bor putus</t>
  </si>
  <si>
    <t>pengelasan stang bor supaya tidak copot</t>
  </si>
  <si>
    <t>kedalaman 40 meter</t>
  </si>
  <si>
    <t>kedalaman 70 meter</t>
  </si>
  <si>
    <t>kedalaman 78 meter</t>
  </si>
  <si>
    <t>kedalaman 84 meter</t>
  </si>
  <si>
    <t>kedalaman 90 meter</t>
  </si>
  <si>
    <t>kedalaman 100 meter</t>
  </si>
  <si>
    <t>di dalamin sampai 120 meter</t>
  </si>
  <si>
    <t>kedalaman 115 meter</t>
  </si>
  <si>
    <t>reaming 7 inch untuk pelurusan lubang</t>
  </si>
  <si>
    <t>kontruksi pipa 5 inch</t>
  </si>
  <si>
    <t>penambahan gravel</t>
  </si>
  <si>
    <t>pemasangan pompa</t>
  </si>
  <si>
    <t>kedalaman 76.50 meter</t>
  </si>
  <si>
    <t>kendala lasan gearbox patah</t>
  </si>
  <si>
    <t>perbaikan dudukan gearbox</t>
  </si>
  <si>
    <t>service relly gearbox</t>
  </si>
  <si>
    <t>angkat pipa yg tertimbun pasir</t>
  </si>
  <si>
    <t xml:space="preserve">angkat stang bor </t>
  </si>
  <si>
    <t>akibat relly gearbox patah</t>
  </si>
  <si>
    <t>air sirkulasi tida naik</t>
  </si>
  <si>
    <t>ganti dinamo win dengan yang baru</t>
  </si>
  <si>
    <t>lanjut naik stang bor</t>
  </si>
  <si>
    <t>baru dapat 1 batang</t>
  </si>
  <si>
    <t>kontaktor kebakar</t>
  </si>
  <si>
    <t>air sirkulasi belum naik</t>
  </si>
  <si>
    <t>lansung ganti dengan yang baru</t>
  </si>
  <si>
    <t>lanjut naikan stang bor</t>
  </si>
  <si>
    <t>stang bor sudah ke angkat semua</t>
  </si>
  <si>
    <t>lanjut urun pipa</t>
  </si>
  <si>
    <t>kedalaman 80.50 meter</t>
  </si>
  <si>
    <t>angkat seua stang bor menjelang libur lebaran</t>
  </si>
  <si>
    <t>kedalaman 90.50 meter</t>
  </si>
  <si>
    <t>kedalaman 105.50 meter</t>
  </si>
  <si>
    <t>kedalaman 120 meter</t>
  </si>
  <si>
    <t>flassing lubang</t>
  </si>
  <si>
    <t>logging test besok</t>
  </si>
  <si>
    <t xml:space="preserve">logging test </t>
  </si>
  <si>
    <t>cari referensi casing</t>
  </si>
  <si>
    <t>cari referensi casing baru dapat 1</t>
  </si>
  <si>
    <t xml:space="preserve">kedalaman reaming 30 meter 12 inch </t>
  </si>
  <si>
    <t>lanjut reaming</t>
  </si>
  <si>
    <t xml:space="preserve">kedalaman reaming 32 meter 12 inch </t>
  </si>
  <si>
    <t>as gearbox patah</t>
  </si>
  <si>
    <t xml:space="preserve">kedalaman reaming 33 meter 12 inch </t>
  </si>
  <si>
    <t>garpu pin water swipel patah</t>
  </si>
  <si>
    <t xml:space="preserve">kedalaman reaming 39 meter 12 inch </t>
  </si>
  <si>
    <t xml:space="preserve">kedalaman reaming 41 meter 12 inch </t>
  </si>
  <si>
    <t>kendala as gigi pully penggerak putaran lepas</t>
  </si>
  <si>
    <t xml:space="preserve">pin as water swipel retak </t>
  </si>
  <si>
    <t xml:space="preserve">kedalaman reaming 39-41 m </t>
  </si>
  <si>
    <t>Perbaikan Alat</t>
  </si>
  <si>
    <t xml:space="preserve">kedalaman reaming 41-46 m </t>
  </si>
  <si>
    <t xml:space="preserve">kedalaman reaming 46-49.50 m </t>
  </si>
  <si>
    <t xml:space="preserve">kedalaman reaming 49-.50-53.50 m </t>
  </si>
  <si>
    <t xml:space="preserve">kedalaman reaming 53.50-55.50 m </t>
  </si>
  <si>
    <t xml:space="preserve">kedalaman reaming 55.50-56.50 m </t>
  </si>
  <si>
    <t xml:space="preserve">kedalaman reaming 56.50-59.50 m </t>
  </si>
  <si>
    <t xml:space="preserve">kedalaman reaming 59.50-60.50 m </t>
  </si>
  <si>
    <t>Ganti bearing, supply air habis (pompa rusak)</t>
  </si>
  <si>
    <t xml:space="preserve">kedalaman reaming 60.50-63,50 m </t>
  </si>
  <si>
    <t xml:space="preserve">kedalaman reaming 63.50-65.00 m </t>
  </si>
  <si>
    <t xml:space="preserve">kedalaman reaming 65.00-66.50 m </t>
  </si>
  <si>
    <t>kedalaman reaming 66.50-67.00 m</t>
  </si>
  <si>
    <t>kedalaman reaming 67.00-68.00 m</t>
  </si>
  <si>
    <t>kedalaman reaming 68.00-68.50 m</t>
  </si>
  <si>
    <t>full service alat bor belum ada penambahan progres</t>
  </si>
  <si>
    <t>kedalaman reaming 68.50-70.50 m</t>
  </si>
  <si>
    <t>kedalaman reaming 70.50-71.10 m</t>
  </si>
  <si>
    <t>kedalaman reaming 71.10-72 m</t>
  </si>
  <si>
    <t>kedalaman reaming 72-72.30 m</t>
  </si>
  <si>
    <t>kedalaman reaming 72-72.60 m</t>
  </si>
  <si>
    <t>service gearbok dan as di bawa ke bengkel</t>
  </si>
  <si>
    <t>bubut as gardan</t>
  </si>
  <si>
    <t>kedalaman reaming 72.60-73.10 m</t>
  </si>
  <si>
    <t>kedalaman reaming 73.10-73.25 m</t>
  </si>
  <si>
    <t>kedalaman reaming 73.25-73.40 m</t>
  </si>
  <si>
    <t>kedalaman reaming 73.40-73.60 m</t>
  </si>
  <si>
    <t>Full up setting mata bor pdc yang baru</t>
  </si>
  <si>
    <t>kedalaman reaming 73.60-74.10 m</t>
  </si>
  <si>
    <t>kedalaman reaming 74.10-76.40 m</t>
  </si>
  <si>
    <t>kedalaman reaming 76.40-85.00 m</t>
  </si>
  <si>
    <t>kedalaman reaming 85.00-86.00 m</t>
  </si>
  <si>
    <t>patah as jadi service dan setting swiple</t>
  </si>
  <si>
    <t>kedalaman reaming 86.00-87.00 m , air sirkulasi tidak jalan</t>
  </si>
  <si>
    <t>service water swifel dan setting</t>
  </si>
  <si>
    <t>mengatasi kejepit pasir dan spull pasir yang ada di dalam stang</t>
  </si>
  <si>
    <t>sentor dari samping pipa</t>
  </si>
  <si>
    <t xml:space="preserve">masih sepul pasiran </t>
  </si>
  <si>
    <t>masih sepul pasiran pake pipa galvanis</t>
  </si>
  <si>
    <t xml:space="preserve"> Setang bor terangkat 9.00 m...Air Sirkulasi normal,</t>
  </si>
  <si>
    <t>Cabut piva galvanis</t>
  </si>
  <si>
    <t>daftar listrik</t>
  </si>
  <si>
    <t>minta disiapkan mata bor pagoda</t>
  </si>
  <si>
    <t>turun alat</t>
  </si>
  <si>
    <t>gali spulbak</t>
  </si>
  <si>
    <t>orang pln sudah survey via wa</t>
  </si>
  <si>
    <t>orang pln lagi cuti sampai hari senin</t>
  </si>
  <si>
    <t>untuk pemasangan info kabar pln</t>
  </si>
  <si>
    <t>fu pln untuk segera di pasang</t>
  </si>
  <si>
    <t>admin registrasi libur</t>
  </si>
  <si>
    <t>fu kembali pembayaran registrasi</t>
  </si>
  <si>
    <t>registrasi listrik</t>
  </si>
  <si>
    <t>butuh kabel HL dan mcb 40 ampher</t>
  </si>
  <si>
    <t>nunggu pemasangn dari pihak pln</t>
  </si>
  <si>
    <t>kedalaman 30 meter</t>
  </si>
  <si>
    <t>isi air dan op</t>
  </si>
  <si>
    <t>order casing</t>
  </si>
  <si>
    <t>kedalaman 130 meter</t>
  </si>
  <si>
    <t>kecelakaan team</t>
  </si>
  <si>
    <t>nurunin pipa 1,5 sampai 120 mentok</t>
  </si>
  <si>
    <t>angkat pipa 1,5</t>
  </si>
  <si>
    <t>putar balik dapat 30 meter</t>
  </si>
  <si>
    <t>las pipa</t>
  </si>
  <si>
    <t>putar kiri total dapat 61 meter</t>
  </si>
  <si>
    <t>lanjut las dan putar kiri</t>
  </si>
  <si>
    <t>turun pipa dan pengelasan</t>
  </si>
  <si>
    <t>angkat pipa belum ada yang kena</t>
  </si>
  <si>
    <t>cakra pindah titik</t>
  </si>
  <si>
    <t>kedalaman 20 meter</t>
  </si>
  <si>
    <t>kedalaman 22 meter</t>
  </si>
  <si>
    <t>kedalaman 80 meter</t>
  </si>
  <si>
    <t>kedalaman 96 meter</t>
  </si>
  <si>
    <t>kedalaman 131 meter</t>
  </si>
  <si>
    <t>sudah kontruksi</t>
  </si>
  <si>
    <t>BOR GROUNDING TEAM DOEL</t>
  </si>
  <si>
    <t>titik 1 belum selesai</t>
  </si>
  <si>
    <t>lanjut bor geounding</t>
  </si>
  <si>
    <t>sudah 2 titik selesai</t>
  </si>
  <si>
    <t>pindah titik</t>
  </si>
  <si>
    <t>kedalaman 12 meter kejepit</t>
  </si>
  <si>
    <t>ada yg lagi mancang jarak 10 meter dari titik bor</t>
  </si>
  <si>
    <t>akalin kejepit</t>
  </si>
  <si>
    <t>kendala lokasi</t>
  </si>
  <si>
    <t>keterangan masalah</t>
  </si>
  <si>
    <t>team</t>
  </si>
  <si>
    <t>deskripsi</t>
  </si>
  <si>
    <t>tindakan</t>
  </si>
  <si>
    <t>pompa pangarengan mati</t>
  </si>
  <si>
    <t>diganti mcb/ dikuatkan setelah lebaran</t>
  </si>
  <si>
    <t>pompa harus di angkat untuk cek kabel power</t>
  </si>
  <si>
    <t>pakai hcl</t>
  </si>
  <si>
    <t>dan motor</t>
  </si>
  <si>
    <t>pasang hari kamis</t>
  </si>
  <si>
    <t>hari ini di kerjakan sama pak uje dan pak adang</t>
  </si>
  <si>
    <t>trumbu</t>
  </si>
  <si>
    <t>angkat pakai takel</t>
  </si>
  <si>
    <t>di jadwalkan setelah selesai pangarengan</t>
  </si>
  <si>
    <t>jika putus bor ulang</t>
  </si>
  <si>
    <t>Curug Sulanjana</t>
  </si>
  <si>
    <t>mesin lemah air tidak naik</t>
  </si>
  <si>
    <t>di jadwalkan setelah pangarengan selesai</t>
  </si>
  <si>
    <t>sudah di lakukan pengecekan</t>
  </si>
  <si>
    <t>harus ganti overload</t>
  </si>
  <si>
    <t>oasis teknik</t>
  </si>
  <si>
    <t>tono</t>
  </si>
  <si>
    <t>rapihkan belokan depan toko</t>
  </si>
  <si>
    <t>bikin tempat rak pipa</t>
  </si>
  <si>
    <t>benerin jalur wc</t>
  </si>
  <si>
    <t>jalur cucian piring di rapihkan</t>
  </si>
  <si>
    <t>lengkapin parkiran motor</t>
  </si>
  <si>
    <t>puloampel</t>
  </si>
  <si>
    <t>pompa mati</t>
  </si>
  <si>
    <t>sabtu</t>
  </si>
  <si>
    <t>minta di cek ke mang adang</t>
  </si>
  <si>
    <t>hari senin</t>
  </si>
  <si>
    <t>sampai kedalaman 30 M reaming 8 inch</t>
  </si>
  <si>
    <t>Bongkar skit rig, di ganti kayu,  yang dulu dari pipa stang bor dan pada bengkok.</t>
  </si>
  <si>
    <t>Set ulang rig</t>
  </si>
  <si>
    <t>Numbuk turun stangbor.(Tidak bisa turun, malah stangbor 3 inch nya bengkok)</t>
  </si>
  <si>
    <t>sampai kedaleman  31.75 mtr mata bor pdc 6 in</t>
  </si>
  <si>
    <t>6 Juni 2024</t>
  </si>
  <si>
    <t>Full Up Stangbor &amp; Cek mata bor</t>
  </si>
  <si>
    <t>gerakin pipah 4 in ga kuat, jadi pancingan 4 in di angkat lagi smpai selesai</t>
  </si>
  <si>
    <t>lalu di turunin lagi pipah stangbor sampai dasar buat nyepul biar bersih</t>
  </si>
  <si>
    <t>progres hari ini dapet 50 cm baru turun sampe kedalaman 26M</t>
  </si>
  <si>
    <t>spul pake PVC 1 inci</t>
  </si>
  <si>
    <t>pipa PVC sambung sampai mentok sambil d spul</t>
  </si>
  <si>
    <t>dongkrak baru dapat 3 cm total 21 cm tahanan sasisnya ambles</t>
  </si>
  <si>
    <t>Beli kayu buat bantalan rig dan dongkrak</t>
  </si>
  <si>
    <t>Di dongkrak batu naik sekitar 30 cm</t>
  </si>
  <si>
    <t>Las pipa yang bengkok di potong di luruskan.</t>
  </si>
  <si>
    <t>sampai kedaleman  32.15 mtr pakai coring 5 in</t>
  </si>
  <si>
    <t>7 Juni 2024</t>
  </si>
  <si>
    <t>Cek Mata Bor, Pengentaran Air Sirkulasi . Fulldown &amp; Flasing</t>
  </si>
  <si>
    <t>Pagi nyepul dulu sampai bener2 bersih,</t>
  </si>
  <si>
    <t xml:space="preserve"> lalu angkat stangbor sampai selesai, </t>
  </si>
  <si>
    <t xml:space="preserve">cek pompa  masang kabel power, baru nurunin pompa dapat 9 batang </t>
  </si>
  <si>
    <t>Las kupingan pipa</t>
  </si>
  <si>
    <t>spul pake PVC 1 inci sampai mentok</t>
  </si>
  <si>
    <t>dongkrak dapat 4 cm jadi total 25 cm</t>
  </si>
  <si>
    <t>las cleman lasannya pada patah semua</t>
  </si>
  <si>
    <t>siapkan koring yang masuk ke pipa 4 dan 3 inch</t>
  </si>
  <si>
    <t>siapkan widia pensil buat koring</t>
  </si>
  <si>
    <t>kedalaman reaming 87.00-90.00 m , air sirkulasi lancar</t>
  </si>
  <si>
    <t>8 Juni 2024</t>
  </si>
  <si>
    <t>9 Juni 2024</t>
  </si>
  <si>
    <t>pengelasan pipa pipa bengkok yang dulunya di buat landasan mesin/rig</t>
  </si>
  <si>
    <t>Pipa tetap di dongkrak</t>
  </si>
  <si>
    <t>Persiapan spul, pasang pipa paralon 1 inch.</t>
  </si>
  <si>
    <t>Perbaikan/pasang kembali gearbox winch, yang kemarin di rubah untuk tumbukan.</t>
  </si>
  <si>
    <t>pompa sampai mendok dasar di kasih seper 1 meter di tes air nya masih tekor</t>
  </si>
  <si>
    <t>bantu lokasi titik b</t>
  </si>
  <si>
    <t>spul sambil dongkrak naik cuma 3 cm total 28 cm</t>
  </si>
  <si>
    <t>ganjel dudukan sasis karnakan ambles</t>
  </si>
  <si>
    <t>progres hari ini dapet 50 cm</t>
  </si>
  <si>
    <t>tidak ada update</t>
  </si>
  <si>
    <t>tuker posisi dinamo buat puter kanan</t>
  </si>
  <si>
    <t>nglas plenes buat sambungan stangbor k as gardan</t>
  </si>
  <si>
    <t>puter kanan sudah dapat 3/4 putaran as gardan patah lagi</t>
  </si>
  <si>
    <t>sampai kedaleman  32.40 mtr pakai coring 5 in</t>
  </si>
  <si>
    <t>sampai kedalaman 37 M reaming 8 inch</t>
  </si>
  <si>
    <t>kedalaman reaming 90.00-96.00 m , stangbor patah tertinggal 30M</t>
  </si>
  <si>
    <t>Persiapan spul samping</t>
  </si>
  <si>
    <t>Mulai spul samping bertahap, baru sampai di 57mtr.</t>
  </si>
  <si>
    <t>Stang bor di gerakkan turun naik (belum bisa)</t>
  </si>
  <si>
    <t>Di coba dengan dongkrak. ( Dongkrak gak naik, mungkin oli nya kurang)</t>
  </si>
  <si>
    <t>besok mau cari oli dulu buat dongkrak.</t>
  </si>
  <si>
    <t>10 Juni 2024</t>
  </si>
  <si>
    <t>belum ada progres</t>
  </si>
  <si>
    <t>Melubangi Casing Screen</t>
  </si>
  <si>
    <t>sambung as gardan yang patah</t>
  </si>
  <si>
    <t>pasang semua as gardan</t>
  </si>
  <si>
    <t>Sepul</t>
  </si>
  <si>
    <t>Angkat dengan dongkrak</t>
  </si>
  <si>
    <t>Baru dapat 6 btg yang naik, keburu sore</t>
  </si>
  <si>
    <t>sampai kedaleman  32.15 mtr pakai pdc 6 in</t>
  </si>
  <si>
    <t>11 Juni 2024</t>
  </si>
  <si>
    <t>Buat drat sambungan tap</t>
  </si>
  <si>
    <t>ambil coring tabung 3 inch ke workshop , service swifel</t>
  </si>
  <si>
    <t>progres hari ini dapet 50 cm turun sampe kedalaman 27M pake coring 5 inch</t>
  </si>
  <si>
    <t>sampai kedalaman 44 M reaming 8 inch</t>
  </si>
  <si>
    <t xml:space="preserve">bikin sambungan buat stangbor </t>
  </si>
  <si>
    <t>bikin soket PVC 1 inci+masukin</t>
  </si>
  <si>
    <t>las cleman stangbor</t>
  </si>
  <si>
    <t>dongkrak blum naik</t>
  </si>
  <si>
    <t>12 Juni 2024</t>
  </si>
  <si>
    <t>Pengetapan dan Fullup Stangbor</t>
  </si>
  <si>
    <t>progres hari ini dapet 1 m turun sampe kedalaman 28M pake coring 5 inch</t>
  </si>
  <si>
    <t>sampai kedaleman  32.40 mtr pakai pdc 6 in</t>
  </si>
  <si>
    <t>sampai kedalaman 47 M reaming 8 inch</t>
  </si>
  <si>
    <t>Dongkrak stangbor yang patah</t>
  </si>
  <si>
    <t>buat cleman dan sambungan mata bor dan baru turun coring 3 inch sudah 20btg</t>
  </si>
  <si>
    <t>dongkrak</t>
  </si>
  <si>
    <t>bantu lokasi B angkat smua pipa stangbor d karnakan kejepit</t>
  </si>
  <si>
    <t>las Widia di koring 8 buat lokasi B</t>
  </si>
  <si>
    <t>coba d dongkrak tanahnya ambles coba d ganjel lagi sasis mesin</t>
  </si>
  <si>
    <t>d dongkrak lagi sambungan stangbornya patah</t>
  </si>
  <si>
    <t>13 Juni 2024</t>
  </si>
  <si>
    <t xml:space="preserve"> Nunggu tap datang sambil reparasi stangbor </t>
  </si>
  <si>
    <t>Ganti Matabor Fulldown</t>
  </si>
  <si>
    <t>belum ada tambahan progres, hari ini service swifel dan mata bor 4 inch</t>
  </si>
  <si>
    <t>Spuling dan ambil air dari kali</t>
  </si>
  <si>
    <t>14 Juni 2024</t>
  </si>
  <si>
    <t>kedalaman reaming 96.00-102 m</t>
  </si>
  <si>
    <t>Rapi rapi alat stang bor dll sambil menunggu tap datang</t>
  </si>
  <si>
    <t>Las sambungan stangbor</t>
  </si>
  <si>
    <t>Las clem stangbor</t>
  </si>
  <si>
    <t>d coba d dongkrak lagi naik 1 cm</t>
  </si>
  <si>
    <t>tanahnya ambles trus</t>
  </si>
  <si>
    <t>bantu nurunin stangbor lokasi b</t>
  </si>
  <si>
    <t>masukan coring dan baru 9 batang pipa yang masuk di kedalaman 30 m</t>
  </si>
  <si>
    <t>Naikan Stangbor</t>
  </si>
  <si>
    <t>turun stangbor sampe kedalaman 77</t>
  </si>
  <si>
    <t>angkat stangbor ganti mata bor ke pdc</t>
  </si>
  <si>
    <t>15 Juni 2024</t>
  </si>
  <si>
    <t>16 Juni 2024</t>
  </si>
  <si>
    <t>17 Juni 2024</t>
  </si>
  <si>
    <t>kedalaman reaming 102-110 m</t>
  </si>
  <si>
    <t>kedalaman reaming 110-111.5 m</t>
  </si>
  <si>
    <t>Pembersihan lubang bor</t>
  </si>
  <si>
    <t>las per sock nya</t>
  </si>
  <si>
    <t>Buat clemp mata bor pdc 3in.</t>
  </si>
  <si>
    <t xml:space="preserve">turunkan mata bor pdc </t>
  </si>
  <si>
    <t>Service swifel bocor lagi, pengeboran di lanjutkan sudah sampe kedalaman 83.50</t>
  </si>
  <si>
    <t>beres beres di lokasi</t>
  </si>
  <si>
    <t>Total sampai kedalaman 51 M</t>
  </si>
  <si>
    <t>ganti poly dan buat coring</t>
  </si>
  <si>
    <t>Mobilisasi Alat</t>
  </si>
  <si>
    <t>18 Juni 2024</t>
  </si>
  <si>
    <t>kedalaman reaming 111.5-115 m</t>
  </si>
  <si>
    <t>Progres kedalaman bertambah 20 cm , waterloss akhirnya stangbor di angkat lagi</t>
  </si>
  <si>
    <t>Kedalaman Total</t>
  </si>
  <si>
    <t>TOTAL KEDALAMAN</t>
  </si>
  <si>
    <t>83.50</t>
  </si>
  <si>
    <t>83.70</t>
  </si>
  <si>
    <t xml:space="preserve">  </t>
  </si>
  <si>
    <t>19 Juni 2024</t>
  </si>
  <si>
    <t>kedalaman reaming 115-120 m</t>
  </si>
  <si>
    <t>sampai kedaleman  27 mtr pakai coring 5 in</t>
  </si>
  <si>
    <t>ngelas tap dan stangbor , baru turun 6 batang</t>
  </si>
  <si>
    <t>bantu bongkar +pasang bering gardan lokasi b</t>
  </si>
  <si>
    <t>potong stangbor+las plenes buat sambungan as gardan k stangbor</t>
  </si>
  <si>
    <t>mau coba puter kanan lagi</t>
  </si>
  <si>
    <t>20 Juni 2024</t>
  </si>
  <si>
    <t>Sudah sampai kedalaman 70 M</t>
  </si>
  <si>
    <t>Konstruksi pipa casing</t>
  </si>
  <si>
    <t>turun naik stangbior , air sirkulasi belum lancar , waterloss</t>
  </si>
  <si>
    <t>sampai kedaleman  30 mtr pakai coring 5 in</t>
  </si>
  <si>
    <t>KEDALAMAN</t>
  </si>
  <si>
    <t>Turun tap tapi belum connect , mungkin pipa nyender</t>
  </si>
  <si>
    <t>info pengawas di kasih waktu sampe akhir bulan untuk mengatasi pipa yg patah</t>
  </si>
  <si>
    <t>Total sampai kedalaman 54 M , service bearing penyon</t>
  </si>
  <si>
    <t>Gagal Kontruksi Harus Reaming Ulang</t>
  </si>
  <si>
    <t>pipa belum terangkat tap masih belum terkonek</t>
  </si>
  <si>
    <t>pipa belum terangkat tap masih belum terkonek dan coba rubah pancingan</t>
  </si>
  <si>
    <t>21 Juni 2024</t>
  </si>
  <si>
    <t>bantu ngbor yang lokasi b sblum datang operatornya</t>
  </si>
  <si>
    <t>bikin soket pipa PVC 1 inci</t>
  </si>
  <si>
    <t>las stangbor</t>
  </si>
  <si>
    <t>mau masukin pipa 1 inci ke dalam stangbor</t>
  </si>
  <si>
    <t>22 Juni 2024</t>
  </si>
  <si>
    <t>23 Juni 2024</t>
  </si>
  <si>
    <t xml:space="preserve">ngbor yang lokasi b dapat 1 meter </t>
  </si>
  <si>
    <t>trus pas mau d gantung ngjepit trus kayanya widianya abis</t>
  </si>
  <si>
    <t>ngangkatin smua stangbor mau d kasih Widia lagi smua koring 8 inci nya</t>
  </si>
  <si>
    <t>Total sampai kedalaman 57.5 M</t>
  </si>
  <si>
    <t xml:space="preserve">service fulcop , isi air </t>
  </si>
  <si>
    <t xml:space="preserve"> progres dapet 50 cm</t>
  </si>
  <si>
    <t>84.20</t>
  </si>
  <si>
    <t>sampai kedaleman  27 mtr pakai mata bor 6 in</t>
  </si>
  <si>
    <t>sampai kedaleman  32 mtr pakai coring 5 in</t>
  </si>
  <si>
    <t>stangbor sempat kejepit</t>
  </si>
  <si>
    <t>cabut casing dan persiapan reaming ke 14 inch</t>
  </si>
  <si>
    <t>kedalaman reaming 14 inch 0-15 m</t>
  </si>
  <si>
    <t>kedalaman reaming 14 inch 15-20 m</t>
  </si>
  <si>
    <t>loging test</t>
  </si>
  <si>
    <t>sudah di pumping test</t>
  </si>
  <si>
    <t>mata bor habis</t>
  </si>
  <si>
    <t>total kedalaman 100 M</t>
  </si>
  <si>
    <t>TEAM PAK NGKOS</t>
  </si>
  <si>
    <t>TEAM PAK UNYIL</t>
  </si>
  <si>
    <t>TEAM PAK FUDHOLI</t>
  </si>
  <si>
    <t>perakitan alat</t>
  </si>
  <si>
    <t>24 Juni 2024</t>
  </si>
  <si>
    <t>kedalaman reaming 14 inch 20-24 m</t>
  </si>
  <si>
    <t>sampai kedaleman  32 mtr pakai mata bor 6 in</t>
  </si>
  <si>
    <t>Spul dari dalam stangbor</t>
  </si>
  <si>
    <t>bantu lansir air, dan turun stangbor</t>
  </si>
  <si>
    <t>masih menyusuri pipa stangbor yang patah, service stangbor yg bengkok</t>
  </si>
  <si>
    <t>proses pengeboran</t>
  </si>
  <si>
    <t>kontruksi dan loging</t>
  </si>
  <si>
    <t>sepul, tambah pipa , perbaikan gearbox , &amp; perbaikan stangbor</t>
  </si>
  <si>
    <t>progres dapet 50 CM</t>
  </si>
  <si>
    <t>25 Juni 2024</t>
  </si>
  <si>
    <t>bantu di lokasi b</t>
  </si>
  <si>
    <t>kedalaman reaming 14 inch 24-30 m</t>
  </si>
  <si>
    <t xml:space="preserve">rencana kontruksi lagi </t>
  </si>
  <si>
    <t>reparasi alat</t>
  </si>
  <si>
    <t>belum ada tambahan progres,</t>
  </si>
  <si>
    <t xml:space="preserve"> naikin stangbor ada bekas gesekan dengan stangbor yg patah</t>
  </si>
  <si>
    <t>total kedalaman di 100 M</t>
  </si>
  <si>
    <t>rencana hari ini pumping test</t>
  </si>
  <si>
    <t xml:space="preserve"> progres dapet 20 cm</t>
  </si>
  <si>
    <t>84.40</t>
  </si>
  <si>
    <t>84.60</t>
  </si>
  <si>
    <t>seal swifel</t>
  </si>
  <si>
    <t>kabel HL 100 M ukuran 2x10</t>
  </si>
  <si>
    <t>panel 3 phase</t>
  </si>
  <si>
    <t>vanbelt b 60 2</t>
  </si>
  <si>
    <t>vanbelt b61 2</t>
  </si>
  <si>
    <t>vanbelt b62 4</t>
  </si>
  <si>
    <t>palu bodem 3 kg 1</t>
  </si>
  <si>
    <t>stanglas 1</t>
  </si>
  <si>
    <t xml:space="preserve">kaca kedok las </t>
  </si>
  <si>
    <t>pengeboran sudah ada di kedalaman 30 M</t>
  </si>
  <si>
    <t>gagal pumping test perlu di jadwalkan ulang</t>
  </si>
  <si>
    <t>tambah pipa buat nyepul, perbaikan dudukan dan puly gearbox</t>
  </si>
  <si>
    <t>26 Juni 2024</t>
  </si>
  <si>
    <t>progres dapet 25 CM reaming pake coring 8 inch</t>
  </si>
  <si>
    <t>progres hari ini dapet 30 cm pake coring 5 inch</t>
  </si>
  <si>
    <t>belum ada tambahan progres, mata bor mampet, akhirnya angkat dlu stangbor</t>
  </si>
  <si>
    <t>mati listrik dari jam 12-3</t>
  </si>
  <si>
    <t>gagal kontruksi</t>
  </si>
  <si>
    <t>sedang dalam pengeboran baru sampai kedalaman di 45 M</t>
  </si>
  <si>
    <t>27 Juni 2024</t>
  </si>
  <si>
    <t>28 Juni 2024</t>
  </si>
  <si>
    <t>berhenti pindah titik b alat di bawa ke kedungsoka</t>
  </si>
  <si>
    <t>las Widia segmen</t>
  </si>
  <si>
    <t>masukin lagi koring 8 inci baru 14 batang stangbor</t>
  </si>
  <si>
    <t>ngikis lagi yang 15 batang udah mau nyambung lagi</t>
  </si>
  <si>
    <t>bantuin robohin dan angkut mesin yang d lokasi a buat d bawa k puloampel</t>
  </si>
  <si>
    <t>spul,dan masih mengusahakan konek ke pipa yg patah</t>
  </si>
  <si>
    <t>terkonek ke pipa stangbor yg patah dan baru terangkat 16 btg</t>
  </si>
  <si>
    <t>angkat stangbor untuk cek coring</t>
  </si>
  <si>
    <t xml:space="preserve">ngisi air , dan baru turun coring </t>
  </si>
  <si>
    <t>sampai kedaleman  32.50 mtr pakai mata bor 6 in</t>
  </si>
  <si>
    <t>sampai kedaleman  32.25 mtr pakai mata bor 6 in</t>
  </si>
  <si>
    <t>sudah di lakukan pumping test tinggal pasang pompa</t>
  </si>
  <si>
    <t>sudah kontruksi, loging dan pumping test tinggal pasang pompa</t>
  </si>
  <si>
    <t>sudah selesai pengeboran di kedalaman 100 M</t>
  </si>
  <si>
    <t>perapihan lokasi</t>
  </si>
  <si>
    <t>pengeboran sudah sampai kedalaman 40 M</t>
  </si>
  <si>
    <t>pengeboran sudah ada di kedalaman 105 M</t>
  </si>
  <si>
    <t>29 Juni 2024</t>
  </si>
  <si>
    <t>30 Juni 2024</t>
  </si>
  <si>
    <t>persiapan buat mata bor</t>
  </si>
  <si>
    <t>sampai kedaleman  32.80 mtr pakai mata bor 6 in</t>
  </si>
  <si>
    <t>angkat stangbor , sisa 6 batang lagi</t>
  </si>
  <si>
    <t xml:space="preserve">tap di angkat lagi, rencana akan di kasih segmen di tabungnya </t>
  </si>
  <si>
    <t>kerja sampai jam 12</t>
  </si>
  <si>
    <t>ngbor dapat 1 meter pake koring 8 inci</t>
  </si>
  <si>
    <t>ada kendala k jepit alhamdulilah udah kena lagi</t>
  </si>
  <si>
    <t>angkat smua stangbor sama koring 8 inci</t>
  </si>
  <si>
    <t>kasih Widia segmen lagi koring 8 inci</t>
  </si>
  <si>
    <t>masukin lagi smua koring 8 inci dapat 50 cm</t>
  </si>
  <si>
    <t>KETERANGAN</t>
  </si>
  <si>
    <t>Kedalaman</t>
  </si>
  <si>
    <t>0 - 30 M Tanah Cadas</t>
  </si>
  <si>
    <t xml:space="preserve">40-45 M Pasir </t>
  </si>
  <si>
    <t>30-34 M Pasir Merah</t>
  </si>
  <si>
    <t>34-40 Tanah Lembek</t>
  </si>
  <si>
    <t>Keterangan</t>
  </si>
  <si>
    <t>40 M pasir</t>
  </si>
  <si>
    <t>70-77 M Tanah Lengket</t>
  </si>
  <si>
    <t>80 M Pasir Bagus</t>
  </si>
  <si>
    <t>1 Juli 2024</t>
  </si>
  <si>
    <t>progres dapet 50 cm pakai coring 3 inch</t>
  </si>
  <si>
    <t>request sokdrat yang bagus dan kawat las</t>
  </si>
  <si>
    <t>angkat casing baru terangkat 2 btg</t>
  </si>
  <si>
    <t>anglat casing baru terangkat 1 btg</t>
  </si>
  <si>
    <t>pemasangan casing</t>
  </si>
  <si>
    <t>progres dapet 1,2 M pake coring 8 inch</t>
  </si>
  <si>
    <t>57.5</t>
  </si>
  <si>
    <t>58.25</t>
  </si>
  <si>
    <t>sudah di lakukan pemasangan casing</t>
  </si>
  <si>
    <t>baru selesai rakit alat</t>
  </si>
  <si>
    <t>Team Pak Sobirin</t>
  </si>
  <si>
    <t>sampai kedaleman  33.15 mtr pakai mata bor 6 in</t>
  </si>
  <si>
    <t>reaming ulang, mata bor lebih besar</t>
  </si>
  <si>
    <t>casing 4 inch</t>
  </si>
  <si>
    <t>minta kunci pipa</t>
  </si>
  <si>
    <t>pompa pumping kejepit</t>
  </si>
  <si>
    <t>sudah di lakukan pumping test</t>
  </si>
  <si>
    <t>2 Juli 2024</t>
  </si>
  <si>
    <t>persiapan buat mata bor seroja</t>
  </si>
  <si>
    <t>reparasi mata bor dan gearbox</t>
  </si>
  <si>
    <t>progres dapet 1,3 M pake coring 8 inch</t>
  </si>
  <si>
    <t>belum ada kegiatan</t>
  </si>
  <si>
    <t>indikasi casing bocor</t>
  </si>
  <si>
    <t>belum ada update, terakhir dapet 8 meteran</t>
  </si>
  <si>
    <t>3 Juli 2024</t>
  </si>
  <si>
    <t>sudah mulai pengeboran sampai di 35 M</t>
  </si>
  <si>
    <t>spul bak sempat bocor &amp; rangka mesin ada yg lepas</t>
  </si>
  <si>
    <t>sampai kedaleman  33.55 mtr pakai mata bor 6 in</t>
  </si>
  <si>
    <t>angkut balok buat tahanan dongrak dan las stangbor</t>
  </si>
  <si>
    <t>nambahin pipa tabung 6 inch pake segmen lanjut turun baru sampai di 48 M</t>
  </si>
  <si>
    <t>progres dapet 1 M pake coring 8 inch</t>
  </si>
  <si>
    <t>bor ulang casing ganti 5 inch vinilon</t>
  </si>
  <si>
    <t>progres baru dapet 8 M mata bor pdc 6 inch</t>
  </si>
  <si>
    <t>Nurunin tap + tabung koring panjang 80 cm, karena ada batu yang jatuh</t>
  </si>
  <si>
    <t xml:space="preserve">Pengangkatan koring batuan yang lepas/jatuh dapat </t>
  </si>
  <si>
    <t>coba d dongkrak</t>
  </si>
  <si>
    <t>bantuin angkat stangbor lokasi b</t>
  </si>
  <si>
    <t>4 Juli 2024</t>
  </si>
  <si>
    <t>progres dapet 30 cm pakai coring 3 inch</t>
  </si>
  <si>
    <t>sampai kedaleman  34.80 mtr pakai mata bor 6 in</t>
  </si>
  <si>
    <t xml:space="preserve"> As Pin Water Swiple Patah</t>
  </si>
  <si>
    <t>kedalaman reaming 14 inch 35-40 m Pake Mata Bor Seroja</t>
  </si>
  <si>
    <t>perlu dongrak 2 lagi satu di workshop 1 di reza</t>
  </si>
  <si>
    <t>di jadwalkan untuk di lembur</t>
  </si>
  <si>
    <t>di jadwalkan pasang pompa setelah listrik</t>
  </si>
  <si>
    <t>sudah dalam proses pengeboran</t>
  </si>
  <si>
    <t>kedalaman sudah di 115 M</t>
  </si>
  <si>
    <t>progres baru dapet 10 M mata bor pdc 6 inch</t>
  </si>
  <si>
    <t>Bor baru pindah titik sudah di kedalaman 40 M</t>
  </si>
  <si>
    <t>sudah di kedalaman 65 M</t>
  </si>
  <si>
    <t>5 Juli 2024</t>
  </si>
  <si>
    <t>buat as swifel yang baru dan tmbal bak spul</t>
  </si>
  <si>
    <t>reparasi alat dan pembuatan coring</t>
  </si>
  <si>
    <t>progres dapet 20 cm pakai coring 3 inch</t>
  </si>
  <si>
    <t>progres dapet 10 cm pake coring 8 inch</t>
  </si>
  <si>
    <t>buat dudukan dongkrak dan support team b</t>
  </si>
  <si>
    <t>pengelasan tabung coring dan tap di turunkan kurang 1 batang sampe bawah</t>
  </si>
  <si>
    <t>sepul</t>
  </si>
  <si>
    <t xml:space="preserve">buat jebakan </t>
  </si>
  <si>
    <t xml:space="preserve">lanjut turun coring sampe mentok </t>
  </si>
  <si>
    <t>di puter enggak mau trun, di angkat lagi baru dapet empat batang</t>
  </si>
  <si>
    <t>ujan dari jam 2 sampai sore</t>
  </si>
  <si>
    <t>lanjut angkat stangbor sampai selesai, dan rubah tap</t>
  </si>
  <si>
    <t>dapat 20 cm</t>
  </si>
  <si>
    <t>ganti mata koring</t>
  </si>
  <si>
    <t>7 Juli 2024</t>
  </si>
  <si>
    <t>kedalaman 77</t>
  </si>
  <si>
    <t>dapat 15 cm</t>
  </si>
  <si>
    <t>waterlos dan as gearbox patah</t>
  </si>
  <si>
    <t>butuh tanah merah</t>
  </si>
  <si>
    <t>kedalaman 117</t>
  </si>
  <si>
    <t>reaming 8 inch</t>
  </si>
  <si>
    <t>logging pa amin</t>
  </si>
  <si>
    <t>tinggal pasang pompa permanen</t>
  </si>
  <si>
    <t>sudah kontruksi dan pumping test tinggal pasang pompa permanent</t>
  </si>
  <si>
    <t>sudah di kedalaman 46 M</t>
  </si>
  <si>
    <t>reaming ulang</t>
  </si>
  <si>
    <t>8 Juli 2024</t>
  </si>
  <si>
    <t>9 Juli 2024</t>
  </si>
  <si>
    <t>kedalaman reaming 14 inch 43,50-44 m Pake Mata Bor Seroja</t>
  </si>
  <si>
    <t>kedalaman reaming 14 inch 40-43,5 m Pake Mata Bor Seroja</t>
  </si>
  <si>
    <t>mulai batuan keras</t>
  </si>
  <si>
    <t>belum ada tambahan progres kejepit</t>
  </si>
  <si>
    <t>angkatin dinamo yang ga d pake</t>
  </si>
  <si>
    <t>angkat Pralon 1 inci</t>
  </si>
  <si>
    <t>pasang Widia trikon belah di tabung 8 inci</t>
  </si>
  <si>
    <t>turunin lagi stangbor 17 batang</t>
  </si>
  <si>
    <t>kedalaman</t>
  </si>
  <si>
    <t>kedalaman di 15 M</t>
  </si>
  <si>
    <t>pindah titik baru</t>
  </si>
  <si>
    <t>bawa pipa 1 inch</t>
  </si>
  <si>
    <t>angkat casing</t>
  </si>
  <si>
    <t>pa ano dan pa adul</t>
  </si>
  <si>
    <t>mata bor 6x8 inch</t>
  </si>
  <si>
    <t>progres dapet 11 M</t>
  </si>
  <si>
    <t>belum ada update team sementara focus ke b</t>
  </si>
  <si>
    <t>progres dapet 30 cm pake coring 8 inch</t>
  </si>
  <si>
    <t>perlu air karena sering slip</t>
  </si>
  <si>
    <t>10 Juli 2024</t>
  </si>
  <si>
    <t>stangbor sudah turun kembali baru dapet 8 btg</t>
  </si>
  <si>
    <t>full up mata bor</t>
  </si>
  <si>
    <t>service gardan baru bor dari jam 5 sampai jam 11</t>
  </si>
  <si>
    <t>progres dapet 70 CM mata bor pdc 6x8 inch</t>
  </si>
  <si>
    <t>belum ada tambahan progres baru bisa mengatasi stangbor yg terjepit</t>
  </si>
  <si>
    <t>progres dapet 60 cm pakai coring 3 inch</t>
  </si>
  <si>
    <t>belum ada update penambahan progres</t>
  </si>
  <si>
    <t>Team rizki</t>
  </si>
  <si>
    <t>11 Juli 2024</t>
  </si>
  <si>
    <t>pengelasan mata bor</t>
  </si>
  <si>
    <t>service gearbox</t>
  </si>
  <si>
    <t>stangbor sudah turun 25 btg coba angkat casing tapi masih belum terangkat</t>
  </si>
  <si>
    <t>jebakan belum sampai ke bawah karena air sirkulasi keburu abis</t>
  </si>
  <si>
    <t xml:space="preserve"> ngbor dapat 50 cm sementara kdalamn 58,50 meter</t>
  </si>
  <si>
    <t>coba ngbor pake air airnya ilang ada waterlos d 15 meter k atas</t>
  </si>
  <si>
    <t>progres dapet 40 cm pakai coring 3 inch</t>
  </si>
  <si>
    <t>pengangkat stangbor  karena air sirkulasi mampet dari jam 8-12</t>
  </si>
  <si>
    <t>lanjut turun lagi stang bor sampai kedalaman 15,5</t>
  </si>
  <si>
    <t>lembur sampai jam 11</t>
  </si>
  <si>
    <t>Progress</t>
  </si>
  <si>
    <t>Cianjur</t>
  </si>
  <si>
    <t>Asikin</t>
  </si>
  <si>
    <t>Opan</t>
  </si>
  <si>
    <t>Uje</t>
  </si>
  <si>
    <t>Team 1</t>
  </si>
  <si>
    <t>Team 2</t>
  </si>
  <si>
    <t>Mancak 1B</t>
  </si>
  <si>
    <t>Mancak 1A</t>
  </si>
  <si>
    <t>Mancak 2</t>
  </si>
  <si>
    <t>Sukarena</t>
  </si>
  <si>
    <t>Baros</t>
  </si>
  <si>
    <t>Malang</t>
  </si>
  <si>
    <t>Sindang Sari</t>
  </si>
  <si>
    <t>Kedong Soka</t>
  </si>
  <si>
    <t>Kentrong</t>
  </si>
  <si>
    <t>Sobirin</t>
  </si>
  <si>
    <t>Cikolelet</t>
  </si>
  <si>
    <t>BuniHara</t>
  </si>
  <si>
    <t>Sayar</t>
  </si>
  <si>
    <t>Ifan</t>
  </si>
  <si>
    <t>Bahri</t>
  </si>
  <si>
    <t>Nandi</t>
  </si>
  <si>
    <t>Amin</t>
  </si>
  <si>
    <t>Maman</t>
  </si>
  <si>
    <t>Jaenal</t>
  </si>
  <si>
    <t>Muadi</t>
  </si>
  <si>
    <t>Pudoli</t>
  </si>
  <si>
    <t>Ano</t>
  </si>
  <si>
    <t>Adul</t>
  </si>
  <si>
    <t>Lokasi</t>
  </si>
  <si>
    <t>No</t>
  </si>
  <si>
    <t>progres dapet 15 M</t>
  </si>
  <si>
    <t>Progres</t>
  </si>
  <si>
    <t>progres sudah sampai kedalaman 59 M</t>
  </si>
  <si>
    <t>12 Juli 2024</t>
  </si>
  <si>
    <t>angkat total stangbor</t>
  </si>
  <si>
    <t>spuling untuk membersihkan tanah yang jatuh ke dasar sumur</t>
  </si>
  <si>
    <t>ngbor dapat 1 meter sementara kedalaman 59,50 meter</t>
  </si>
  <si>
    <t>benerin panel</t>
  </si>
  <si>
    <t>progres sudah sampai di kedalaman 37 M</t>
  </si>
  <si>
    <t>progres sudah sampai di kedalaman 56 M</t>
  </si>
  <si>
    <t>angkat semua stangbor dan ganti coring ke 5 inch</t>
  </si>
  <si>
    <t>progres sudah sampai di kedalaman 55 M</t>
  </si>
  <si>
    <t>ngakalin dulu whaterlose</t>
  </si>
  <si>
    <t>angkat smua stangbor+koring 8 inci</t>
  </si>
  <si>
    <t>masukin lagi koring 8 inci</t>
  </si>
  <si>
    <t>ngbor kering lagi dapat 50 cm sementara kedalaman 60 meter</t>
  </si>
  <si>
    <t>whaterlose ya blum k tutup keburu air suplainya abis</t>
  </si>
  <si>
    <t>13 Juli 2024</t>
  </si>
  <si>
    <t>14 Juli 2024</t>
  </si>
  <si>
    <t>progres dapet 1 m pakai coring 5 inch</t>
  </si>
  <si>
    <t>progres dapet 32 m pakai coring 5 inch</t>
  </si>
  <si>
    <t xml:space="preserve">stangbor sudah sampai kedalaman 80,5 M </t>
  </si>
  <si>
    <t>lalu di angkat kembali stangbornya</t>
  </si>
  <si>
    <t>kedalaman reaming 14 inch 44 - 44,50 m Pake Mata Bor Seroja</t>
  </si>
  <si>
    <t>full up, service mata bor dan water swivel</t>
  </si>
  <si>
    <t>progres sudah sampai kedalaman 62 M</t>
  </si>
  <si>
    <t>progres 55 CM</t>
  </si>
  <si>
    <t>progres 70 CM</t>
  </si>
  <si>
    <t>request air</t>
  </si>
  <si>
    <t>,</t>
  </si>
  <si>
    <t>progres 0,6 M ada perbaikan capit udang</t>
  </si>
  <si>
    <t>sudah di kedalaman 34 M</t>
  </si>
  <si>
    <t>sudah di lakukan pengeboran udah sampai kedalaman 89 M</t>
  </si>
  <si>
    <t>progres kedalaman 1,27 M</t>
  </si>
  <si>
    <t>15 Juli 2024</t>
  </si>
  <si>
    <t>full down , bearing ns pecah</t>
  </si>
  <si>
    <t>sudah di kedalaman 40 M</t>
  </si>
  <si>
    <t>ngbor kering dapat 60 cm kedalaman 60,60 meter</t>
  </si>
  <si>
    <t>slip trus</t>
  </si>
  <si>
    <t>modif lagi jebakan jadi double sirip dan di turunkan lagi sampai 80 M</t>
  </si>
  <si>
    <t>progres dapet 1 M</t>
  </si>
  <si>
    <t>searvice gearbox</t>
  </si>
  <si>
    <t>reparasi stangbor dan service mata bor coring</t>
  </si>
  <si>
    <t>ngbor pake koring 8 inci dapat 50 cm kedalaman 61,10 mter</t>
  </si>
  <si>
    <t>16 Juli 2024</t>
  </si>
  <si>
    <t>modif jebakan lagi, masih belum kena</t>
  </si>
  <si>
    <t>progres sudah sampai di kedalaman 40 M</t>
  </si>
  <si>
    <t>progres sudah sampai kedalaman 83 M</t>
  </si>
  <si>
    <t>progres kedalaman 1 M</t>
  </si>
  <si>
    <t>angkat casing dapet 1 btg</t>
  </si>
  <si>
    <t>total casing terangkat 5 btg dari 20 btg</t>
  </si>
  <si>
    <t>siapkan pompa untuk pumping</t>
  </si>
  <si>
    <t>kedalaman reaming 14 inch 44,50-46 m Pake Mata Bor Sarang tawon</t>
  </si>
  <si>
    <t>butuh logging dan gravel</t>
  </si>
  <si>
    <t>siapkan takel atau dongkrak</t>
  </si>
  <si>
    <t>SETING ALAT</t>
  </si>
  <si>
    <t>lagi proses menaikan stangbor</t>
  </si>
  <si>
    <t>17 Juli 2024</t>
  </si>
  <si>
    <t>tidak ada kegiatan karena mati lampu sampe sore</t>
  </si>
  <si>
    <t>mencoba pumping test</t>
  </si>
  <si>
    <t>ngbor pake koring dapat 40 cm sementara kedalaman 61,50 meter</t>
  </si>
  <si>
    <t>bantu langsir air</t>
  </si>
  <si>
    <t>progres hari ini dapet 40 cm</t>
  </si>
  <si>
    <t>sudah di kedalaman 36  M Pakai mata bor 5 inch</t>
  </si>
  <si>
    <t>sudah di lakukan pengeboran udah sampai kedalaman 115 M</t>
  </si>
  <si>
    <t>angkat smua stangbor</t>
  </si>
  <si>
    <t>kasih tbahan Widia lagi koring 8 inci Karna bawahnya msih bagus</t>
  </si>
  <si>
    <t>masukin lagi smua stangbor</t>
  </si>
  <si>
    <t>ngbor dapat 20 cm</t>
  </si>
  <si>
    <t>18 Juli 2024</t>
  </si>
  <si>
    <t>Kemudian di spul kembali di kedalaman 77.5 m</t>
  </si>
  <si>
    <t>Turunkan jebakan meneruska kemarin dari 10 batang sampai 25 batang</t>
  </si>
  <si>
    <t>pumping test</t>
  </si>
  <si>
    <t>full up dan set up mata bor baru</t>
  </si>
  <si>
    <t>penganggkatan stangbor, kontruksi dan logging test</t>
  </si>
  <si>
    <t>progres kedalaman 0,63 M</t>
  </si>
  <si>
    <t>sudah di kedalaman 41 M</t>
  </si>
  <si>
    <t>sudah di lakukan pengeboran udah sampai kedalaman 124 M</t>
  </si>
  <si>
    <t>progres kedalaman sudah sampai di 10 M</t>
  </si>
  <si>
    <t>progres kedalaman 1,63 M</t>
  </si>
  <si>
    <t>baru selesai kontruksi</t>
  </si>
  <si>
    <t>hari ini pumping test</t>
  </si>
  <si>
    <t>19 Juli 2024</t>
  </si>
  <si>
    <t>kedalaman reaming 14 inch 46-48 m</t>
  </si>
  <si>
    <t>kontruksi</t>
  </si>
  <si>
    <t>casing baru terangkat</t>
  </si>
  <si>
    <t>progres dapet 2 M</t>
  </si>
  <si>
    <t xml:space="preserve">casing baru terangkat 11 btg </t>
  </si>
  <si>
    <t>total casing terangkat 16 btg</t>
  </si>
  <si>
    <t>ngebor dapat 1 meter sementara kedalaman 62,50 meter</t>
  </si>
  <si>
    <t>las kupingan stangbor</t>
  </si>
  <si>
    <t>progres kedalaman sudah sampai di 13 M</t>
  </si>
  <si>
    <t>progres kedalaman sudah sampai di 21 M</t>
  </si>
  <si>
    <t>sudah di lakukan pengeboran udah sampai kedalaman 145 M</t>
  </si>
  <si>
    <t>progres kedalaman 2,10 M</t>
  </si>
  <si>
    <t>progres kedalaman 1,80 M</t>
  </si>
  <si>
    <t>masih pumping test dan mobilisasi alat ke workshop</t>
  </si>
  <si>
    <t>20 Juli 2024</t>
  </si>
  <si>
    <t>21 Juli 2024</t>
  </si>
  <si>
    <t>kedalaman reaming 14 inch 48 m</t>
  </si>
  <si>
    <t>kedalaman reaming 14 inch 48-48,30 m</t>
  </si>
  <si>
    <t>Pumping rest</t>
  </si>
  <si>
    <t>Hasil nya .air ga naik</t>
  </si>
  <si>
    <t>Kemungkinan motor pompa nya lemah..</t>
  </si>
  <si>
    <t>Posisi pompa ada di kedalaman +/- 53 m.</t>
  </si>
  <si>
    <t>Kemudian pompa di angkat kembali</t>
  </si>
  <si>
    <t>22 Juli 2024</t>
  </si>
  <si>
    <t>ngbor dapat 70 cm sementara kdalaman63,20 meter</t>
  </si>
  <si>
    <t>ngbor dapat 1 meter</t>
  </si>
  <si>
    <t>sementara kdalaman 64,20meter</t>
  </si>
  <si>
    <t>progres dapet 3 M</t>
  </si>
  <si>
    <t>service mata bor</t>
  </si>
  <si>
    <t>sudah di lakukan pengeboran udah sampai kedalaman 150 M</t>
  </si>
  <si>
    <t xml:space="preserve">nunggu rig kuning </t>
  </si>
  <si>
    <t>progres kedalaman 1,40 M</t>
  </si>
  <si>
    <t>tinggal pasang pompa dan listrik permanen</t>
  </si>
  <si>
    <t>pompa pumping test belum di angkat</t>
  </si>
  <si>
    <t>23 Juli 2024</t>
  </si>
  <si>
    <t>kedalaman reaming 14 inch 48,30-48,60 m</t>
  </si>
  <si>
    <t>Masukin stang bor. .pake mata bor pdc yg udah di modif</t>
  </si>
  <si>
    <t>Sampai kedalaman 65'm</t>
  </si>
  <si>
    <t xml:space="preserve">ngbor dapat 30 cm </t>
  </si>
  <si>
    <t>kendala ngjepit</t>
  </si>
  <si>
    <t>progres dapet 8 M</t>
  </si>
  <si>
    <t>ngakalin k jepit alhamdulilah udah kna</t>
  </si>
  <si>
    <t>ngbor dapat 50 cm</t>
  </si>
  <si>
    <t>progres kedalaman 2,5 M</t>
  </si>
  <si>
    <t>bor baru</t>
  </si>
  <si>
    <t>Proses pengeboran menghancurkan casing di kedalaman 65-69 m</t>
  </si>
  <si>
    <t>Kondisi rawan kejepit...keras .butuh air .buat menyepul...</t>
  </si>
  <si>
    <t>Satu operator. ..sy ambil motor pompa ke pabuaran dan ambil kabel ke workshop.</t>
  </si>
  <si>
    <t xml:space="preserve"> sirkulasi yg udah datang. .tp mata bor ga bisa turun lagi.</t>
  </si>
  <si>
    <t xml:space="preserve">Proses pengeboran menghancurkan casing masih berlanjut dgn di bantu air </t>
  </si>
  <si>
    <t>kembali stang bor. .</t>
  </si>
  <si>
    <t xml:space="preserve">di khawatir kan stang bor ga kuat. .kami putuskan untuk mengangkat </t>
  </si>
  <si>
    <t>buat mata bor coring 4 inch</t>
  </si>
  <si>
    <t>kedalaman reaming 14 inch 48,60-49,10 m</t>
  </si>
  <si>
    <t>bongkar pasang pully dan mulai bor di jam 3 sore</t>
  </si>
  <si>
    <t>progres kedalaman 2 M</t>
  </si>
  <si>
    <t>sementara kdalaman 65 meter</t>
  </si>
  <si>
    <t>Bongkar as gearbox bawah (patah)</t>
  </si>
  <si>
    <t>Beli /cari as gearbox/gardan</t>
  </si>
  <si>
    <t>pemotongan as gardan  dan pengelasan ke capit udangnya</t>
  </si>
  <si>
    <t>langsung di pasang di gearbox</t>
  </si>
  <si>
    <t>progres kedalaman 80 meter.</t>
  </si>
  <si>
    <t>matabor tricon 8 inch</t>
  </si>
  <si>
    <t>tambah lagi Widia nya</t>
  </si>
  <si>
    <t>d angkat smua stangbor sama koring 8 inci</t>
  </si>
  <si>
    <t>masukin koring 8 inci + stangbor</t>
  </si>
  <si>
    <t>ngbor dapat 20 cm</t>
  </si>
  <si>
    <t>kedalaman 65,20 meter</t>
  </si>
  <si>
    <t>24 Juli 2024</t>
  </si>
  <si>
    <t>progres kedalaman 4,5 M</t>
  </si>
  <si>
    <t>pumping test di kedalaman 60 m air hanya bertahan 3menit</t>
  </si>
  <si>
    <t>kedalaman reaming 14 inch 49,10-50 m</t>
  </si>
  <si>
    <t>tinggal kontruksi</t>
  </si>
  <si>
    <t>progres kedalaman sudah sampai di 22,50 M</t>
  </si>
  <si>
    <t>Lialang</t>
  </si>
  <si>
    <t>Teritih</t>
  </si>
  <si>
    <t>kedalaman di 84 M</t>
  </si>
  <si>
    <t>kedalaman 66,20 meter</t>
  </si>
  <si>
    <t>progres kedalaman 5,5 M</t>
  </si>
  <si>
    <t>25 Juli 2024</t>
  </si>
  <si>
    <t>progres sudah sampai di kedalaman 45 M</t>
  </si>
  <si>
    <t>kedalaman reaming 14 inch 50-51 m</t>
  </si>
  <si>
    <t>progres kedalaman 1,56 M</t>
  </si>
  <si>
    <t>mobilisasi Alat rig kuning</t>
  </si>
  <si>
    <t>progres kedalaman sudah sampai di 24 M</t>
  </si>
  <si>
    <t>request oksigen dan tanah lempung</t>
  </si>
  <si>
    <t>kedalaman di 85 M</t>
  </si>
  <si>
    <t xml:space="preserve"> ngbor dapat 70 cm</t>
  </si>
  <si>
    <t>smentara kdalaman 66,90 meter</t>
  </si>
  <si>
    <t>26 Juli 2024</t>
  </si>
  <si>
    <t>progres kedalaman 6 M</t>
  </si>
  <si>
    <t xml:space="preserve">pumping test </t>
  </si>
  <si>
    <t>kedalaman reaming 14 inch 51-52 m</t>
  </si>
  <si>
    <t>progres kedalaman 1,94 M</t>
  </si>
  <si>
    <t>progres kedalaman sudah sampai di 25 M</t>
  </si>
  <si>
    <t>progres sudah sampai di kedalaman 46 M</t>
  </si>
  <si>
    <t>Wawan</t>
  </si>
  <si>
    <t>Iwan</t>
  </si>
  <si>
    <t>kedalaman di 86 M</t>
  </si>
  <si>
    <t>sepul dan pembuatan screen</t>
  </si>
  <si>
    <t xml:space="preserve"> ngbor dapat 40 cm</t>
  </si>
  <si>
    <t xml:space="preserve"> ngbor dapat 1 m</t>
  </si>
  <si>
    <t>27 Juli 2024</t>
  </si>
  <si>
    <t>28 Juli 2024</t>
  </si>
  <si>
    <t>request sling 20M</t>
  </si>
  <si>
    <t>progres kedalaman 7 M</t>
  </si>
  <si>
    <t>reparasi mata bor coring , kendala sling putus</t>
  </si>
  <si>
    <t>membuat mata bor untuk ancurin casing</t>
  </si>
  <si>
    <t>progres sudah sampai di kedalaman 46,70 M</t>
  </si>
  <si>
    <t>progres sudah sampai di kedalaman 48,20 M</t>
  </si>
  <si>
    <t>kedalaman reaming 14 inch 52,60-52,80 m</t>
  </si>
  <si>
    <t>stang bor sempat patah dan berhasil di full up</t>
  </si>
  <si>
    <t>kedalaman reaming 14 inch 52-52,60 m</t>
  </si>
  <si>
    <t>progres kedalaman 1,86 M</t>
  </si>
  <si>
    <t>progres kedalaman 1,90 M</t>
  </si>
  <si>
    <t>reparasi ns bearing ancur dan ganti pully</t>
  </si>
  <si>
    <t>reparasi pully , di spull air keluar normal , sempat terjepit tap sudah teratasi</t>
  </si>
  <si>
    <t>29 Juli 2024</t>
  </si>
  <si>
    <t>prorgres kedalaman di 8 M</t>
  </si>
  <si>
    <t>masih berusaha untuk ngancurin casing di kedalaman 60 M</t>
  </si>
  <si>
    <t>full up cek mata bor dan stangbor</t>
  </si>
  <si>
    <t>progres kedalaman 1,50 M</t>
  </si>
  <si>
    <t>pemasangan pompa permanen</t>
  </si>
  <si>
    <t>progres kedalaman sudah sampai di 26,50 M</t>
  </si>
  <si>
    <t>Team Pak Wawan</t>
  </si>
  <si>
    <t>Perakitan alat</t>
  </si>
  <si>
    <t>pindah titik baru ,baru sampai kedalaman 6M</t>
  </si>
  <si>
    <t>progres sudah sampai di kedalaman 49,70 M</t>
  </si>
  <si>
    <t>masih nyepull dan perbaikan ns yang rusak</t>
  </si>
  <si>
    <t>30 Juli 2024</t>
  </si>
  <si>
    <t>prorgres kedalaman di 11 M</t>
  </si>
  <si>
    <t>masih berusaha untuk ngancurin casing di kedalaman 68 M</t>
  </si>
  <si>
    <t>request oli gearbox</t>
  </si>
  <si>
    <t>kedalaman reaming 14 inch 52,80-53 m</t>
  </si>
  <si>
    <t>aktifitas sementara reparasi stangbor biar kuat di sambungannya</t>
  </si>
  <si>
    <t>request tap kanan lagi dalam perjalanan</t>
  </si>
  <si>
    <t>progres kedalaman di 12 M</t>
  </si>
  <si>
    <t>progres kedalaman sudah sampai di 27,20 M</t>
  </si>
  <si>
    <t>perapihan lokasi bor , buat spull bak dan lainnya</t>
  </si>
  <si>
    <t>ada kendala gearbox macet , stangbor baru terangkat 3 btg</t>
  </si>
  <si>
    <t>ngebor baru dapat 20 cm as gardan patah ,sambung lagi as gardan
lanjut ngbor dapat 30 cm,smentara kdalaman 68,80 meter</t>
  </si>
  <si>
    <t>ngbor dapat 50 cm, smentara kdalamn 69,80 meter kras banget
rencana mau d angkat dulu smua mau d lihat Widia d koring 8 inci</t>
  </si>
  <si>
    <t>31 Juli 2024</t>
  </si>
  <si>
    <t>prorgres kedalaman di 16 M</t>
  </si>
  <si>
    <t>kedalaman reaming 14 inch 53-53,50 m</t>
  </si>
  <si>
    <t>progres kedalaman sudah sampai di 27,80 M</t>
  </si>
  <si>
    <t>progres kedalaman sudah di 7 M</t>
  </si>
  <si>
    <t>Target Kedalaman</t>
  </si>
  <si>
    <t>Actual Kedalaman</t>
  </si>
  <si>
    <t>service gearbox dan angkat stangbor  baru dapat 5 batang</t>
  </si>
  <si>
    <t>1 Agustus 2024</t>
  </si>
  <si>
    <t>prorgres kedalaman di 17,5 M</t>
  </si>
  <si>
    <t>Full Up Cek Mata Bor Penetrasi sangat Lambat...Ganti Mata Bor,
Service Water Swiple.</t>
  </si>
  <si>
    <t>angkat smua stangbor koring 8 inci, tambahin lagi Widia d koring 8 inci
bantu langsir air, masukin lagi smua stangbor sama koring 8 inci</t>
  </si>
  <si>
    <t>pengelasan tapkanan</t>
  </si>
  <si>
    <t>progres kedalaman sudah sampai di 28,20 M</t>
  </si>
  <si>
    <t>progres kedalaman sudah di 11 M</t>
  </si>
  <si>
    <t>progres kedalaman di 30 M</t>
  </si>
  <si>
    <t>Listrik baru terpasang</t>
  </si>
  <si>
    <t>progres kedalaman sudah di 13 M</t>
  </si>
  <si>
    <t>tidak ada aktifitas pengeboran</t>
  </si>
  <si>
    <t>pengangkat stangbor yang patah , Alhamdulillah terangkat</t>
  </si>
  <si>
    <t>2 Agustus 2024</t>
  </si>
  <si>
    <t>servis mata bor reaming,pasang Widia</t>
  </si>
  <si>
    <t>persiapan mobilisasi alat ke workshop</t>
  </si>
  <si>
    <t>prorgres kedalaman di 18,5 M</t>
  </si>
  <si>
    <t>plester spulbak , ngebor dapet 80 cm total kedalaman di 70,60 M</t>
  </si>
  <si>
    <t>service mata bor 6 sayang ukuran 6 inch</t>
  </si>
  <si>
    <t>angkat lagi stangbor sisa 5 batang</t>
  </si>
  <si>
    <t>kontruksi/pasang casing</t>
  </si>
  <si>
    <t xml:space="preserve">pasang pompa </t>
  </si>
  <si>
    <t>pasang pipa ke torn</t>
  </si>
  <si>
    <t>beres beres</t>
  </si>
  <si>
    <t>target demob tanggal 10 agustus</t>
  </si>
  <si>
    <t>siapkan berita acara</t>
  </si>
  <si>
    <t>rencana operator pa amin</t>
  </si>
  <si>
    <t>selesai pengangkatan stangbor</t>
  </si>
  <si>
    <t>nyepul baru sampai kedalaman 60 M</t>
  </si>
  <si>
    <t>pengeboran dapet 60 cm , total kedalaman di 71,20 M</t>
  </si>
  <si>
    <t>kendala waterloss</t>
  </si>
  <si>
    <t>pengeboran dapet 1 m , total kedalaman di 72,20 M</t>
  </si>
  <si>
    <t>3 Agustus 2024</t>
  </si>
  <si>
    <t>4 Agustus 2024</t>
  </si>
  <si>
    <t>5 Agustus 2024</t>
  </si>
  <si>
    <t>progres pengeboran dapet 1,5 M</t>
  </si>
  <si>
    <t>progres pengeboran dapet 1 M</t>
  </si>
  <si>
    <t>Setting Mata Bor...Pemasangan Widia</t>
  </si>
  <si>
    <t>kendala isi oksigen lama</t>
  </si>
  <si>
    <t>belum ada progres kedalaman</t>
  </si>
  <si>
    <t>pengecekan di lapangan kedalaman baru 22 M</t>
  </si>
  <si>
    <t>kendala mesin rusak</t>
  </si>
  <si>
    <t>kendala gardan gak kuat</t>
  </si>
  <si>
    <t>sempat di lakukan pengeboran ,tapi patah lagi dan sudah terangkat kembali</t>
  </si>
  <si>
    <t>penguatan kembali pada stangbor dengan di las pake kawat las lb 52</t>
  </si>
  <si>
    <t>progres pengeboran dapet 15 cm pakai pdc 8 inch</t>
  </si>
  <si>
    <t>progres pengeboran dapet 23 cm pakai mata bor 6inch</t>
  </si>
  <si>
    <t>progres kedalaman sudah di 21 M</t>
  </si>
  <si>
    <t>siapkan koring 6 inch segmen</t>
  </si>
  <si>
    <t>siapkan koring 5 inch</t>
  </si>
  <si>
    <t>sekalian bawa kelereng dan ring</t>
  </si>
  <si>
    <t>siapkan gearbok gardan kijang</t>
  </si>
  <si>
    <t>nyepul kurang satu batang lagi, besok di angkat kembali dan buat kleman</t>
  </si>
  <si>
    <t>pengeboran dapet 20 cm ke jepit, di dongkrak baru naik 1,5 M</t>
  </si>
  <si>
    <t>kendala kejepit</t>
  </si>
  <si>
    <t>progres pengeboran dapet 2 M</t>
  </si>
  <si>
    <t>kedalaman reaming 14 inch 53,50-55,50 m</t>
  </si>
  <si>
    <t>pengelasan stangbor</t>
  </si>
  <si>
    <t>minta teknisi ke lapangan</t>
  </si>
  <si>
    <t>progres kedalaman sudah di 25 M matabor tricon 8 inch</t>
  </si>
  <si>
    <t>Perapihan alat di lokasi</t>
  </si>
  <si>
    <t>progres pengeboran dapet 1 m pakai mata bor 6inch</t>
  </si>
  <si>
    <t>masih nyepul</t>
  </si>
  <si>
    <t>ngakalin stangbor yang terjepit ,dan sudah terangkat semua</t>
  </si>
  <si>
    <t>request air, oxigen, isolasi dan kabel hois</t>
  </si>
  <si>
    <t>6 Agustus 2024</t>
  </si>
  <si>
    <t>request grendel sling</t>
  </si>
  <si>
    <t>7 Agustus 2024</t>
  </si>
  <si>
    <t>kedalaman reaming 14 inch 55,50-56,00 m</t>
  </si>
  <si>
    <t>progres kedalaman 1,30 M</t>
  </si>
  <si>
    <t>progres pengeboran dapet 2 m pakai mata bor 6inch</t>
  </si>
  <si>
    <t>progres kedalaman sudah di 30,5 M matabor tricon 8 inch</t>
  </si>
  <si>
    <t>buat spulbak</t>
  </si>
  <si>
    <t>angkat stang bor dapat 15 batang</t>
  </si>
  <si>
    <t>lanjut angkat stang bor</t>
  </si>
  <si>
    <t>bantu lansir air, ganti kabel hois, las coring dan turun koring 8 inch</t>
  </si>
  <si>
    <t>kedalaman reaming 14 inch 56,00-56,30 m</t>
  </si>
  <si>
    <t>progres pengeboran dapet 1,10 m pakai mata bor 6inch</t>
  </si>
  <si>
    <t>progres kedalaman sudah di 34 M matabor tricon 8 inch</t>
  </si>
  <si>
    <t>perakitan dan dirikan alat</t>
  </si>
  <si>
    <t>baru ada masuk 2 Meteran</t>
  </si>
  <si>
    <t>request polimer, kanal u 10 panjang 150 cm dan tabung oxigen</t>
  </si>
  <si>
    <t>spul sama pumping</t>
  </si>
  <si>
    <t>motor min 5.5 hp, polly vbelt dan plat pintu</t>
  </si>
  <si>
    <t>nyepul setelah kontruksi karena masih banyak kotoran</t>
  </si>
  <si>
    <t>pengeboran dapat 50 cm pake coring 8 inch , formasi batuan keras</t>
  </si>
  <si>
    <t>8 Agustus 2024</t>
  </si>
  <si>
    <t>kendala kontaktor rusak</t>
  </si>
  <si>
    <t>request kunci pipa 36 1unit</t>
  </si>
  <si>
    <t>progres kedalaman 0,25 M</t>
  </si>
  <si>
    <t>progres pengeboran dapet 15 cm pakai mata bor 6inch</t>
  </si>
  <si>
    <t>progres kedalaman sudah di 37 M matabor tricon 8 inch</t>
  </si>
  <si>
    <t>masih persiapan alat</t>
  </si>
  <si>
    <t>request mcb 3 phase</t>
  </si>
  <si>
    <t>kendala pompa macet</t>
  </si>
  <si>
    <t>request pompa</t>
  </si>
  <si>
    <t xml:space="preserve">pengeboran dapat 40 cm pake coring 8 inch </t>
  </si>
  <si>
    <t>kendala sering terjepit, reaming ulang dari 68M</t>
  </si>
  <si>
    <t>9 Agustus 2024</t>
  </si>
  <si>
    <t>ganti kontaktor , perbaikan jaringan kabel hois dan kontaktor</t>
  </si>
  <si>
    <t>kedalaman reaming 14 inch 56,30-57,00 m</t>
  </si>
  <si>
    <t>lembur sampai jam 19,30</t>
  </si>
  <si>
    <t>progres kedalaman 0,80 M</t>
  </si>
  <si>
    <t>service NS</t>
  </si>
  <si>
    <t>progres kedalaman sudah di 39,5 M matabor tricon 8 inch</t>
  </si>
  <si>
    <t>listrik sempat trouble dan sudah bisa di gunakan kembali</t>
  </si>
  <si>
    <t>kedalaman reaming 14 inch 56,60 m</t>
  </si>
  <si>
    <t>pengeboran kedalaman 6 meter mata bor  8 inch</t>
  </si>
  <si>
    <t>kendala sering slip dan terjepit</t>
  </si>
  <si>
    <t>angkat stangbor dan coring 8 inch, mau ganti ke coring 6 inch</t>
  </si>
  <si>
    <t>10 Agustus 2024</t>
  </si>
  <si>
    <t>11 Agustus 2024</t>
  </si>
  <si>
    <t>progres pengeboran dapet 4 M coring 4 inch</t>
  </si>
  <si>
    <t>progres pengeboran dapet 1 M coring 4 inch</t>
  </si>
  <si>
    <t>kedalaman reaming 14 inch 57,00-57,50 m</t>
  </si>
  <si>
    <t>progres kedalaman 0,70 M</t>
  </si>
  <si>
    <t>progres pengeboran dapet 10 cm pakai mata bor 6inch</t>
  </si>
  <si>
    <t>progres kedalaman sudah di 42 M matabor tricon 8 inch</t>
  </si>
  <si>
    <t>pengeboran kedalaman 30 meter mata bor  8 inch</t>
  </si>
  <si>
    <t>pengeboran kedalaman 40 meter mata bor  8 inch</t>
  </si>
  <si>
    <t>request air, segment, kawat kuningan</t>
  </si>
  <si>
    <t>kedalaman reaming 14 inch 57,50-58,00 m Pake Tricon Gigi</t>
  </si>
  <si>
    <t>patah as gardan</t>
  </si>
  <si>
    <t>pengeboran kedalaman 45 meter mata bor  8 inch</t>
  </si>
  <si>
    <t>progres kedalaman sudah di 48 M matabor tricon 8 inch</t>
  </si>
  <si>
    <t>kendala pully pecah</t>
  </si>
  <si>
    <t>service alat , dan setting ulang dynamo, cek mata bor</t>
  </si>
  <si>
    <t>setting ulang gardan</t>
  </si>
  <si>
    <t>12 Agustus 2024</t>
  </si>
  <si>
    <t>kedalaman reaming 14 inch 58,00-58,30 m Pake Tricon Gigi</t>
  </si>
  <si>
    <t>penetrasi lambat batuan keras</t>
  </si>
  <si>
    <t>buat coring 6 inch pake mata bor widia segmen</t>
  </si>
  <si>
    <t>nyepul dan pasang gravel</t>
  </si>
  <si>
    <t>pengeboran sampai kedalaman 75 M menggunakan coring 6 inch</t>
  </si>
  <si>
    <t>13 Agustus 2024</t>
  </si>
  <si>
    <t>progres pengeboran dapet 5 M coring 8 inch</t>
  </si>
  <si>
    <t>kedalaman reaming 14 inch 58,30-58,80 m Pake Tricon Gigi</t>
  </si>
  <si>
    <t>pengeboran kedalaman 56 meter mata bor  8 inch</t>
  </si>
  <si>
    <t>50-56 lapisan batubara</t>
  </si>
  <si>
    <t>40-50 napal cadas</t>
  </si>
  <si>
    <t>30-33 pasir kuarsa campur krikil</t>
  </si>
  <si>
    <t>15-30 pasir kuarsa</t>
  </si>
  <si>
    <t>2-15 pasir silica</t>
  </si>
  <si>
    <t>progres kedalaman sudah di 51 M matabor tricon 8 inch</t>
  </si>
  <si>
    <t>progres pengeboran dapet 20 cm pakai mata bor 6inch</t>
  </si>
  <si>
    <t>kendala putaran terlalu cepat vanbelt selalu copot</t>
  </si>
  <si>
    <t>panel perlu di perbaiki</t>
  </si>
  <si>
    <t>progres kedalaman 1,5 M mata bor 8 inch</t>
  </si>
  <si>
    <t>poly 5 inch, as 38, bearing duduk</t>
  </si>
  <si>
    <t>bawa stang bor 8 btg</t>
  </si>
  <si>
    <t>14 Agustus 2024</t>
  </si>
  <si>
    <t>15 Agustus 2024</t>
  </si>
  <si>
    <t>kedalaman reaming 14 inch 58,80-59,50 m Pake Tricon Gigi</t>
  </si>
  <si>
    <t>service as capit udang yang patah di workshop</t>
  </si>
  <si>
    <t>progres kedalaman di 50 M</t>
  </si>
  <si>
    <t>buat coring 6 inch pake mata widia tricon belah</t>
  </si>
  <si>
    <t>progres kedalaman sudah di 53,5 M matabor tricon 8 inch</t>
  </si>
  <si>
    <t>pengeboran kedalaman 61 meter mata bor  8 inch</t>
  </si>
  <si>
    <t>Pasang Listrik</t>
  </si>
  <si>
    <t>Meteran Awal 8728.80</t>
  </si>
  <si>
    <t>Pemasangan Listrik</t>
  </si>
  <si>
    <t>Meteran Awal 14249.38</t>
  </si>
  <si>
    <t>bikin as baru diameter 3.8 panjang 30 cm tengahnya</t>
  </si>
  <si>
    <t>lobang sepi, gigi suri sama betina nya seperti yang di depan</t>
  </si>
  <si>
    <t>penambahan untuk sasis kanal U 5, 2 meteran</t>
  </si>
  <si>
    <t xml:space="preserve">baut 19, 4 biji, </t>
  </si>
  <si>
    <t>libur karena pak wawannya lagi sakit</t>
  </si>
  <si>
    <t>permukaan air di 2 M</t>
  </si>
  <si>
    <t>pompa di kedalaman 68 M</t>
  </si>
  <si>
    <t>pengeboran dapat 1 M pake coring 6 inch</t>
  </si>
  <si>
    <t>kendala mampet lumpur</t>
  </si>
  <si>
    <t>progres hari ini dapet 50 cm pake pdc 8 inch</t>
  </si>
  <si>
    <t>request tricon jagung</t>
  </si>
  <si>
    <t>kedalaman reaming 14 inch 59,50-60,50 m Pake Tricon Gigi</t>
  </si>
  <si>
    <t>progres kedalaman 0,20 M</t>
  </si>
  <si>
    <t>gali buat saluran instalasi</t>
  </si>
  <si>
    <t>ganti lagi pakai koring</t>
  </si>
  <si>
    <t>rencana turun alat hari minggu</t>
  </si>
  <si>
    <t>butuh stang bor</t>
  </si>
  <si>
    <t>pengeboran kedalaman 64 meter mata bor  8 inch</t>
  </si>
  <si>
    <t>suryaflo 4 inch, 3 atau 4 btg</t>
  </si>
  <si>
    <t>MAT Pagi</t>
  </si>
  <si>
    <t>pumping sampai senin jam 5 sore</t>
  </si>
  <si>
    <t>ganti pompa dengan 2 hp</t>
  </si>
  <si>
    <t>benerin ns</t>
  </si>
  <si>
    <t>masukin air, langsung kehabisan</t>
  </si>
  <si>
    <t>langsir air, gemuk, kating gerinda tipis, as ns 80</t>
  </si>
  <si>
    <t>stavol, kawat las, pisau gerinda tipis</t>
  </si>
  <si>
    <t>kedalaman reaming 14 inch 61,00-61,70 m Pake Tricon Gigi</t>
  </si>
  <si>
    <t>18 Agustus 2024</t>
  </si>
  <si>
    <t>16 Agustus 2024</t>
  </si>
  <si>
    <t>kedalaman reaming 14 inch 60,50-61,00 m Pake Tricon Gigi</t>
  </si>
  <si>
    <t>progres kedalaman 70 cm</t>
  </si>
  <si>
    <t>kedalaman 52 meter</t>
  </si>
  <si>
    <t>progres dapat 70 cm</t>
  </si>
  <si>
    <t>total kedalaman 40 meter</t>
  </si>
  <si>
    <t>minta mata bor 4 inch</t>
  </si>
  <si>
    <t>tidak ada laporan progres</t>
  </si>
  <si>
    <t xml:space="preserve">libur </t>
  </si>
  <si>
    <t>progres kedalaman sudah 56 meter</t>
  </si>
  <si>
    <t>progres kedalaman 58 meter</t>
  </si>
  <si>
    <t>pengeboran kedalaman 70 meter mata bor  8 inch</t>
  </si>
  <si>
    <t>mobilisasi alat</t>
  </si>
  <si>
    <t>progres kedalaman 60 meter mata bor tricon 8 inch</t>
  </si>
  <si>
    <t>perlu katrol, seling harus sudah 2 jalur</t>
  </si>
  <si>
    <t>17 Agustus 2024</t>
  </si>
  <si>
    <t>stang bor putus</t>
  </si>
  <si>
    <t>19 Agustus 2024</t>
  </si>
  <si>
    <t>progres hari ini dapet 1 meter koring 6 inch</t>
  </si>
  <si>
    <t>progres hari ini dapet 1,5metetr pake koring 6 inch</t>
  </si>
  <si>
    <t>total kedalaman 50 cm</t>
  </si>
  <si>
    <t>stang bor putus langsung di akalin</t>
  </si>
  <si>
    <t>progres harian dapat 30 cm</t>
  </si>
  <si>
    <t>ngambil tanah merah</t>
  </si>
  <si>
    <t>las kupingan di stang bor</t>
  </si>
  <si>
    <t>bantu langsur air</t>
  </si>
  <si>
    <t>kedalaman reaming 14 inch 61,70-62,50 m Pake Tricon Gigi</t>
  </si>
  <si>
    <t>kedalaman 53 meter</t>
  </si>
  <si>
    <t>progres kedalaman 2,3 meter mata bor 8 inch</t>
  </si>
  <si>
    <t>rakit alat</t>
  </si>
  <si>
    <t>progres hari ini dapet 0,5 meter koring 6 inch</t>
  </si>
  <si>
    <t>20 Agustus 2024</t>
  </si>
  <si>
    <t>kedalaman reaming 14 inch 62,50-63,50 m Pake Tricon Gigi</t>
  </si>
  <si>
    <t xml:space="preserve">service gearbok dan swipel </t>
  </si>
  <si>
    <t>progres harian dapat 30 cm mata bor 6 inch</t>
  </si>
  <si>
    <t>progres kedalaman 63 meter mata bor tricon 8 inch</t>
  </si>
  <si>
    <t>pengeboran kedalaman 76 meter mata bor  8 inch</t>
  </si>
  <si>
    <t>pengeboran kedalaman 81 meter mata bor  8 inch</t>
  </si>
  <si>
    <t>progres harian dapat 22 cm</t>
  </si>
  <si>
    <t>angkat semua stangbor karena tersumbat</t>
  </si>
  <si>
    <t>progres harian dapat 50 cm</t>
  </si>
  <si>
    <t>belum ada update</t>
  </si>
  <si>
    <t>progres harian dapat 20 cm mata bor 6 inch</t>
  </si>
  <si>
    <t>service gearbox kapal dan setting alat</t>
  </si>
  <si>
    <t>progres kedalaman 67,5 meter mata bor tricon 8 inch</t>
  </si>
  <si>
    <t>progres kedalaman 65 meter mata bor tricon 8 inch</t>
  </si>
  <si>
    <t>progres kedalaman di 5 M</t>
  </si>
  <si>
    <t>progres kedalaman di 6 M</t>
  </si>
  <si>
    <t>lembur sampai jam 10</t>
  </si>
  <si>
    <t>progres kedalaman baru di 7 M</t>
  </si>
  <si>
    <t>progres kedalaman baru di 10 M</t>
  </si>
  <si>
    <t>Team Pak Dede</t>
  </si>
  <si>
    <t>progres kedalaman baru di 9 M</t>
  </si>
  <si>
    <t>baru mulai pengeboran</t>
  </si>
  <si>
    <t>21 Agustus 2024</t>
  </si>
  <si>
    <t>22 Agustus 2024</t>
  </si>
  <si>
    <t>23 Agustus 2024</t>
  </si>
  <si>
    <t>24 Agustus 2024</t>
  </si>
  <si>
    <t>25 Agustus 2024</t>
  </si>
  <si>
    <t>kedalaman reaming 14 inch 64,00-64,70 m Pake Tricon Gigi</t>
  </si>
  <si>
    <t>kedalaman reaming 14 inch 63,50-64,00 m Pake Tricon Gigi</t>
  </si>
  <si>
    <t>benerin swipel lubang swipel d gedein
angkut lagi tanah
las kupingan stangbor</t>
  </si>
  <si>
    <t>angkat koring 8 inc
masukin matabor pdc 8 inci + stangbor 18 batang
ganti as ns 80
ngambilin tanah buat ngentelin spulbak</t>
  </si>
  <si>
    <t>pasang pompa 2 HP dan pumping test</t>
  </si>
  <si>
    <t>pemasang jalur pipa ke toren dan perbaikan dudukan toren</t>
  </si>
  <si>
    <t>sudah di kedalaman 70 M</t>
  </si>
  <si>
    <t>perbaikan spulkop dan pengelasan rig</t>
  </si>
  <si>
    <t>kedalaman reaming 14 inch 64,70-65,50 m Pake Tricon Gigi</t>
  </si>
  <si>
    <t>progres hari ini sudah di kedalaman 18 meter koring 5 inch</t>
  </si>
  <si>
    <t>bantu langsir air
cabut lagi matabor vdc 8 inci d karnakan mampet lubangnya kecil</t>
  </si>
  <si>
    <t>matabor pdcnya mampet
d angkat smua stangbor+PDC
turunin koring 8 inci ngakalin yang whaterlos alhamdulilah udah naik air sirkulasi cuma air suplainya abis</t>
  </si>
  <si>
    <t>33-40 pasir kuarsa</t>
  </si>
  <si>
    <t>progres kedalaman baru di 15 M mata bor 8 inch</t>
  </si>
  <si>
    <t>progres kedalaman 69,5 meter mata bor tricon jagung 8 inch</t>
  </si>
  <si>
    <t>pengeboran kedalaman 89 meter mata bor  8 inch</t>
  </si>
  <si>
    <t>kirim casing, molen, stang bor dll</t>
  </si>
  <si>
    <t>progres kedalaman di 7 M</t>
  </si>
  <si>
    <t xml:space="preserve">waterlos, lanjut cor </t>
  </si>
  <si>
    <t>waterlos belum ada progres sambil nunggu coran kering</t>
  </si>
  <si>
    <t>progres kedalaman 12 meter mata bor trikon jagung 8 inch</t>
  </si>
  <si>
    <t>matabor vdc mampet lagi d angkat smua
ganti puli ns 80
masukin vdc 8 inci
benerin swipel Karna bocor</t>
  </si>
  <si>
    <t xml:space="preserve"> masukin matabor vdc 8 inci bor ulang dari kedalaman 70 meter sampai 75 meter
 spuling d kedalaman 74 meter Karna banyak pasir hitam</t>
  </si>
  <si>
    <t>progres hari ini sudah di kedalaman 21 meter koring 5 inch</t>
  </si>
  <si>
    <t>progres hari ini sudah di kedalaman 21,5 meter koring 5 inch</t>
  </si>
  <si>
    <t>kedalaman reaming 14 inch 65,50-66,50 m Pake Tricon Gigi</t>
  </si>
  <si>
    <t>kedalaman reaming 14 inch 66,50-67 m Pake Tricon Gigi</t>
  </si>
  <si>
    <t>service penggerak gardan</t>
  </si>
  <si>
    <t>progres harian dapat 1 m</t>
  </si>
  <si>
    <t>progres harian dapat 10 cm mata bor 6 inch</t>
  </si>
  <si>
    <t>progres kedalaman 74 meter mata bor tricon jagung 8 inch</t>
  </si>
  <si>
    <t>progres kedalaman 72 meter mata bor tricon jagung 8 inch</t>
  </si>
  <si>
    <t>progres kedalaman di 9 M</t>
  </si>
  <si>
    <t>progres kedalaman di 11 M</t>
  </si>
  <si>
    <t>sudah di kedalaman 100 M</t>
  </si>
  <si>
    <t>logging dan kontruksi</t>
  </si>
  <si>
    <t>progres kedalaman baru di 18 M mata bor 8 inch</t>
  </si>
  <si>
    <t>progres kedalaman baru di 18,5 M mata bor 8 inch</t>
  </si>
  <si>
    <t>progres kedalaman 20 meter mata bor trikon jagung 8 inch</t>
  </si>
  <si>
    <t>progres kedalaman 20,5 meter mata bor trikon jagung 8 inch</t>
  </si>
  <si>
    <t>negcor karena waterlos</t>
  </si>
  <si>
    <t>progres kedalaman baru di 18,7 M mata bor 8 inch</t>
  </si>
  <si>
    <t>kendala as gembok lepas dari plenes</t>
  </si>
  <si>
    <t>26 Agustus 2024</t>
  </si>
  <si>
    <t>kedalaman reaming 14 inch 67-67,65 m Pake Tricon Gigi</t>
  </si>
  <si>
    <t>progres hari ini sudah di kedalaman 23 meter koring 5 inch</t>
  </si>
  <si>
    <t>angkat smua stangbor + vdc 8 inci
bantu langsir air
masukin 5 batang stangbor + trikon gigi 8 inci</t>
  </si>
  <si>
    <t>alat bor sudah di workshop hari senin sampai</t>
  </si>
  <si>
    <t>progres kedalaman 26 meter mata bor trikon jagung 8 inch</t>
  </si>
  <si>
    <t>masukin stangbor 13 batang
ngbor dapat 5 meter smentara kedalaman 80 meter</t>
  </si>
  <si>
    <t>kamis minta air lagi</t>
  </si>
  <si>
    <t>progres hari ini sudah di kedalaman 24 meter koring 5 inch</t>
  </si>
  <si>
    <t>27 Agustus 2024</t>
  </si>
  <si>
    <t>kedalaman reaming 14 inch 67,65-68,15 m Pake Tricon Gigi</t>
  </si>
  <si>
    <t>service gardan</t>
  </si>
  <si>
    <t>bantu cek alat cikolelet yang trouble</t>
  </si>
  <si>
    <t>progres kedalaman 76,5 meter mata bor tricon jagung 8 inch</t>
  </si>
  <si>
    <t>progres kedalaman baru di 19,20 M mata bor 8 inch</t>
  </si>
  <si>
    <t>butuh v belt 3 biji</t>
  </si>
  <si>
    <t>kedalaman 98 meter</t>
  </si>
  <si>
    <t>dapat 10 cm</t>
  </si>
  <si>
    <t>libur ada yang meninggal</t>
  </si>
  <si>
    <t>kamis kirim gravel 50 karung dan pompa pumping</t>
  </si>
  <si>
    <t>progres kedalaman di 13,5 M</t>
  </si>
  <si>
    <t>rabu logging test</t>
  </si>
  <si>
    <t>logging test</t>
  </si>
  <si>
    <t>progres kedalaman di 16 M</t>
  </si>
  <si>
    <t>request tanah lempung yg bagus</t>
  </si>
  <si>
    <t>libur ada keperluan keluarga</t>
  </si>
  <si>
    <t>progres kedalaman 79 meter mata bor tricon jagung 8 inch</t>
  </si>
  <si>
    <t>setting alat masih selip setelannya</t>
  </si>
  <si>
    <t>setting alat penambahan vanbelt</t>
  </si>
  <si>
    <t>progres harian dapat 43 cm</t>
  </si>
  <si>
    <t>kedalaman reaming 14 inch 68,15-68,65 m Pake Tricon Gigi</t>
  </si>
  <si>
    <t>28 Agustus 2024</t>
  </si>
  <si>
    <t>progres hari ini sudah di kedalaman 25 meter koring 5 inch</t>
  </si>
  <si>
    <t>ngebor dapet 2 m</t>
  </si>
  <si>
    <t>progres kedalaman 29 meter mata bor trikon jagung 8 inch</t>
  </si>
  <si>
    <t>reaming ulang sudah sampai kedalaman 40 M</t>
  </si>
  <si>
    <t>progres kedalaman 82 meter mata bor tricon jagung 8 inch</t>
  </si>
  <si>
    <t>progres harian dapat 15 cm mata bor 6 inch</t>
  </si>
  <si>
    <t>progres kedalaman baru di 19,40 M mata bor 8 inch</t>
  </si>
  <si>
    <t>sudah sampai kedalaman 35 M</t>
  </si>
  <si>
    <t>29 Agustus 2024</t>
  </si>
  <si>
    <t>kedalaman reaming 14 inch 68,65-69 m Pake Tricon Gigi</t>
  </si>
  <si>
    <t>kedalaman sudah sampai 84,5 M
bantu langsir air</t>
  </si>
  <si>
    <t>belum ada progres air suplai abis dan butuh tanah lempung</t>
  </si>
  <si>
    <t>progres kedalaman 45 meter mata bor trikon jagung 8 inch</t>
  </si>
  <si>
    <t>7 btg</t>
  </si>
  <si>
    <t>10 btg</t>
  </si>
  <si>
    <t>kendala pompa air mati</t>
  </si>
  <si>
    <t>haari ini di kirim tanah lempung</t>
  </si>
  <si>
    <t>butuh oli gearbok kapal dan seting plat kopling dll</t>
  </si>
  <si>
    <t>siapkan matrial</t>
  </si>
  <si>
    <t>progres kedalaman 48 meter mata bor trikon jagung 8 inch</t>
  </si>
  <si>
    <t>11 btg</t>
  </si>
  <si>
    <t>progres kedalaman baru di 19,70 M mata bor 8 inch</t>
  </si>
  <si>
    <t xml:space="preserve">belum ada progres </t>
  </si>
  <si>
    <t>progres kedalaman 83,5 meter mata bor tricon jagung 8 inch</t>
  </si>
  <si>
    <t>progres harian dapat 20 cm</t>
  </si>
  <si>
    <t>30 Agustus 2024</t>
  </si>
  <si>
    <t>kedalaman reaming 14 inch 69-69,5 m Pake Tricon Gigi</t>
  </si>
  <si>
    <t>ngebor dapat 2 meter smentara kedalaman 86,5 meter
udah ga mau turun lagi besok mau d angkat dulu smua takut udah mentok matabor</t>
  </si>
  <si>
    <t>REAMING ulang sudah sampai kedalaman 90 M</t>
  </si>
  <si>
    <t>MINGGU KONTRUKSI</t>
  </si>
  <si>
    <t>air sudah datang</t>
  </si>
  <si>
    <t>progres hari ini sudah di kedalaman 26,5 meter koring 4 inch</t>
  </si>
  <si>
    <t>progres hari ini sudah di kedalaman 28 meter koring 4 inch</t>
  </si>
  <si>
    <t>langsung turun koring 8 inch</t>
  </si>
  <si>
    <t>gravel 50 karung, skrup dan mata skrup</t>
  </si>
  <si>
    <t>bor kering pake koring 8 inci dapat 75 cm smentara kdalaman 74,75 meter
ada yang nyumbng langsir air alkonya rusak jadi ngga jadi</t>
  </si>
  <si>
    <t>Sementara kedalaman pake koring 8 inci 74 meter</t>
  </si>
  <si>
    <t>31 Agustus 2024</t>
  </si>
  <si>
    <t>progres hari ini sudah di kedalaman 13 meter koring 6 inch</t>
  </si>
  <si>
    <t>progres hari ini sudah di kedalaman 16 meter koring 6 inch</t>
  </si>
  <si>
    <t>perlu langsir air</t>
  </si>
  <si>
    <t>kedalaman reaming 14 inch 69,5-70,5 m Pake Tricon Gigi</t>
  </si>
  <si>
    <t>kedalaman reaming 14 inch 70,5-71,5 m Pake Tricon Gigi</t>
  </si>
  <si>
    <t>as gardan patah lagi</t>
  </si>
  <si>
    <t>service as gardan</t>
  </si>
  <si>
    <t>service alat</t>
  </si>
  <si>
    <t>service dinamo</t>
  </si>
  <si>
    <t>progres kedalaman 85,5 meter mata bor tricon jagung 8 inch</t>
  </si>
  <si>
    <t>libur, bantuin kontruksi lokasi lialang</t>
  </si>
  <si>
    <t>kontruksi 6 inch</t>
  </si>
  <si>
    <t>nunggu lempung</t>
  </si>
  <si>
    <t>progres kedalaman 21 meter</t>
  </si>
  <si>
    <t>progres kedalaman baru di 19,90 M mata bor 8 inch</t>
  </si>
  <si>
    <t>progres kedalaman baru di 21 M mata bor 8 inch</t>
  </si>
  <si>
    <t>buatkan katrol</t>
  </si>
  <si>
    <t>butuh coring 6 inch</t>
  </si>
  <si>
    <t>butuh koring 6 inch</t>
  </si>
  <si>
    <t>15 btg</t>
  </si>
  <si>
    <t>progres kedalaman baru di 29,5 M mata bor 8 inch</t>
  </si>
  <si>
    <t>tinggal pumping test</t>
  </si>
  <si>
    <t>progres kedalaman 22 meter</t>
  </si>
  <si>
    <t>progres kedalaman 67 meter mata bor trikon jagung 8 inch</t>
  </si>
  <si>
    <t>progres kedalaman 97,5 meter mata bor trikon jagung 8 inch</t>
  </si>
  <si>
    <t>21btg kurang 1,5</t>
  </si>
  <si>
    <t>buat coring pake segmen gunung</t>
  </si>
  <si>
    <t>bor kering baru dapat 20 cm
bantu langsir air
ngbor pake air dapat 40 cm smentara kdalaman 75,35 meter</t>
  </si>
  <si>
    <t>progres hari ini sudah di kedalaman 17 meter koring 6 inch</t>
  </si>
  <si>
    <t>kedalaman reaming 14 inch 71,5-73 m Pake Tricon Gigi</t>
  </si>
  <si>
    <t>progres harian dapat 39 cm</t>
  </si>
  <si>
    <t>seting alat, geser titik</t>
  </si>
  <si>
    <t>sakit abis bantu kontruksi lialang</t>
  </si>
  <si>
    <t>minta buatkan kupingan koring, 8 biji</t>
  </si>
  <si>
    <t>listrik permanen</t>
  </si>
  <si>
    <t>ngbor pake koring 8 inci dapat 1 meter smentara kdalaman 76,35 meter</t>
  </si>
  <si>
    <t>progres hari ini sudah di kedalaman 19 meter koring 6 inch</t>
  </si>
  <si>
    <t>kedalaman reaming 14 inch 73-75 m Pake Tricon Gigi</t>
  </si>
  <si>
    <t>stangbor patah lagi dan hari ini coba di angkat semua</t>
  </si>
  <si>
    <t>progres kedalaman 87,5 meter mata bor tricon jagung 8 inch</t>
  </si>
  <si>
    <t>progres kedalaman baru di 30,90 M mata bor 8 inch</t>
  </si>
  <si>
    <t>kirim matrial</t>
  </si>
  <si>
    <t>service gearbok</t>
  </si>
  <si>
    <t>progres kedalaman 39 meter</t>
  </si>
  <si>
    <t>ngbor pake koring 8 inci dapat 1,35 meter smentara kdalaman 77,7 meter</t>
  </si>
  <si>
    <t>perlu lansir air</t>
  </si>
  <si>
    <t>progres hari ini sudah di kedalaman 21,5 meter koring 6 inch</t>
  </si>
  <si>
    <t>kedalaman reaming 14 inch 75-77 m Pake Tricon Gigi</t>
  </si>
  <si>
    <t xml:space="preserve">baru selesai angkat stangbor </t>
  </si>
  <si>
    <t xml:space="preserve">baru selesai pasang coring </t>
  </si>
  <si>
    <t>kendala patah capit udang</t>
  </si>
  <si>
    <t>progres kedalaman 90 meter mata bor tricon jagung 8 inch</t>
  </si>
  <si>
    <t>baru selesai ngecor</t>
  </si>
  <si>
    <t>progres kedalaman 24 meter</t>
  </si>
  <si>
    <t>kendala waterloss di 23,5</t>
  </si>
  <si>
    <t>perlu koring 6 inch</t>
  </si>
  <si>
    <t>bikin jebakan mata bor</t>
  </si>
  <si>
    <t>turun pipa sampai mata bor yang patah</t>
  </si>
  <si>
    <t>progres kedalaman 70 meter</t>
  </si>
  <si>
    <t>dan masukan tanah merah</t>
  </si>
  <si>
    <t>progres kedalaman 103 meter mata bor trikon jagung 8 inch</t>
  </si>
  <si>
    <t>progres kedalaman 99 meter mata bor trikon jagung 8 inch</t>
  </si>
  <si>
    <t>perlu siapkan matrial</t>
  </si>
  <si>
    <t>Tegangan tanpa Beban</t>
  </si>
  <si>
    <t>Tegangan Dengan Beban</t>
  </si>
  <si>
    <t>Tidak terdata</t>
  </si>
  <si>
    <t>R</t>
  </si>
  <si>
    <t>S</t>
  </si>
  <si>
    <t>T</t>
  </si>
  <si>
    <t>casing 12 inch, Reaming 18 Inch</t>
  </si>
  <si>
    <t>Penawaran</t>
  </si>
  <si>
    <t>Negosiasi</t>
  </si>
  <si>
    <t xml:space="preserve">Perlu Siku Tebal </t>
  </si>
  <si>
    <t>Joko/Oasis</t>
  </si>
  <si>
    <t>Status</t>
  </si>
  <si>
    <t>Legend</t>
  </si>
  <si>
    <t>Pengeboran</t>
  </si>
  <si>
    <t>Finishing</t>
  </si>
  <si>
    <t>Done</t>
  </si>
  <si>
    <t>Pending</t>
  </si>
  <si>
    <t>Persiapan</t>
  </si>
  <si>
    <t>Suralaya</t>
  </si>
  <si>
    <t>Akar</t>
  </si>
  <si>
    <t>angkat besi 1.5 meter</t>
  </si>
  <si>
    <t>ngebor pakai koring 8 inch dapat 1 meter</t>
  </si>
  <si>
    <t>progres hari ini sudah di kedalaman 0,5 meter pdc 3 inch</t>
  </si>
  <si>
    <t>kedalaman reaming 14 inch 77-78 m Pake Tricon Gigi</t>
  </si>
  <si>
    <t>kirim matrial hari ini</t>
  </si>
  <si>
    <t>angkat mata bor yang putus</t>
  </si>
  <si>
    <t>swipel patah</t>
  </si>
  <si>
    <t>tidak dapat progres karna dinamo harus diganti</t>
  </si>
  <si>
    <t>reaming 8 inch kedalaman 21 meter</t>
  </si>
  <si>
    <t>progres kedalaman 112 meter mata bor trikon jagung 8 inch</t>
  </si>
  <si>
    <t>Team Pak sobirin</t>
  </si>
  <si>
    <t>tidak ada laporan</t>
  </si>
  <si>
    <t>reaming 8 inch kedalaman 32,20 meter</t>
  </si>
  <si>
    <t>perbaikan alat kendala terjepit</t>
  </si>
  <si>
    <t>perbaikan alat dan mengatasi pipa yang terjepit</t>
  </si>
  <si>
    <t>pengelasan kembali mata bor yang putus</t>
  </si>
  <si>
    <t>progres kedalaman 103 meter</t>
  </si>
  <si>
    <t>kedalaman reaming 14 inch 78-79 m Pake Tricon Gigi</t>
  </si>
  <si>
    <t>progres kedalaman 90 meter</t>
  </si>
  <si>
    <t>kirim traker dan katrol</t>
  </si>
  <si>
    <t xml:space="preserve">kendala water los </t>
  </si>
  <si>
    <t>belum ada jawaban info progres</t>
  </si>
  <si>
    <t>progres kedalaman 121 meter mata bor trikon jagung 8 inch</t>
  </si>
  <si>
    <t>kurang casing</t>
  </si>
  <si>
    <t>Team Pak Jojo</t>
  </si>
  <si>
    <t>Mobilisasi alat</t>
  </si>
  <si>
    <t xml:space="preserve">tidak dapat progres </t>
  </si>
  <si>
    <t>dynamo mati</t>
  </si>
  <si>
    <t>progres kedalaman 35 M reaming pdc 8 inch</t>
  </si>
  <si>
    <t>perapihan alat</t>
  </si>
  <si>
    <t xml:space="preserve">kontruksi dan pumping test </t>
  </si>
  <si>
    <t xml:space="preserve">pengelasan pipa bor </t>
  </si>
  <si>
    <t>pengelasan soket yang udah aus dan di balik dratnya</t>
  </si>
  <si>
    <t>kedalaman reaming 14 inch 79-80,20 m Pake Tricon Gigi</t>
  </si>
  <si>
    <t>kedalaman reaming 14 inch 80,2-81 m Pake Tricon Gigi</t>
  </si>
  <si>
    <t>mcb rusak</t>
  </si>
  <si>
    <t>as gardan patah</t>
  </si>
  <si>
    <t>progres hari ini sudah di kedalaman 20 meter coring 6 inch</t>
  </si>
  <si>
    <t>progres hari ini sudah di kedalaman 21,5 meter coring 6 inch</t>
  </si>
  <si>
    <t>ngebor pakai koring 8 inch dapat 80 cm</t>
  </si>
  <si>
    <t xml:space="preserve">reaming ulang pakai koring 8 inch setelah pasang mata bor </t>
  </si>
  <si>
    <t>reaming dari 70-80,5</t>
  </si>
  <si>
    <t>ngebor pakai koring 8 inch dapat 35 cm</t>
  </si>
  <si>
    <t>ngebor pakai koring 8 inch dapat 60 cm</t>
  </si>
  <si>
    <t>progres hari ini sudah di kedalaman 23 meter coring 6 inch</t>
  </si>
  <si>
    <t>progres hari ini sudah di kedalaman 24 meter coring 6 inch</t>
  </si>
  <si>
    <t>kedalaman reaming 14 inch 82,50-83 m Pake Tricon Gigi</t>
  </si>
  <si>
    <t>kedalaman reaming 14 inch 81-82,50 m Pake Tricon Gigi</t>
  </si>
  <si>
    <t>progres harian dapat 1,28 m</t>
  </si>
  <si>
    <t>reaming 8 inch, service gearbox</t>
  </si>
  <si>
    <t>reaming 8 inch baru dapet 1 btg</t>
  </si>
  <si>
    <t>baru pasang dinamo sore</t>
  </si>
  <si>
    <t>request widia belah, kawat kuningan,borax</t>
  </si>
  <si>
    <t>progres kedalaman 135 meter mata bor trikon jagung 8 inch</t>
  </si>
  <si>
    <t>tidak ada info</t>
  </si>
  <si>
    <t>progres kedalaman 130 meter mata bor trikon jagung 8 inch</t>
  </si>
  <si>
    <t>logging</t>
  </si>
  <si>
    <t>setting alat dan gali spul bak</t>
  </si>
  <si>
    <t>kedalaman 3 M</t>
  </si>
  <si>
    <t>mobilisasi dan setting alat</t>
  </si>
  <si>
    <t>pengeboran sudah di kedalaman 20 M</t>
  </si>
  <si>
    <t>Team Pak asikin</t>
  </si>
  <si>
    <t>ngebor pakai koring 8 inch dapat 40 cm</t>
  </si>
  <si>
    <t>rencana reaming ulang pake tricon gigi</t>
  </si>
  <si>
    <t>progres hari ini sudah di kedalaman 26 meter coring 6 inch</t>
  </si>
  <si>
    <t>progres hari ini sudah di kedalaman 27 meter coring 6 inch</t>
  </si>
  <si>
    <t>kedalaman reaming 14 inch 83.00m - 84.50 m Pake Tricon Gigi</t>
  </si>
  <si>
    <t>kedalaman reaming 14 inch 84.50m - 85.50 m Pake Tricon Gigi</t>
  </si>
  <si>
    <t>progres harian dapat 1,40 m</t>
  </si>
  <si>
    <t>progres harian dapat 1,32 m</t>
  </si>
  <si>
    <t>sembilan belas btg</t>
  </si>
  <si>
    <t>reaming 8 inch baru kedalaman 39 M</t>
  </si>
  <si>
    <t>reaming 8 inch baru kedalaman 40 M</t>
  </si>
  <si>
    <t>belum ada penambahan progres</t>
  </si>
  <si>
    <t>tegangan listrik drop</t>
  </si>
  <si>
    <t>dinamo masih gak kuat harus ganti</t>
  </si>
  <si>
    <t>progres kedalaman 26 meter mata bor coring 6 inch</t>
  </si>
  <si>
    <t>ngurug dan reparasi alat</t>
  </si>
  <si>
    <t>pelurusan lubang bor dengan di reaming ulang</t>
  </si>
  <si>
    <t>reaming baru kedalman di 94 M</t>
  </si>
  <si>
    <t>kedalaman 20 M</t>
  </si>
  <si>
    <t>kedalaman 17 M</t>
  </si>
  <si>
    <t>plester bak sirkulasi</t>
  </si>
  <si>
    <t>pengeboran sudah di kedalaman 100 M</t>
  </si>
  <si>
    <t>progres kedalaman 24,5 meter mata bor tricon 8 inch</t>
  </si>
  <si>
    <t>progres kedalaman 25,5 meter mata bor tricon 8 inch</t>
  </si>
  <si>
    <t>progres kedalaman 25,8 meter mata bor tricon 8 inch</t>
  </si>
  <si>
    <t>nunggu mulai hari senin</t>
  </si>
  <si>
    <t>masukin sisa stang bor pakai trikon gigi 8 inch</t>
  </si>
  <si>
    <t>ngebor sampai mentok</t>
  </si>
  <si>
    <t>mau di angkat lagi ganti koring 8 ich</t>
  </si>
  <si>
    <t>progres hari ini sudah di kedalaman 27,5 meter coring 6 inch</t>
  </si>
  <si>
    <t>kedalaman reaming 14 inch 85.50m - 86.50 m Pake Tricon Gigi</t>
  </si>
  <si>
    <t>progres harian dapat 1,5 m</t>
  </si>
  <si>
    <t>reaming 8 inch baru kedalaman 42,10 M</t>
  </si>
  <si>
    <t>progres kedalaman 92 meter</t>
  </si>
  <si>
    <t>butuh mesin las</t>
  </si>
  <si>
    <t>service kopel gearbok</t>
  </si>
  <si>
    <t>hari ini mulai ngebor</t>
  </si>
  <si>
    <t>persiapan kontruksi tgl 18 september</t>
  </si>
  <si>
    <t>reaming baru kedalman di 121,5 M</t>
  </si>
  <si>
    <t>progres kedalaman 26,20 meter mata bor coring 6 inch tricon belah</t>
  </si>
  <si>
    <t>1,650</t>
  </si>
  <si>
    <t>Biaya PJU</t>
  </si>
  <si>
    <t>203,00+779,00</t>
  </si>
  <si>
    <t>33,384+128,108</t>
  </si>
  <si>
    <t>367,222+1,409,189</t>
  </si>
  <si>
    <t>LISTRIK PABRIK</t>
  </si>
  <si>
    <t>progres reming kedalaman 59 M</t>
  </si>
  <si>
    <t>progres reming kedalaman 65 M</t>
  </si>
  <si>
    <t>Team Pak HIDAYAT</t>
  </si>
  <si>
    <t>angkat mata bor trikon, kasih widia di pinggir koring 8 inch, masuk lagi koring 8"</t>
  </si>
  <si>
    <t>pengeboran dapat 15 cm,stang bor patah dari lasan, bikin pancingan tap kiri</t>
  </si>
  <si>
    <t>baru masuk 7 batang stang bor pancingan</t>
  </si>
  <si>
    <t>progres hari ini sudah di kedalaman 28,5 meter coring 6 inch</t>
  </si>
  <si>
    <t>progres hari ini sudah di kedalaman 29,5 meter coring 6 inch</t>
  </si>
  <si>
    <t>progres hari ini sudah di kedalaman 30 meter coring 6 inch</t>
  </si>
  <si>
    <t>kedalaman reaming 14 inch 86.50m - 87.50 m Pake Tricon Gigi</t>
  </si>
  <si>
    <t>kedalaman reaming 14 inch 87.50m - 88 m Pake Tricon Gigi</t>
  </si>
  <si>
    <t>kedalaman reaming 14 inch 88 m - 88,35 m Pake Tricon Gigi</t>
  </si>
  <si>
    <t>progres harian dapat 1,15 m</t>
  </si>
  <si>
    <t>progres harian dapat 61 cm</t>
  </si>
  <si>
    <t>reaming 8 inch baru kedalaman 42,40 M pdc 8 inch</t>
  </si>
  <si>
    <t>reaming 8 inch baru kedalaman 42,70 M pdc 8 inch</t>
  </si>
  <si>
    <t>progres kedalaman 93,5 meter</t>
  </si>
  <si>
    <t xml:space="preserve">progres kedalaman 25,8 meter mata bor trikon jagung 8 inch </t>
  </si>
  <si>
    <t xml:space="preserve">progres kedalaman 26,20 meter mata bor trikon jagung 8 inch </t>
  </si>
  <si>
    <t>progres kedalaman 26,40 meter mata bor coring 6 inch tricon belah</t>
  </si>
  <si>
    <t>masih ngakalin waterlos</t>
  </si>
  <si>
    <t>mulai pengeboran tapi langsung water los, belum ada progres kedalaman</t>
  </si>
  <si>
    <t>reaming 8 inch kedalaman 33,20 meter</t>
  </si>
  <si>
    <t>pemasangan gravel dan pengurasan</t>
  </si>
  <si>
    <t>kedalaman 25 meter</t>
  </si>
  <si>
    <t>kedalaman 31 meter</t>
  </si>
  <si>
    <t>kedalaman 34 meter</t>
  </si>
  <si>
    <t>progres kedalaman 10 meter</t>
  </si>
  <si>
    <t>progres kedalaman 12 meter</t>
  </si>
  <si>
    <t>butuh oli gardan 2 liter, gemuk, baud 17 6 pcs, v belt b 54 2 pcs</t>
  </si>
  <si>
    <t>angkat pancingan, bikin kurungan tap kiri, dan di turunin lagi</t>
  </si>
  <si>
    <t>angkat lagi tap</t>
  </si>
  <si>
    <t>progres hari ini sudah di kedalaman 32 meter coring 5 inch</t>
  </si>
  <si>
    <t>kedalaman reaming 14 inch 88,35 m - 90,00 m Pake Tricon Gigi</t>
  </si>
  <si>
    <t>reaming 8 inch baru kedalaman 44,20 M pdc 8 inch</t>
  </si>
  <si>
    <t>butuh polimer 10kg, oli 90 1 pcs, galon, travo las</t>
  </si>
  <si>
    <t>reaming 8 inch kedalaman 33,50 meter</t>
  </si>
  <si>
    <t>finisihing</t>
  </si>
  <si>
    <t>reaming persiapan kontruksi</t>
  </si>
  <si>
    <t>kontruksi di saksikan BKAT</t>
  </si>
  <si>
    <t>stang bor kejepit</t>
  </si>
  <si>
    <t>koordinasi dengan pa hidayat</t>
  </si>
  <si>
    <t>progres kedalaman 12,5 meter</t>
  </si>
  <si>
    <t>kendala pully rusak , perlu pully 4" as 38</t>
  </si>
  <si>
    <t>ngakalin batu koringan jatuh</t>
  </si>
  <si>
    <t>reaming 8 inch baru kedalaman 45,20 M pdc 8 inch</t>
  </si>
  <si>
    <t>kedalaman reaming 14 inch 90,00-91,00 m Pake Tricon Gigi</t>
  </si>
  <si>
    <t>bottom 6" 32 M</t>
  </si>
  <si>
    <t>angkat tap udah kena stangbor yg patah &amp; masukin koring lagi 8 inch</t>
  </si>
  <si>
    <t>progres kedalaman 27,20 meter mata bor coring 6 inch tricon belah</t>
  </si>
  <si>
    <t>progres kedalaman 26,70 meter mata bor coring 6 inch tricon belah</t>
  </si>
  <si>
    <t>butuh air</t>
  </si>
  <si>
    <t>progres hari ini sudah di kedalaman 33 meter coring 5 inch</t>
  </si>
  <si>
    <t>persiapan pumping test dengan bkat</t>
  </si>
  <si>
    <t>Team Pak JOKO  PRANOWO</t>
  </si>
  <si>
    <t>kedalaman 58 meter</t>
  </si>
  <si>
    <t>reaming 8 inch kedalaman 33,70 meter</t>
  </si>
  <si>
    <t>progres kedalaman 98 meter</t>
  </si>
  <si>
    <t>tidak ada update progres kuota abis</t>
  </si>
  <si>
    <t>reaming 8 inch baru kedalaman 45,70 M pdc 8 inch</t>
  </si>
  <si>
    <t>kendala mati lampu dari jam 1 sampe sore</t>
  </si>
  <si>
    <t>kedalaman reaming 14 inch 91,00-92,00 m Pake Tricon Gigi</t>
  </si>
  <si>
    <t>progres hari ini sudah di kedalaman 33 meter coring 6 inch</t>
  </si>
  <si>
    <t>progres kedalaman di 82,8 M</t>
  </si>
  <si>
    <t>progres kedalaman 27,40 meter mata bor coring 6 inch tricon belah</t>
  </si>
  <si>
    <t>kedalaman 67 meter</t>
  </si>
  <si>
    <t>vbelt 35 2 pcs, stemplet 2kg, oli grbx 2L, baud 24 panjang 15cm</t>
  </si>
  <si>
    <t>progres kedalaman 13 meter</t>
  </si>
  <si>
    <t>butuh langsir air</t>
  </si>
  <si>
    <t>kirim pipa pvc baru 1.5</t>
  </si>
  <si>
    <t>progres kedalaman 12 meter pake coring 6 inch</t>
  </si>
  <si>
    <t>progres kedalaman di 83,20 M</t>
  </si>
  <si>
    <t>progres hari ini sudah di kedalaman 33,5 meter coring 6 inch</t>
  </si>
  <si>
    <t>kedalaman reaming 14 inch 92,00-93,50 m Pake Tricon Gigi</t>
  </si>
  <si>
    <t>perbaikan spulkop yang retak</t>
  </si>
  <si>
    <t>reaming 8 inch baru kedalaman 46,20 M pdc 8 inch</t>
  </si>
  <si>
    <t>progres kedalaman 27,50 meter mata bor coring 6 inch tricon belah</t>
  </si>
  <si>
    <t>reaming 8 inch kedalaman 35 meter</t>
  </si>
  <si>
    <t>ngakalin pipa yang terjepit dengan nyentor dari dalam stangbor</t>
  </si>
  <si>
    <t>progres kedalaman 98,5 meter</t>
  </si>
  <si>
    <t xml:space="preserve">reaming pake coring 6" segmen </t>
  </si>
  <si>
    <t>coring dapet 1 meter dan trun pdc 8 inch</t>
  </si>
  <si>
    <t>progres kedalaman di 84 M</t>
  </si>
  <si>
    <t>progres kedalaman di 85 M</t>
  </si>
  <si>
    <t>progres hari ini sudah di kedalaman 34 meter coring 6 inch</t>
  </si>
  <si>
    <t>kedalaman reaming 14 inch 93,50-94,00 m Pake Tricon Gigi</t>
  </si>
  <si>
    <t>kedalaman reaming 14 inch 94,00-95,50 m Pake Tricon Gigi</t>
  </si>
  <si>
    <t>reaming 8 inch baru kedalaman 47 M pdc 8 inch</t>
  </si>
  <si>
    <t>reaming 8 inch baru kedalaman 47,20 M pdc 8 inch</t>
  </si>
  <si>
    <t>ngecor masih waterloss</t>
  </si>
  <si>
    <t>tidak ada update laporan</t>
  </si>
  <si>
    <t>kedalaman 75 meter</t>
  </si>
  <si>
    <t>reaming ulang 5 nch</t>
  </si>
  <si>
    <t>progres kedalaman 28 meter mata bor coring 6 inch tricon belah</t>
  </si>
  <si>
    <t>progres kedalaman 27,80 meter mata bor coring 6 inch tricon belah</t>
  </si>
  <si>
    <t>request coring 5 inch</t>
  </si>
  <si>
    <t>progres kedalaman 28,20 meter mata bor coring 6 inch tricon belah</t>
  </si>
  <si>
    <t>reaming 8 inch baru kedalaman 47,60 M pdc 8 inch</t>
  </si>
  <si>
    <t>progres harian dapat 90 cm</t>
  </si>
  <si>
    <t>kedalaman reaming 14 inch 95,50-96,50 m Pake Tricon Gigi</t>
  </si>
  <si>
    <t>belum ada progres tambahan</t>
  </si>
  <si>
    <t>hasil koringan jatuh sehingga menghalangi lobang</t>
  </si>
  <si>
    <t>progres kedalaman di 85,5 M</t>
  </si>
  <si>
    <t>coring dapet 2 meter dan trun pdc 8 inch</t>
  </si>
  <si>
    <t>reaming ulang pake mata bor 8 inch</t>
  </si>
  <si>
    <t>progres kedalaman 28,40 meter mata bor coring 6 inch tricon belah</t>
  </si>
  <si>
    <t>reaming 8 inch baru kedalaman 48,10 M pdc 8 inch</t>
  </si>
  <si>
    <t>tidak ada penambahan progres</t>
  </si>
  <si>
    <t>kendal MCB ngejepret</t>
  </si>
  <si>
    <t>kedalaman reaming 14 inch 96,50-97,50 m Pake Tricon Gigi</t>
  </si>
  <si>
    <t>progres hari ini sudah di kedalaman 34,5 meter coring 6 inch</t>
  </si>
  <si>
    <t>las dalam stang bor , benerin seal NS dan bantu lansir air</t>
  </si>
  <si>
    <t>ganti mata bor pdc 4,7 inch</t>
  </si>
  <si>
    <t>coring pdc dapet 1,25 m</t>
  </si>
  <si>
    <t>progres kedalaman di 86 M</t>
  </si>
  <si>
    <t>progres hari ini sudah di kedalaman 35 meter coring 6 inch</t>
  </si>
  <si>
    <t>kedalaman reaming 14 inch 97,50-98,50 m Pake Tricon Gigi</t>
  </si>
  <si>
    <t>coba di dongkrak belum bisa
di spul baru masuk kedalman 26 M
pipa stangbor yg masih tertimbun 31 M</t>
  </si>
  <si>
    <t>support team cikolelet</t>
  </si>
  <si>
    <t>progres kedalaman 26,80 meter mata bor tricone 8 inch</t>
  </si>
  <si>
    <t>butuh oxigen, v belt B41 2 pcs, mata gerinda tipis 6pcs</t>
  </si>
  <si>
    <t>angkat pipa ganti mata bor ke sarang tawon</t>
  </si>
  <si>
    <t>angkat lagi ganti ke pdc 12 inch</t>
  </si>
  <si>
    <t>siapkan casing 8 inch 4 batang triliun aw abu</t>
  </si>
  <si>
    <t>slamatan</t>
  </si>
  <si>
    <t>safety induction</t>
  </si>
  <si>
    <t>progres kedalaman 27,20 meter mata bor tricone 8 inch</t>
  </si>
  <si>
    <t>kendala handle gearbox patah</t>
  </si>
  <si>
    <t>progres harian dapat 70 cm</t>
  </si>
  <si>
    <t>perbaikan pin water swifel yang patah</t>
  </si>
  <si>
    <t>spuling dan bor dapet 20 cm</t>
  </si>
  <si>
    <t>progres kedalaman 19 meter</t>
  </si>
  <si>
    <t>Progres kedalaman 45 M</t>
  </si>
  <si>
    <t>rencana reaming ulang</t>
  </si>
  <si>
    <t xml:space="preserve">belum ada info </t>
  </si>
  <si>
    <t>mata bor 8 inch kedalaman 60 M</t>
  </si>
  <si>
    <t>kebutuhan cemplang</t>
  </si>
  <si>
    <t>plat tebal 5mm uk 13cmx9cm</t>
  </si>
  <si>
    <t>kehabisan air suplai dan baru sampai jam 4</t>
  </si>
  <si>
    <t>reaming 8 inch baru kedalaman 52 M pdc 8 inch</t>
  </si>
  <si>
    <t>kedalaman reaming 14 inch 98,50-100 m Pake Tricon Gigi</t>
  </si>
  <si>
    <t>progres kedalaman 21,5 meter</t>
  </si>
  <si>
    <t>progres kedalaman di 86,7 M</t>
  </si>
  <si>
    <t xml:space="preserve">kendala kejepit lagi </t>
  </si>
  <si>
    <t>progres hari ini sudah di kedalaman 35,30 meter coring 6 inch</t>
  </si>
  <si>
    <t>progres hari ini sudah di kedalaman 35,20 meter coring 6 inch</t>
  </si>
  <si>
    <t xml:space="preserve">   </t>
  </si>
  <si>
    <t>screen di buka dari 60 ke bawah</t>
  </si>
  <si>
    <t>Progres kedalaman 66 M</t>
  </si>
  <si>
    <t>Progres kedalaman 75 M</t>
  </si>
  <si>
    <t>belum ada info update</t>
  </si>
  <si>
    <t>progres kedalaman 35,50 M</t>
  </si>
  <si>
    <t>pembuatan mata coring dan service ns</t>
  </si>
  <si>
    <t>progres reaming sudah dikedalaman 27,80 M</t>
  </si>
  <si>
    <t>progres reaming sudah dikedalaman 28,80 M</t>
  </si>
  <si>
    <t>mata bor pdc 4 inch</t>
  </si>
  <si>
    <t>reaming 8 inch baru kedalaman 52,80 M pdc 8 inch</t>
  </si>
  <si>
    <t>reaming 8 inch baru kedalaman 53,3 M pdc 8 inch</t>
  </si>
  <si>
    <t>kendala as gearbpx patah</t>
  </si>
  <si>
    <t>kedalaman reaming 12 inch 100 m Pake PDC 12 inch</t>
  </si>
  <si>
    <t>kedalaman reaming 12 inch 100-105 m Pake PDC 12 inch</t>
  </si>
  <si>
    <t>progres hari ini sudah di kedalaman 35,5 meter coring 6 inch</t>
  </si>
  <si>
    <t>progres hari ini sudah di kedalaman 36 meter coring 6 inch</t>
  </si>
  <si>
    <t>dongkrak stangbor yang terjepit Cuma naik 10 cm</t>
  </si>
  <si>
    <t>spull dari samping stangbor pake pipa pvc 1 1/2</t>
  </si>
  <si>
    <t>ganti team pak danton</t>
  </si>
  <si>
    <t>stangbor di angkat lagi ganti coring</t>
  </si>
  <si>
    <t>mata bor 8 inch kedalaman 95 M</t>
  </si>
  <si>
    <t>progres kedalaman masih di 75 m</t>
  </si>
  <si>
    <t>progres kedalaman 35,70 M</t>
  </si>
  <si>
    <t>progres reaming sudah dikedalaman 29,30 M</t>
  </si>
  <si>
    <t>perbaikan gearbox kapal yang rusak</t>
  </si>
  <si>
    <t>belum ada info</t>
  </si>
  <si>
    <t>kedalaman reaming 12 inch 105-111 m Pake PDC 12 inch</t>
  </si>
  <si>
    <t>progres hari ini sudah di kedalaman 36,10 meter coring 4 inch</t>
  </si>
  <si>
    <t>spull dari samping stangbor pake pipa pvc 1 1/2 di kedalaman 80 M mentok</t>
  </si>
  <si>
    <t>progres kedalaman 26 meter</t>
  </si>
  <si>
    <t>Team Pak MUADI</t>
  </si>
  <si>
    <t>progres kedalaman 36,10 M</t>
  </si>
  <si>
    <t>kendala patah swifel</t>
  </si>
  <si>
    <t>perbaikan as rusak</t>
  </si>
  <si>
    <t>progres harian dapat 1,50 m</t>
  </si>
  <si>
    <t>kedalaman reaming 12 inch 111-115 m Pake PDC 12 inch</t>
  </si>
  <si>
    <t>progres hari ini sudah di kedalaman 36,50 meter coring 4 inch</t>
  </si>
  <si>
    <t>progres kedalaman 28 meter</t>
  </si>
  <si>
    <t>pengangkatan pipa stangbor setelah di putar kiri sisa 2 batang dan mata bor</t>
  </si>
  <si>
    <t>progres kedalaman masih di 86 m pake triwing 3 inch</t>
  </si>
  <si>
    <t>progres kedalaman 31 meter</t>
  </si>
  <si>
    <t>turunin tap kiri lagi baru 15 btg dan bantu lansir air</t>
  </si>
  <si>
    <t>kendala stangbor terjepit</t>
  </si>
  <si>
    <t>progres hari ini sudah di kedalaman 37 meter coring 4 inch</t>
  </si>
  <si>
    <t>kedalaman reaming 12 inch 115-117 m Pake PDC 12 inch</t>
  </si>
  <si>
    <t>progres harian dapat 1,60 m</t>
  </si>
  <si>
    <t>reaming 8 inch baru kedalaman 53,50 M pdc 8 inch</t>
  </si>
  <si>
    <t>spull atau pembersihan lumpur</t>
  </si>
  <si>
    <t>progres reaming sudah dikedalaman 28 M</t>
  </si>
  <si>
    <t xml:space="preserve">kendala batuan jatuh lagi </t>
  </si>
  <si>
    <t>progres reaming 70 M</t>
  </si>
  <si>
    <t>progres reaming 14 inch kedalaman 90 M</t>
  </si>
  <si>
    <t>progres sudah dikedalaman 29,50 M 6 inch</t>
  </si>
  <si>
    <t>progres kedalaman 34 meter</t>
  </si>
  <si>
    <t>turunin tap kiri dapet 1 batang</t>
  </si>
  <si>
    <t>progres hari ini sudah di kedalaman 37,5 meter coring 4 inch</t>
  </si>
  <si>
    <t>kedalaman reaming 12 inch 117-120 m Pake PDC 12 inch</t>
  </si>
  <si>
    <t>progres harian dapat 40 cm</t>
  </si>
  <si>
    <t>kendala stangbor patah</t>
  </si>
  <si>
    <t>perbaikan dan perapihan alat yang rusak</t>
  </si>
  <si>
    <t>spull pinggir sudah di kedalman 48 M</t>
  </si>
  <si>
    <t>reaming 8 inch baru kedalaman 55 M pdc 8 inch</t>
  </si>
  <si>
    <t>progres kedalaman 36,40 M</t>
  </si>
  <si>
    <t>progres reaming 14 inch kedalaman 105 M</t>
  </si>
  <si>
    <t>progres reaming sudah dikedalaman 28,3 M</t>
  </si>
  <si>
    <t>ganti tabung 2 M</t>
  </si>
  <si>
    <t>revisi justifikasi surat pemberitahuan pak heri</t>
  </si>
  <si>
    <t>16 batang</t>
  </si>
  <si>
    <t>informasi mang adang di atas ada 14 btg</t>
  </si>
  <si>
    <t>yang masuk 20 btg minus 2 meteran</t>
  </si>
  <si>
    <t>progres kedalaman 2 M baru 1 lubang</t>
  </si>
  <si>
    <t>progres reaming 14 inch kedalaman 120 M &amp; reaming 17'' kedalaman 30 M</t>
  </si>
  <si>
    <t>progres reaming sudah dikedalaman 28,8 M</t>
  </si>
  <si>
    <t>reaming 8 inch baru kedalaman 55,60 M pdc 8 inch</t>
  </si>
  <si>
    <t>pengelasan kembali stangbor</t>
  </si>
  <si>
    <t>flasing lubang bor</t>
  </si>
  <si>
    <t>progres hari ini sudah di kedalaman 37,8 meter coring 4 inch</t>
  </si>
  <si>
    <t xml:space="preserve">spull sampai mentok di atas koring 8 inch </t>
  </si>
  <si>
    <t>progres kedalaman 36 meter</t>
  </si>
  <si>
    <t xml:space="preserve">spull pinggir sudah di kedalman 54 M </t>
  </si>
  <si>
    <t>baru masuk 18 btg 1 1/2 inch panjang 3 m</t>
  </si>
  <si>
    <t>coring 6 inch</t>
  </si>
  <si>
    <t>reaming 8 inch pdc hijau</t>
  </si>
  <si>
    <t>progres kedalaman 37 meter</t>
  </si>
  <si>
    <t>turun kembali stangbor baru 16 btg dan las as gardan</t>
  </si>
  <si>
    <t xml:space="preserve">lanjut puter kiri udah stangbor udah ke angkat semua </t>
  </si>
  <si>
    <t>sisa mata bor 8 inch</t>
  </si>
  <si>
    <t>progres hari ini sudah di kedalaman 38,20 meter coring 4 inch</t>
  </si>
  <si>
    <t>progres hari ini sudah di kedalaman 38,80 meter coring 4 inch</t>
  </si>
  <si>
    <t>full up stanbor</t>
  </si>
  <si>
    <t xml:space="preserve">kontruksi </t>
  </si>
  <si>
    <t>progres harian dapat 1,20 m</t>
  </si>
  <si>
    <t>reaming 8 inch baru kedalaman 58 M pdc 8 inch</t>
  </si>
  <si>
    <t>reaming 8 inch baru kedalaman 56,50 M pdc 8 inch</t>
  </si>
  <si>
    <t>progres reaming sudah dikedalaman 29,3 M</t>
  </si>
  <si>
    <t>progres kedalman 90 M</t>
  </si>
  <si>
    <t>reaming coring 17 inch kedalaman 58 M</t>
  </si>
  <si>
    <t>reaming coring 17 inch kedalaman 123 M</t>
  </si>
  <si>
    <t>pembersihan lokasi bor</t>
  </si>
  <si>
    <t>pembuatan spul bak</t>
  </si>
  <si>
    <t>progres kedalaman 42 meter</t>
  </si>
  <si>
    <t>masukin stangbor baru 15 btg 
bantu lansir air dan bikin kurungan</t>
  </si>
  <si>
    <t>progres hari ini sudah di kedalaman 39,30 meter coring 4 inch</t>
  </si>
  <si>
    <t>progres harian dapat 1,44 m</t>
  </si>
  <si>
    <t>baru terangkat pipa 10 btg</t>
  </si>
  <si>
    <t>reaming 8 inch baru kedalaman 60 M pdc 8 inch</t>
  </si>
  <si>
    <t>perapihan alat di lokasi</t>
  </si>
  <si>
    <t>progres reaming sudah dikedalaman 29,5 M</t>
  </si>
  <si>
    <t>progres kedalaman 37,25 M</t>
  </si>
  <si>
    <t>water jetting</t>
  </si>
  <si>
    <t>pasang pompa pumping test</t>
  </si>
  <si>
    <t>pasang well head</t>
  </si>
  <si>
    <t>PROGRES PENGEBORAN LOKASI CEMPLANG</t>
  </si>
  <si>
    <t>progres kedalaman 42,5 meter</t>
  </si>
  <si>
    <t>sambung stangbor sudah sampe coring bawah 
coba di dongkrak masih belum naik</t>
  </si>
  <si>
    <t>progres hari ini sudah di kedalaman 40,5 meter coring 4 inch</t>
  </si>
  <si>
    <t>libur operator sakit</t>
  </si>
  <si>
    <t>coba di puter kiri tapi masih belum lepas</t>
  </si>
  <si>
    <t>reaming 8 inch baru kedalaman 63 M pdc 8 inch</t>
  </si>
  <si>
    <t>progres kedalaman 38 M</t>
  </si>
  <si>
    <t xml:space="preserve">coba pumping tapi banyak urugan </t>
  </si>
  <si>
    <t>rencana di kontruksi</t>
  </si>
  <si>
    <t xml:space="preserve">pemasangan pompa </t>
  </si>
  <si>
    <t>di jadwalkan pasang listrik</t>
  </si>
  <si>
    <t xml:space="preserve">Pompa 2 Hp HCL dan SP 3-25 </t>
  </si>
  <si>
    <t>kalo gak ada beli pompa NB di alpin</t>
  </si>
  <si>
    <t>progres reaming sudah dikedalaman 30 M pake coring 6 inch</t>
  </si>
  <si>
    <t>progres kedalaman 44 meter</t>
  </si>
  <si>
    <t>kontruksi  baru masuk 13 btg</t>
  </si>
  <si>
    <t>progres harian dapat 1,2 m</t>
  </si>
  <si>
    <t>reaming 8 inch baru kedalaman 64,3 M pdc 8 inch</t>
  </si>
  <si>
    <t>progres reaming sudah dikedalaman 30,20 M pake coring 6 inch</t>
  </si>
  <si>
    <t>progres kedalaman 39 M</t>
  </si>
  <si>
    <t>baru selesai 1 titik</t>
  </si>
  <si>
    <t>progres kedalaman 47 meter</t>
  </si>
  <si>
    <t>stangbor sudah sampe coring 8 inch tapi masih belum terangkat</t>
  </si>
  <si>
    <t>masih nyoba nyusul coring tapi belum kena dan ganti kurungan</t>
  </si>
  <si>
    <t>progres hari ini sudah di kedalaman 42,5 meter coring 4 inch</t>
  </si>
  <si>
    <t>progres hari ini sudah di kedalaman 41,5 meter coring 4 inch</t>
  </si>
  <si>
    <t>patah as gardan lagi</t>
  </si>
  <si>
    <t>di puter kiri lagi dapet 2 btg sisa 7 batang lagi</t>
  </si>
  <si>
    <t>reaming 8 inch baru kedalaman 65,5 M pdc 8 inch</t>
  </si>
  <si>
    <t>progres reaming sudah dikedalaman 30 M pake coring 8 inch</t>
  </si>
  <si>
    <t>progres kedalaman 39,7 M</t>
  </si>
  <si>
    <t>pembuatan screen</t>
  </si>
  <si>
    <t>progres kedalaman 40,20 M</t>
  </si>
  <si>
    <t>progres reaming sudah dikedalaman 30,80 M pake coring pdc 6 inch</t>
  </si>
  <si>
    <t>reaming 8 inch baru kedalaman 65,8 M pdc 8 inch</t>
  </si>
  <si>
    <t>coba di spull dulu</t>
  </si>
  <si>
    <t>progres hari ini sudah di kedalaman 36,5 meter coring 6 inch</t>
  </si>
  <si>
    <t>naikan semua stangbor dan ngankut casing dari atas</t>
  </si>
  <si>
    <t>progres kedalaman 50 meter</t>
  </si>
  <si>
    <t>progres kedalaman 53 meter</t>
  </si>
  <si>
    <t>progres kedalaman 55 meter</t>
  </si>
  <si>
    <t>service NS dan set ulang dinamo</t>
  </si>
  <si>
    <t>persiapan kontruksi</t>
  </si>
  <si>
    <t>bersihan dan hampelas socekt pvc dan beresin alat bor</t>
  </si>
  <si>
    <t>progres hari ini sudah di kedalaman 40 meter coring 6 inch</t>
  </si>
  <si>
    <t>progres hari ini sudah di kedalaman 39 meter coring 6 inch</t>
  </si>
  <si>
    <t>progres hari ini sudah di kedalaman 38 meter coring 6 inch</t>
  </si>
  <si>
    <t>progres harian dapat 25 cm</t>
  </si>
  <si>
    <t>progres harian dapat 1,10 m</t>
  </si>
  <si>
    <t>progres harian dapat 1,3 m</t>
  </si>
  <si>
    <t>di puter kiri lagi dapet 3 btg sisa 3 batang lagi</t>
  </si>
  <si>
    <t>masih coba di puter kiri</t>
  </si>
  <si>
    <t xml:space="preserve">sempat di dongkrak mesin gak kuat naik </t>
  </si>
  <si>
    <t>reaming 8 inch baru kedalaman 68,60 M pdc 8 inch</t>
  </si>
  <si>
    <t>reaming 8 inch baru kedalaman 66,9 M pdc 8 inch</t>
  </si>
  <si>
    <t>gak ada laporan</t>
  </si>
  <si>
    <t>progres reaming sudah dikedalaman 30,80-31,20M pake coring pdc 6 inch</t>
  </si>
  <si>
    <t>progres reaming sudah dikedalaman 30,80 M pake coring pdc 8 inch</t>
  </si>
  <si>
    <t>progres kedalaman 40,50 M</t>
  </si>
  <si>
    <t>progres kedalaman 41,20 M</t>
  </si>
  <si>
    <t xml:space="preserve">progres kedalaman bor 3 inch </t>
  </si>
  <si>
    <t>Progres kedalaman sudah 70 M</t>
  </si>
  <si>
    <t>progres kedalaman 95 M</t>
  </si>
  <si>
    <t>progres kedalaman 110 M</t>
  </si>
  <si>
    <t>progres kedalaman 41,50 M</t>
  </si>
  <si>
    <t>progres reaming sudah dikedalaman 31,20 M pake coring pdc 6 inch</t>
  </si>
  <si>
    <t>reaming 8 inch baru kedalaman 69,50 M pdc 8 inch</t>
  </si>
  <si>
    <t>progres hari ini sudah di kedalaman 40,5 meter coring 6 inch</t>
  </si>
  <si>
    <t>progres kedalaman 60 meter</t>
  </si>
  <si>
    <t>progres hari ini sudah di kedalaman 42,5 meter coring 6 inch</t>
  </si>
  <si>
    <t>patah stangbor</t>
  </si>
  <si>
    <t>trouble girbox gak bisa netral</t>
  </si>
  <si>
    <t>progres reaming sudah dikedalaman 31,70 M pake coring pdc 4 inch</t>
  </si>
  <si>
    <t xml:space="preserve">lagi di kuras </t>
  </si>
  <si>
    <t>udah selesai 2 titik</t>
  </si>
  <si>
    <t xml:space="preserve">kendala genset </t>
  </si>
  <si>
    <t>Progres kedalaman sudah 140 M</t>
  </si>
  <si>
    <t>Team Pak wawan</t>
  </si>
  <si>
    <t>kotruksi Kedalaman 73 meter</t>
  </si>
  <si>
    <t>sakit</t>
  </si>
  <si>
    <t>di pumping masih kecil airnya, besok rencana di tambah pasangan</t>
  </si>
  <si>
    <t>progres kedalaman 42 M</t>
  </si>
  <si>
    <t>masih perbaikan alat</t>
  </si>
  <si>
    <t>coba di puter kiri ikut semua tapi di angkat mesinnya gak kuat</t>
  </si>
  <si>
    <t>masih ngakalin stangbor yang patah</t>
  </si>
  <si>
    <t>progres kedalaman 62 meter</t>
  </si>
  <si>
    <t>suruh di reaming dulu</t>
  </si>
  <si>
    <t>reposisi alat ke titik 3</t>
  </si>
  <si>
    <t>gali sirkulasi</t>
  </si>
  <si>
    <t>progres kedalaman 65 meter</t>
  </si>
  <si>
    <t>libur pulang kebandung</t>
  </si>
  <si>
    <t>baru ke angkat pipa</t>
  </si>
  <si>
    <t>putar kiri tida ke angkat,, sisa stang bor 3 batng</t>
  </si>
  <si>
    <t>baru beres perbaikan alt</t>
  </si>
  <si>
    <t>progres kedalaman 42 M ngakalin batu yang jatuh</t>
  </si>
  <si>
    <t>progres reaming sudah dikedalaman 32,30 M pake coring pdc 4 inch</t>
  </si>
  <si>
    <t>progres reaming sudah dikedalaman 32,80 M pake coring pdc 4 inch</t>
  </si>
  <si>
    <t>libur jumat</t>
  </si>
  <si>
    <t>bearing rusak</t>
  </si>
  <si>
    <t>nunggu langsir air</t>
  </si>
  <si>
    <t>gali spulbak sudah selesai</t>
  </si>
  <si>
    <t>bawa takel</t>
  </si>
  <si>
    <t>kirim koring diamond jika sudah datang</t>
  </si>
  <si>
    <t>Progres kedalaman sudah 135 M</t>
  </si>
  <si>
    <t>siapkan mata bor triwing 8 inch</t>
  </si>
  <si>
    <t>progres kedalaman 66 meter</t>
  </si>
  <si>
    <t>progres kedalaman 68 meter</t>
  </si>
  <si>
    <t>spul dan bantu lansir air</t>
  </si>
  <si>
    <t>coba di angkat malah tiang gawangannya yang gak kuat</t>
  </si>
  <si>
    <t>reaming 8 inch baru kedalaman 70 M pdc 8 inch</t>
  </si>
  <si>
    <t>reaming 8 inch baru kedalaman 70,40 M pdc 8 inch</t>
  </si>
  <si>
    <t>progres reaming sudah dikedalaman 33 M pake coring pdc 4 inch</t>
  </si>
  <si>
    <t>progres reaming sudah dikedalaman 34 M pake coring pdc 4 inch</t>
  </si>
  <si>
    <t>progres kedalaman 42,2 M ngakalin batu yang jatuh</t>
  </si>
  <si>
    <t>progres kedalaman 42,4 M ngakalin batu yang jatuh</t>
  </si>
  <si>
    <t>nunggu pompa pengganti</t>
  </si>
  <si>
    <t>plester spul bak</t>
  </si>
  <si>
    <t>progres kedalaman 69 meter</t>
  </si>
  <si>
    <t>ambil pompa di sayar</t>
  </si>
  <si>
    <t>reaming 8 inch baru kedalaman 71,50 M pdc 8 inch</t>
  </si>
  <si>
    <t>progres reaming sudah dikedalaman 32,2 M pake pdc 6 inch</t>
  </si>
  <si>
    <t>bikin coring dan perbaikan stangbor</t>
  </si>
  <si>
    <t>baru selesai rakit alat dan bisa mulai pengeboran</t>
  </si>
  <si>
    <t>ganti mata bor tricon</t>
  </si>
  <si>
    <t>progres kedalaman 3 M</t>
  </si>
  <si>
    <t>minta di buatkan mata bor triwing 8 inch</t>
  </si>
  <si>
    <t>Team Pak Birin</t>
  </si>
  <si>
    <t>progres reaming sudah dikedalaman 33 M pake pdc 6 inch</t>
  </si>
  <si>
    <t>buat screen persiapan kontruksi</t>
  </si>
  <si>
    <t>sentor pinggir kehabisan air sirkulasi</t>
  </si>
  <si>
    <t>perbaikan alat</t>
  </si>
  <si>
    <t>pumping test air masih keruh dan kuat paling 25 menit</t>
  </si>
  <si>
    <t>progres hari ini sudah di kedalaman 43 meter coring 4 inch</t>
  </si>
  <si>
    <t>perbaikan alat sempat patah gigi nanas</t>
  </si>
  <si>
    <t>hari ini angkat stang bor mau reaming ke 8 inch</t>
  </si>
  <si>
    <t>tidak ada kegiatan, nunggu langsir air</t>
  </si>
  <si>
    <t>minta kating tipis 1 pack</t>
  </si>
  <si>
    <t>rencana pa jojo mau ke worksop</t>
  </si>
  <si>
    <t>hari ini jam 11 rencana pengecoran</t>
  </si>
  <si>
    <t>ngebor titik ke 3</t>
  </si>
  <si>
    <t>disiapkan casing 12 inch</t>
  </si>
  <si>
    <t>ngebor di 56 meter pakai mata bor sarang tawon</t>
  </si>
  <si>
    <t>pengecoran titik ke 3</t>
  </si>
  <si>
    <t>progres reaming sudah dikedalaman 33,30 M pake pdc 6 inch</t>
  </si>
  <si>
    <t>reaming 8 inch baru kedalaman 72,40 M pdc 8 inch</t>
  </si>
  <si>
    <t>spull pinggir hanya masuk 18 btg
coba di tarik katrol malah patah</t>
  </si>
  <si>
    <t>progres hari ini sudah di kedalaman 44 meter coring 4 inch</t>
  </si>
  <si>
    <t xml:space="preserve">progres reaming pdc 8 inch </t>
  </si>
  <si>
    <t>antar trikon 12 inch</t>
  </si>
  <si>
    <t>Setting alat dan buat bak sirkulasi dan penampungan</t>
  </si>
  <si>
    <t>progres kedalaman 16 M mata bor pdc 8 inch</t>
  </si>
  <si>
    <t>progres kedalaman 912 M mata bor pdc 8 inch</t>
  </si>
  <si>
    <t>Team Agus</t>
  </si>
  <si>
    <t>Progres kedalaman 13 M</t>
  </si>
  <si>
    <t>reparasi alat belum ada penambahan progres</t>
  </si>
  <si>
    <t>progres reaming sudah dikedalaman 33,50 M pake pdc 6 inch</t>
  </si>
  <si>
    <t>reaming 8 inch baru kedalaman 73,50 M pdc 8 inch</t>
  </si>
  <si>
    <t>coba di puter kiri lasanya malah lepas
coba di dongkrak klemannya jebol
rencana di copot tap dan di puter kanan</t>
  </si>
  <si>
    <t xml:space="preserve">kedalaman reaming 14 inch 62 M </t>
  </si>
  <si>
    <t>progres hari ini sudah di kedalaman 45 meter coring 4 inch</t>
  </si>
  <si>
    <t>butuh impeler ns 100, v belt b54 2pcs, v belt b42 2 pcs</t>
  </si>
  <si>
    <t>progres reaming pdc 8 inch 15 M</t>
  </si>
  <si>
    <t>pumping test air masih keruh dan kuat paling 40 menit</t>
  </si>
  <si>
    <t>progres hari ini sudah di kedalaman 46 meter coring 4 inch</t>
  </si>
  <si>
    <t xml:space="preserve">kedalaman reaming 14 inch 75 M </t>
  </si>
  <si>
    <t>masih perbaikan alat belum ada penambahan progres</t>
  </si>
  <si>
    <t>masih belum bisa lepas tahanan patah terus</t>
  </si>
  <si>
    <t>reaming 8 inch baru kedalaman 75 M pdc 8 inch</t>
  </si>
  <si>
    <t>progres reaming sudah dikedalaman 34 M pake pdc 6 inch</t>
  </si>
  <si>
    <t>rencana pasang pompa 1,5 HP</t>
  </si>
  <si>
    <t>progres kedalaman 29 M mata bor pdc 8 inch</t>
  </si>
  <si>
    <t>baru terpasang listrik sementara</t>
  </si>
  <si>
    <t>buat perbandingan biaya jasa dan alat yang tertanam</t>
  </si>
  <si>
    <t xml:space="preserve">minta gerinda </t>
  </si>
  <si>
    <t xml:space="preserve">Progres kedalaman pilot hole 4 inch  30 M </t>
  </si>
  <si>
    <t>progres reaming pdc 8 inch 12 M</t>
  </si>
  <si>
    <t>progres reaming pdc 8 inch 10 M</t>
  </si>
  <si>
    <t>kendala kejepit , request 2 dinamo</t>
  </si>
  <si>
    <t>mcb 25A pipa pvc dan pompa buat pumping</t>
  </si>
  <si>
    <t>progres hari ini sudah di kedalaman 46,5 meter coring 4 inch</t>
  </si>
  <si>
    <t>progres hari ini sudah di kedalaman 48 meter coring 4 inch</t>
  </si>
  <si>
    <t xml:space="preserve">kedalaman reaming 14 inch 82 M </t>
  </si>
  <si>
    <t xml:space="preserve">kedalaman reaming 14 inch 83 M </t>
  </si>
  <si>
    <t>masih coba di angkat tapi tahanan lepas</t>
  </si>
  <si>
    <t>coba di dongkrak masih belum naik</t>
  </si>
  <si>
    <t xml:space="preserve">kendala stangbor patah dari sok </t>
  </si>
  <si>
    <t>progres reaming sudah dikedalaman 37 M pake pdc 4 inch</t>
  </si>
  <si>
    <t>progres reaming sudah dikedalaman 38 M pake pdc 4 inch</t>
  </si>
  <si>
    <t xml:space="preserve">sudah selesai pengerjaan titik 4 </t>
  </si>
  <si>
    <t>progres kedalaman 37 M mata bor pdc 8 inch</t>
  </si>
  <si>
    <t xml:space="preserve">Progres kedalaman pilot hole 4 inch  31 M </t>
  </si>
  <si>
    <t xml:space="preserve">Progres kedalaman pilot hole 4 inch  45 M </t>
  </si>
  <si>
    <t>progres kedalaman sudah 40 M</t>
  </si>
  <si>
    <t>progres kedalaman sudah 43 M</t>
  </si>
  <si>
    <t>pumping test air masih keruh dan kuat paling 30 menit</t>
  </si>
  <si>
    <t>trouble dinamo kebakar dan kejepit</t>
  </si>
  <si>
    <t>progres hari ini sudah di kedalaman 49 meter coring 4 inch</t>
  </si>
  <si>
    <t xml:space="preserve">kedalaman reaming 14 inch 97 M </t>
  </si>
  <si>
    <t>progres harian dapat 34 cm</t>
  </si>
  <si>
    <t>masih belum bisa terangkat</t>
  </si>
  <si>
    <t>stangbor masih belum terangkat</t>
  </si>
  <si>
    <t>progres reaming sudah dikedalaman 40,50 M pake pdc 4 inch</t>
  </si>
  <si>
    <t>masih ngambilin batu longsoran</t>
  </si>
  <si>
    <t>progres kedalaman 42 M mata bor pdc 8 inch</t>
  </si>
  <si>
    <t>geser titik</t>
  </si>
  <si>
    <t>ambrukan di kedalaman 38,5</t>
  </si>
  <si>
    <t xml:space="preserve">Progres kedalaman pilot hole 4 inch  48 M </t>
  </si>
  <si>
    <t xml:space="preserve">Progres reaming 6 inch  12 M </t>
  </si>
  <si>
    <t>progres kedalaman sudah 70 M</t>
  </si>
  <si>
    <t>progres kedalaman 54 M mata bor pdc 8 inch</t>
  </si>
  <si>
    <t>Team Pak Ifan</t>
  </si>
  <si>
    <t>progres reaming sudah dikedalaman 31,50 M pake pdc 8 inch</t>
  </si>
  <si>
    <t>perbaikan menara dan puly</t>
  </si>
  <si>
    <t>progres hari ini sudah di kedalaman 49,5 meter coring 4 inch</t>
  </si>
  <si>
    <t>kendala terjepit, butuh tap kiri atau dongkrak</t>
  </si>
  <si>
    <t xml:space="preserve">belum ada penambahan progres </t>
  </si>
  <si>
    <t>bongkar alat</t>
  </si>
  <si>
    <t>mobilisasi alat ke salira</t>
  </si>
  <si>
    <t>coba di spull pipanya masih kurang belum sampe dasar</t>
  </si>
  <si>
    <t>pipa bor sudah kembali terangkat</t>
  </si>
  <si>
    <t xml:space="preserve">kedalaman reaming 14 inch 100 M </t>
  </si>
  <si>
    <t>progres harian dapat 1,08 m</t>
  </si>
  <si>
    <t>progres harian dapat 60 cm</t>
  </si>
  <si>
    <t>progres reaming sudah dikedalaman 33,30 M pake pdc 8 inch</t>
  </si>
  <si>
    <t xml:space="preserve">titik bor masih jadi perdebatan </t>
  </si>
  <si>
    <t>ganti alat</t>
  </si>
  <si>
    <t xml:space="preserve">Progres reaming 6 inch  30 M </t>
  </si>
  <si>
    <t xml:space="preserve">Progres reaming 6 inch  20 M </t>
  </si>
  <si>
    <t>kendala swifel rusak</t>
  </si>
  <si>
    <t>perlu gerinda</t>
  </si>
  <si>
    <t>progres kedalaman sudah 73 M</t>
  </si>
  <si>
    <t>progres kedalaman sudah 90 M</t>
  </si>
  <si>
    <t>progres reaming sudah dikedalaman 35,30 M pake pdc 8 inch</t>
  </si>
  <si>
    <t xml:space="preserve">kedalaman reaming 14 inch 120 M </t>
  </si>
  <si>
    <t xml:space="preserve">ngentalin air sirkulasi dan pasang mata bor coring 6 inch </t>
  </si>
  <si>
    <t>spull samping dan pipa stangbor baru terangkat 7 btg</t>
  </si>
  <si>
    <t xml:space="preserve">Progres reaming 6 inch  45 M </t>
  </si>
  <si>
    <t>angkat alat ke lokasi bor</t>
  </si>
  <si>
    <t>progres kedalaman sudah 95 M</t>
  </si>
  <si>
    <t>progres reaming sudah dikedalaman 39,30 M pake pdc 8 inch</t>
  </si>
  <si>
    <t xml:space="preserve">rakit alat </t>
  </si>
  <si>
    <t xml:space="preserve">Flashing lubang bor </t>
  </si>
  <si>
    <t>rencana hari ini kontruksi</t>
  </si>
  <si>
    <t>belum ada penambahan progres dinamo rusak</t>
  </si>
  <si>
    <t>team pak eko / doel bor</t>
  </si>
  <si>
    <t>belum ada penambahan progres kendala ambruk terus</t>
  </si>
  <si>
    <t>progres kedalaman 73 meter mata bor pdc 8 inch</t>
  </si>
  <si>
    <t>kendala terjepit baru terangkat 12 meter</t>
  </si>
  <si>
    <t>rencana reaming ulang 14 inch</t>
  </si>
  <si>
    <t>patah as gigi nanas</t>
  </si>
  <si>
    <t>pengeboran baru di 6 M</t>
  </si>
  <si>
    <t xml:space="preserve">perlu remot hois, dan puly 5 inch as 30 </t>
  </si>
  <si>
    <t>progres reaming sudah dikedalaman 41,30 M pake pdc 8 inch</t>
  </si>
  <si>
    <t>progres reaming sudah dikedalaman 42,40 M pake pdc 8 inch</t>
  </si>
  <si>
    <t>progres kedalaman sudah 100 M</t>
  </si>
  <si>
    <t>buat spull bak</t>
  </si>
  <si>
    <t>ganti pdc 8 inch</t>
  </si>
  <si>
    <t>perlu tanah merah</t>
  </si>
  <si>
    <t>progres reaming sudah dikedalaman 45,50 M pake pdc 8 inch</t>
  </si>
  <si>
    <t>naikan coring dan minggirin tanah yng di pinggir jalan</t>
  </si>
  <si>
    <t>progres kedalaman 58,5 M mata bor pdc 8 inch</t>
  </si>
  <si>
    <t xml:space="preserve">Progres reaming 6 inch  60 M </t>
  </si>
  <si>
    <t>ambil matrial ke workshop</t>
  </si>
  <si>
    <t>progres kedalaman 73,5 meter mata bor pdc 8 inch</t>
  </si>
  <si>
    <t>progres kedalaman 73,8 meter mata bor pdc 8 inch</t>
  </si>
  <si>
    <t>progres kedalaman 74,8 meter mata bor coring 6 inch</t>
  </si>
  <si>
    <t>pengelasan tabung coring untuk persiapan reaming ulang</t>
  </si>
  <si>
    <t>kendala patah as pinyonnya lagi</t>
  </si>
  <si>
    <t>pengeboran sudah di kedalaman 16 M</t>
  </si>
  <si>
    <t>progres reaming sudah dikedalaman 47,50 M pake pdc 8 inch</t>
  </si>
  <si>
    <t>progres reaming sudah dikedalaman 50,09 M pake pdc 8 inch</t>
  </si>
  <si>
    <t>progres kedalaman 1 M 8 inch tricon gigi</t>
  </si>
  <si>
    <t>kendala ns macet dan waterlos</t>
  </si>
  <si>
    <t>progres kedalaman 65,5 M mata bor pdc 8 inch</t>
  </si>
  <si>
    <t xml:space="preserve">Progres reaming 8 inch  30 M </t>
  </si>
  <si>
    <t xml:space="preserve">Progres reaming 8 inch  40 M </t>
  </si>
  <si>
    <t>persiapan perbaikan alat untuk mulai pengeboran</t>
  </si>
  <si>
    <t>progres kedalaman sudah 131 M</t>
  </si>
  <si>
    <t xml:space="preserve">kendala mcb turun </t>
  </si>
  <si>
    <t>progres kedalaman 75,3 meter mata bor coring 6 inch</t>
  </si>
  <si>
    <t>progres kedalaman sudah di 87,7 M</t>
  </si>
  <si>
    <t>pengeboran sudah di kedalaman 18 M</t>
  </si>
  <si>
    <t>progres reaming sudah dikedalaman 52 M pake pdc 8 inch</t>
  </si>
  <si>
    <t>progres kedalaman reaming 15 M 8 inch</t>
  </si>
  <si>
    <t>progres kedalaman reaming 29 M 8 inch</t>
  </si>
  <si>
    <t>perlu lansir air, dan mata bor triwing</t>
  </si>
  <si>
    <t>pengelasan widia ke tabung coring</t>
  </si>
  <si>
    <t>progres kedalaman sudah 135 M</t>
  </si>
  <si>
    <t>kendala as gardan udah habis , perbaikan gardan dan mata bor baru masuk 30 CM</t>
  </si>
  <si>
    <t>operator masih sakit</t>
  </si>
  <si>
    <t xml:space="preserve">Progres reaming 8 inch  45 M </t>
  </si>
  <si>
    <t>req mata bor tricon 12 inch , gerinda tangan , dan oli gardan 2 liter</t>
  </si>
  <si>
    <t>progres hari ini sudah di kedalaman 41,5 meter coring 6 inch</t>
  </si>
  <si>
    <t>cari bahan buat reamer dan pengelasan sayap di tabung coring</t>
  </si>
  <si>
    <t>progres kedalaman sudah di 88,42 M</t>
  </si>
  <si>
    <t>pengeboran sudah di kedalaman 24 M</t>
  </si>
  <si>
    <t>progres reaming sudah dikedalaman 55 M pake pdc 8 inch</t>
  </si>
  <si>
    <t>pengurugan lagi dan pengelasan mata bor 12 inch</t>
  </si>
  <si>
    <t>coba di pumping test air penuh dengan kotoran karena sempat terendam banjir</t>
  </si>
  <si>
    <t>sudah di geo rencana pindah titik</t>
  </si>
  <si>
    <t xml:space="preserve">las gigi nanas dan pasang lagi gardan
pengeboran dapet 1 meter </t>
  </si>
  <si>
    <t>perlu casing untuk nutup urugan 10 inch</t>
  </si>
  <si>
    <t xml:space="preserve">Progres reaming 8 inch  48 M </t>
  </si>
  <si>
    <t>progres kedalaman 76 meter mata bor coring 6 inch</t>
  </si>
  <si>
    <t>progres kedalaman 75 meter mata bor coring 6 inch</t>
  </si>
  <si>
    <t>perlu dongkrak, besi siku</t>
  </si>
  <si>
    <t>progres hari ini sudah di kedalaman 43 meter coring 6 inch</t>
  </si>
  <si>
    <t>ngerapihan coring</t>
  </si>
  <si>
    <t>progres reaming coring 14 inch 40 M</t>
  </si>
  <si>
    <t xml:space="preserve">patah stangbor </t>
  </si>
  <si>
    <t>pengeboran sudah di kedalaman 25 M</t>
  </si>
  <si>
    <t>pengeboran sudah di kedalaman 26 M</t>
  </si>
  <si>
    <t>progres reaming sudah dikedalaman 57 M pake pdc 8 inch</t>
  </si>
  <si>
    <t>progres reaming sudah dikedalaman 59,5 M pake pdc 8 inch</t>
  </si>
  <si>
    <t>selesai kontrukksi dan proses pengurasan</t>
  </si>
  <si>
    <t>pengeboran sudah di kedalaman 5 M</t>
  </si>
  <si>
    <t>Geser titik karena kena pondasi kali 
progres kedalaman baru 3 M</t>
  </si>
  <si>
    <t>progres kedalaman 76 M mata bor pdc 8 inch</t>
  </si>
  <si>
    <t>perlu NS 100</t>
  </si>
  <si>
    <t xml:space="preserve">req kawat las </t>
  </si>
  <si>
    <t>perlu lansir air, oli bekas , bearing ns 80</t>
  </si>
  <si>
    <t xml:space="preserve">Progres reaming 8 inch  55 M </t>
  </si>
  <si>
    <t xml:space="preserve">Progres reaming 8 inch  60 M </t>
  </si>
  <si>
    <t>gagal kontruksi nyangkut di 48 M</t>
  </si>
  <si>
    <t>perbaikan NS</t>
  </si>
  <si>
    <t>progres kedalaman 4,5 M PDC 8 inch</t>
  </si>
  <si>
    <t>progres kedalaman reaming 12 inch 9 M</t>
  </si>
  <si>
    <t>progres reaming sudah dikedalaman 60 pake pdc 8 inch</t>
  </si>
  <si>
    <t xml:space="preserve">pengelasam stangbor </t>
  </si>
  <si>
    <t>pancingannya masih kalah lagi sehingga belum ke angkat</t>
  </si>
  <si>
    <t>pengeboran sudah di kedalaman 28 M</t>
  </si>
  <si>
    <t>progres hari ini sudah di kedalaman 44 meter coring 6 inch</t>
  </si>
  <si>
    <t>kendala capit udang patah</t>
  </si>
  <si>
    <t>hari nyepulrencana besok baru di dongkrak</t>
  </si>
  <si>
    <t>perbaikan kembali coring 14 inch dengan menambah widia</t>
  </si>
  <si>
    <t>masih belum keangkat pipa bor yang patahnya</t>
  </si>
  <si>
    <t>progres kedalaman 77 meter mata bor coring 6 inch</t>
  </si>
  <si>
    <t>progres hari ini sudah di kedalaman 45 meter coring 6 inch</t>
  </si>
  <si>
    <t xml:space="preserve">pipa baru terangkat 16 batang </t>
  </si>
  <si>
    <t>pasang pin lodong ke sarang tawon</t>
  </si>
  <si>
    <t>progres reaming sudah dikedalaman 62 pake pdc 8 inch</t>
  </si>
  <si>
    <t>progres kedalaman reaming 12 inch 15 M</t>
  </si>
  <si>
    <t>progres kedalaman 6 M PDC 8 inch</t>
  </si>
  <si>
    <t>progres kedalaman 78 M mata bor pdc 8 inch</t>
  </si>
  <si>
    <t>reaming kembali 8 inch sudah di kedalaman 60 M</t>
  </si>
  <si>
    <t xml:space="preserve">Team Dedi </t>
  </si>
  <si>
    <t>sempat di dongkrak karena macet</t>
  </si>
  <si>
    <t>sisa 4 btg lagi dari 20 btg</t>
  </si>
  <si>
    <t>info air udah mulai surut</t>
  </si>
  <si>
    <t>masih buat pancingan</t>
  </si>
  <si>
    <t>pake bentonit plus apu/kapur</t>
  </si>
  <si>
    <t>baru mulai bor pinggir</t>
  </si>
  <si>
    <t>progres kedalaman 77,5 meter mata bor coring 6 inch</t>
  </si>
  <si>
    <t>progres hari ini sudah di kedalaman 45,5 meter coring 6 inch</t>
  </si>
  <si>
    <t>baru selesai pasang lodong</t>
  </si>
  <si>
    <t>baru turun stangbor untuk nyusul yang patah</t>
  </si>
  <si>
    <t>pengeboran sudah di kedalaman 29 M</t>
  </si>
  <si>
    <t>kendala waterlos kembali di 25 M</t>
  </si>
  <si>
    <t>progres kedalaman reaming 12 inch 17 M</t>
  </si>
  <si>
    <t>progres kedalaman 7 M PDC 8 inch</t>
  </si>
  <si>
    <t>progres kedalaman 79,5 M mata bor pdc 8 inch</t>
  </si>
  <si>
    <t>Progres pengeboran 50 M</t>
  </si>
  <si>
    <t>bor samping mentok di 70 meter dari 75 meter</t>
  </si>
  <si>
    <t>siapkan team kembali</t>
  </si>
  <si>
    <t>besok logging</t>
  </si>
  <si>
    <t>belum ada progres karena dinamo kebakar</t>
  </si>
  <si>
    <t>bongkar pipa bor dari kedalaman 45 M</t>
  </si>
  <si>
    <t>pengeboran sudah di kedalaman 29,5 M</t>
  </si>
  <si>
    <t>baru beres spul karena proses penyambungannya di las</t>
  </si>
  <si>
    <t>pengurugan tanah merah sampai atas, dan pengelasan stangbor yang udah mulai aus</t>
  </si>
  <si>
    <t>progres kedalaman reaming 12 inch 19 M</t>
  </si>
  <si>
    <t>Progres pengeboran 90 M</t>
  </si>
  <si>
    <t>reaming kembali 10 inch</t>
  </si>
  <si>
    <t>progres kedalaman 8 M PDC 8 inch</t>
  </si>
  <si>
    <t>ANTAR DINAMO</t>
  </si>
  <si>
    <t>progres hari ini sudah di kedalaman 24 meter pakai pdc 8 inch reaming dari 14 meter</t>
  </si>
  <si>
    <t>kendala ada gas di kedalaman 100 M jadi rencana pindah titik</t>
  </si>
  <si>
    <t>kontruksi dan pemasangan gravel</t>
  </si>
  <si>
    <t>progres kedalaman 9 M PDC 8 inch</t>
  </si>
  <si>
    <t>progres kedalaman reaming 12 inch 20,10 M</t>
  </si>
  <si>
    <t>baru masuk lagi mata bor pdc 8 inch belum sampai bottom</t>
  </si>
  <si>
    <t>pengeboran sudah di kedalaman 31,5 M</t>
  </si>
  <si>
    <t>pengeboran sudah di kedalaman 30 M</t>
  </si>
  <si>
    <t>progres hari ini sudah di kedalaman 28 meter pakai pdc 8 inch</t>
  </si>
  <si>
    <t>progres kedalaman 78 meter mata bor coring 6 inch</t>
  </si>
  <si>
    <t>pengelasan mata bor dengan menambah widia belah lagi</t>
  </si>
  <si>
    <t>masih nyepul pinggir</t>
  </si>
  <si>
    <t>target buat nutup water loss</t>
  </si>
  <si>
    <t>minta di buatkan coring 6 inch</t>
  </si>
  <si>
    <t xml:space="preserve">Team Sobirin </t>
  </si>
  <si>
    <t>progres  pengeboran sudah di 56 M</t>
  </si>
  <si>
    <t>progres kedalaman 86 M mata bor pdc 8 inch</t>
  </si>
  <si>
    <t>progres kedalaman 10,5 M PDC 8 inch</t>
  </si>
  <si>
    <t>progres kedalaman 9,5 M PDC 8 inch</t>
  </si>
  <si>
    <t>progres kedalaman reaming 12 inch 21,50 M</t>
  </si>
  <si>
    <t>stangbor sempat di kedalaman 20 M tapi sudah terangkat kembali</t>
  </si>
  <si>
    <t>progres reaming sudah dikedalaman 62,5 pake pdc 8 inch</t>
  </si>
  <si>
    <t xml:space="preserve">kedalaman reaming 14 inch 47 M </t>
  </si>
  <si>
    <t xml:space="preserve">kedalaman reaming 14 inch 48 M </t>
  </si>
  <si>
    <t xml:space="preserve">kendala patah gigi nanas dan kovel dratnya </t>
  </si>
  <si>
    <t>service alat dan pasang pully gear</t>
  </si>
  <si>
    <t>progres hari ini sudah di kedalaman 34 meter pakai pdc 8 inch</t>
  </si>
  <si>
    <t>progres hari ini sudah di kedalaman 31 meter pakai pdc 8 inch</t>
  </si>
  <si>
    <t xml:space="preserve">perbaikan alat </t>
  </si>
  <si>
    <t>progres hari ini sudah di kedalaman 36 meter pakai pdc 8 inch</t>
  </si>
  <si>
    <t xml:space="preserve">kedalaman reaming 14 inch 48,5 M </t>
  </si>
  <si>
    <t>sering terjepit dan waterloss</t>
  </si>
  <si>
    <t>progres kedalaman reaming 12 inch 23 M</t>
  </si>
  <si>
    <t>progres kedalaman 11,25 M PDC 8 inch</t>
  </si>
  <si>
    <t>progres kedalaman 88,5 M mata bor pdc 8 inch</t>
  </si>
  <si>
    <t>bor pake coring dapet 20 CM</t>
  </si>
  <si>
    <t>di uji puming dan di koordinasikan dengan warga</t>
  </si>
  <si>
    <t>naikan stangbor untuk cek mata bor</t>
  </si>
  <si>
    <t>req pasek as spulkop 1/2 inch</t>
  </si>
  <si>
    <t>pengeboran sudah di kedalaman 33 M mata bor 8 inch</t>
  </si>
  <si>
    <t>pengeboran sudah di kedalaman 34,3 coring 6 inch</t>
  </si>
  <si>
    <t>progres kedalaman reaming 12 inch 27 M</t>
  </si>
  <si>
    <t>progres kedalaman 11,75 M PDC 8 inch</t>
  </si>
  <si>
    <t>progres  pengeboran sudah di 80 M</t>
  </si>
  <si>
    <t>kotruksi pemasangan casing 8 inch</t>
  </si>
  <si>
    <t>pumping test dan mobilisasi alat pulang</t>
  </si>
  <si>
    <t>pengeboran kemaren udah di kedalaman 20 M nunggu pipa konduktor</t>
  </si>
  <si>
    <t>ngentalin air sirkulasi dan nunggu air plus mati lampu 5 jam</t>
  </si>
  <si>
    <t>harus persiapan team tgl 24</t>
  </si>
  <si>
    <t xml:space="preserve">di dongkrak baru naik 30 CM </t>
  </si>
  <si>
    <t>req pipa stangbor</t>
  </si>
  <si>
    <t>progres hari ini sudah di kedalaman 38 meter pakai pdc 8 inch</t>
  </si>
  <si>
    <t>sedang perbaikan tap</t>
  </si>
  <si>
    <t>pengeboran sudah di kedalaman 35,1 coring 6 inch</t>
  </si>
  <si>
    <t>progres reaming sudah dikedalaman 63 pake pdc 8 inch</t>
  </si>
  <si>
    <t>kendala waterlos di kedalaman 63</t>
  </si>
  <si>
    <t xml:space="preserve">water los lagi </t>
  </si>
  <si>
    <t>belum ada laporan</t>
  </si>
  <si>
    <t xml:space="preserve">kedalaman reaming 14 inch 48,9 M </t>
  </si>
  <si>
    <t>progres kedalaman 12,75 M PDC 8 inch</t>
  </si>
  <si>
    <t>progres kedalaman 78,40 meter mata bor coring 6 inch</t>
  </si>
  <si>
    <t>progres hari ini sudah di kedalaman 40 meter pakai pdc 8 inch</t>
  </si>
  <si>
    <t xml:space="preserve">kedalaman reaming 14 inch 40 M </t>
  </si>
  <si>
    <t>kendala bearing bambu rusak</t>
  </si>
  <si>
    <t>pengurugan tanah , potongan batang pisang dan scam untuk menutup waterlos 
coba turunin stangbor sampai kedalaman 30 M tapi mampet</t>
  </si>
  <si>
    <t>cor ulang untuk menutup waterlos</t>
  </si>
  <si>
    <t>progres kedalaman 13,25 M PDC 8 inch</t>
  </si>
  <si>
    <t>kedalman sudah 95 M</t>
  </si>
  <si>
    <t>udah mulai pengeboran tapi ada kendala komplain dari warga</t>
  </si>
  <si>
    <t>kontruksi baru 7 btg masuk</t>
  </si>
  <si>
    <t>progres kedalaman 78,90 meter mata bor coring 6 inch</t>
  </si>
  <si>
    <t>progres hari ini sudah di kedalaman 41 meter pakai pdc 8 inch</t>
  </si>
  <si>
    <t>perbaikan ns yang bocor</t>
  </si>
  <si>
    <t>pengeboran sudah di kedalaman 35,6 coring 6 inch</t>
  </si>
  <si>
    <t xml:space="preserve">di dongkrak baru naik 80 CM </t>
  </si>
  <si>
    <t>kendala mata bor mangpet kemasukan secam lalu mata bor di naikan kembali</t>
  </si>
  <si>
    <t>progres kedalaman 13,75 M PDC 8 inch</t>
  </si>
  <si>
    <t>naikan stangbor yang terjepit di kedalaman 15 M</t>
  </si>
  <si>
    <t>pindah titik lokasi pengeboran ke depan</t>
  </si>
  <si>
    <t>stangbor yang patah sudah terangkat</t>
  </si>
  <si>
    <t>pipa stangbor patah tertinggal satu batang</t>
  </si>
  <si>
    <t>req selongsong pipa 5 inch , per , behel, dan oksigen</t>
  </si>
  <si>
    <t>progres hari ini sudah di kedalaman 42 meter pakai pdc 8 inch</t>
  </si>
  <si>
    <t>progres hari ini sudah di kedalaman 43,5 meter pakai pdc 8 inch</t>
  </si>
  <si>
    <t>progres kedalaman 14,25 M PDC 8 inch</t>
  </si>
  <si>
    <t>progres kedalaman 14,75 M PDC 8 inch</t>
  </si>
  <si>
    <t>mata bor masih suka mampet di kedalaman 52 M</t>
  </si>
  <si>
    <t>akhirnya mata bor di naikan kembali , air sempat gak naik di kedalaman 63 M</t>
  </si>
  <si>
    <t>membuat pancingan coring</t>
  </si>
  <si>
    <t>geser alat ke propan</t>
  </si>
  <si>
    <t>kontruksi baru masuk 12 batang</t>
  </si>
  <si>
    <t>plat tebal 16mm lebar 10cm panjang 25cm</t>
  </si>
  <si>
    <t>pipa casing tertinggal 2 btg 10 inch dan 8 inch</t>
  </si>
  <si>
    <t>las stangbor dan buat pancingan</t>
  </si>
  <si>
    <t>progres hari ini sudah di kedalaman 44,5 meter pakai pdc 8 inch</t>
  </si>
  <si>
    <t xml:space="preserve">kedalaman reaming 14 inch 51 M </t>
  </si>
  <si>
    <t xml:space="preserve">perbaikan socket stangbor </t>
  </si>
  <si>
    <t>progres kedalaman 15,25 M PDC 8 inch</t>
  </si>
  <si>
    <t>baru terangkat pipa yang patah tinggal mata bor yg tertinggal</t>
  </si>
  <si>
    <t>masih ngakalin pipa yang patah</t>
  </si>
  <si>
    <t>progres kedalaman 107 M mata bor pdc 8 inch</t>
  </si>
  <si>
    <t>pending</t>
  </si>
  <si>
    <t>progres reaming sudah dikedalaman 63,3 pake pdc 8 inch</t>
  </si>
  <si>
    <t>progres kedalaman 79,30 meter mata bor coring 6 inch</t>
  </si>
  <si>
    <t>progres kedalaman 80,05 meter mata bor coring 6 inch</t>
  </si>
  <si>
    <t>progres hari ini sudah di kedalaman 46 meter pakai pdc 8 inch</t>
  </si>
  <si>
    <t>kendala baud tanah gear matahari</t>
  </si>
  <si>
    <t>pemasangan mata bor dan perbaikan pillow seling</t>
  </si>
  <si>
    <t>masih perbaikan alat dan penguatan stangbor</t>
  </si>
  <si>
    <t>progres kedalaman 15,75 M PDC 8 inch</t>
  </si>
  <si>
    <t>progres reaming sudah dikedalaman 63,5 pake pdc 8 inch</t>
  </si>
  <si>
    <t xml:space="preserve">buat coringan jebakan </t>
  </si>
  <si>
    <t>progres kedalaman 112 M mata bor pdc 8 inch</t>
  </si>
  <si>
    <t>pipa stangbor patah di kedalaman 80 M</t>
  </si>
  <si>
    <t>req gurinda</t>
  </si>
  <si>
    <t>req socket , napel dan trafo las</t>
  </si>
  <si>
    <t>progres kedalaman 16,75 M Coring PDC 6 inch</t>
  </si>
  <si>
    <t>progres kedalaman 82,05 meter mata bor coring 6 inch</t>
  </si>
  <si>
    <t xml:space="preserve">belum di naikin </t>
  </si>
  <si>
    <t>progres hari ini sudah di kedalaman 47,5 meter pakai pdc 8 inch</t>
  </si>
  <si>
    <t xml:space="preserve">kedalaman reaming 14 inch 51,5 M </t>
  </si>
  <si>
    <t>kontruksi masuk 14 btg</t>
  </si>
  <si>
    <t>mata bor masih suka mampet dan nunggu air suply</t>
  </si>
  <si>
    <t xml:space="preserve">baru selesai buat coringan </t>
  </si>
  <si>
    <t>stangbor terjepit dan patah di kedalaman 30 M</t>
  </si>
  <si>
    <t>hari ini ganti mata bor pdc 4 inch</t>
  </si>
  <si>
    <t>progres hari ini sudah di kedalaman 48 meter pakai pdc 8 inch</t>
  </si>
  <si>
    <t xml:space="preserve">kedalaman reaming 14 inch 54 M </t>
  </si>
  <si>
    <t>masih proses pengelasan soket</t>
  </si>
  <si>
    <t>progres kedalaman 16,25 M PDC 8 inch</t>
  </si>
  <si>
    <t>pemasangan pompa permanen dan mobilisasi alat</t>
  </si>
  <si>
    <t>progres reaming sudah dikedalaman 63,7 pake pdc 8 inch</t>
  </si>
  <si>
    <t xml:space="preserve">turun coring tapi koringnya masih kurang </t>
  </si>
  <si>
    <t>req tabung 8 inch 1 M</t>
  </si>
  <si>
    <t>progres kedalaman 115 M mata bor pdc 8 inch</t>
  </si>
  <si>
    <t>progres pengeboran sudah 35 M</t>
  </si>
  <si>
    <t xml:space="preserve">ganti team baru </t>
  </si>
  <si>
    <t>progres kedalaman 83,05 meter mata bor coring 4 inch</t>
  </si>
  <si>
    <t>progres kedalaman 84,05 meter mata bor coring 4 inch</t>
  </si>
  <si>
    <t>progres kedalaman 85,05 meter mata bor coring 4 inch</t>
  </si>
  <si>
    <t>progres hari ini sudah di kedalaman 49,5 meter pakai pdc 8 inch</t>
  </si>
  <si>
    <t>progres hari ini sudah di kedalaman 49 meter pakai pdc 8 inch</t>
  </si>
  <si>
    <t>progres hari ini sudah di kedalaman 48,5 meter pakai pdc 8 inch</t>
  </si>
  <si>
    <t xml:space="preserve">kedalaman reaming 14 inch 55 M </t>
  </si>
  <si>
    <t xml:space="preserve">kedalaman reaming 14 inch 58 M </t>
  </si>
  <si>
    <t xml:space="preserve">kedalaman reaming 14 inch 57 M </t>
  </si>
  <si>
    <t>progres kedalaman 17,65 M PDC 8 inch</t>
  </si>
  <si>
    <t>progres kedalaman 17,15 M PDC 8 inch</t>
  </si>
  <si>
    <t>progres kedalaman 16,75 M PDC 8 inch</t>
  </si>
  <si>
    <t>progres reaming sudah dikedalaman 65 pake pdc 8 inch</t>
  </si>
  <si>
    <t>coba pumping test kuat 10 menit air masih kotor</t>
  </si>
  <si>
    <t>mobilisasi alat team pak arifin</t>
  </si>
  <si>
    <t>progres kedalaman 120 M mata bor pdc 8 inch</t>
  </si>
  <si>
    <t>progres kedalaman 117,5 M mata bor pdc 8 inch</t>
  </si>
  <si>
    <t>progres pengeboran sudah 80 M</t>
  </si>
  <si>
    <t>persiapan kirim matrial</t>
  </si>
  <si>
    <t>minta di kirim gigi nanas hari ini</t>
  </si>
  <si>
    <t>progres kedalaman 85,80 meter mata bor coring 4 inch</t>
  </si>
  <si>
    <t>progres hari ini sudah di kedalaman 50 meter pakai pdc 8 inch</t>
  </si>
  <si>
    <t>perbaikan gardan</t>
  </si>
  <si>
    <t>team baru ke lokasi</t>
  </si>
  <si>
    <t>mau nyepul air suply habis jadi baru order air suply kembali</t>
  </si>
  <si>
    <t>masih ngakalin coring yg patah</t>
  </si>
  <si>
    <t>pompa sudah di angkat dan aman tidk ada yg rusak, baru rakit alat</t>
  </si>
  <si>
    <t>progres kedalaman 121 M mata bor pdc 8 inch</t>
  </si>
  <si>
    <t>hujan dan mati lampu sampai malem</t>
  </si>
  <si>
    <t>Angkat pipa paralon spul dan ngurug sumur lagi</t>
  </si>
  <si>
    <t>belum ada perubahan progress masih diposisi 58 M</t>
  </si>
  <si>
    <t>Gigi gardan rontok masih dalam perbaikan, batuan keras</t>
  </si>
  <si>
    <t>Kendala hujan deras pengeboran dihentikan</t>
  </si>
  <si>
    <t>Kendala water lost kering</t>
  </si>
  <si>
    <t>progres hari ini sudah di kedalaman 50,5 meter pakai pdc 8 inch</t>
  </si>
  <si>
    <t>masih perbaikan gardan dan setting alat</t>
  </si>
  <si>
    <t>progres kedalaman sudah di 89,40 M</t>
  </si>
  <si>
    <t>progres kedalaman 18,65 M PDC 8 inch</t>
  </si>
  <si>
    <t>pengeboran sudah di kedalaman 35,4 coring 6 inch</t>
  </si>
  <si>
    <t>progres reaming sudah dikedalaman 65,70 pake pdc 8 inch</t>
  </si>
  <si>
    <t>coring baru terangkat</t>
  </si>
  <si>
    <t>progres kedalaman 86,80 meter mata bor  PDC 4 inch</t>
  </si>
  <si>
    <t>Coring 6 x 4.5 = 27 M</t>
  </si>
  <si>
    <t>Buat SPK untuk tim baru</t>
  </si>
  <si>
    <t>progres pengeboran sudah 111 M</t>
  </si>
  <si>
    <t>progres kedalaman 87,80 meter mata bor  PDC 4 inch</t>
  </si>
  <si>
    <t>progres kedalaman sudah di 90,20 M</t>
  </si>
  <si>
    <t>progres kedalaman 19,65 M PDC 8 inch</t>
  </si>
  <si>
    <t>ns rusak minta ganti</t>
  </si>
  <si>
    <t>progres reaming sudah dikedalaman 66,50 pake pdc 8 inch</t>
  </si>
  <si>
    <t>progres pengeboran sudah 130 M</t>
  </si>
  <si>
    <t>progres kedalaman 88 meter mata bor  PDC 4 inch</t>
  </si>
  <si>
    <t>progres hari ini sudah di kedalaman 50,65 meter pakai pdc 8 inch</t>
  </si>
  <si>
    <t>progres kedalaman sudah di 91 M</t>
  </si>
  <si>
    <t>pengeboran sudah di kedalaman 35 coring 8 inch</t>
  </si>
  <si>
    <t>progres reaming sudah dikedalaman 67 pake pdc 8 inch</t>
  </si>
  <si>
    <t>req tabung oksigen</t>
  </si>
  <si>
    <t xml:space="preserve">buat bak sirkulasi </t>
  </si>
  <si>
    <t>progres kedalaman 17,65 M coring pdc 6 inch hanya dapat 50 cm</t>
  </si>
  <si>
    <t>Ngebor ulang pakai pdc 8 inc dapat 1.5 meter progress kedlman 19,15 m</t>
  </si>
  <si>
    <t>Progress kedalaman 60 m</t>
  </si>
  <si>
    <t>kendala batuan keras</t>
  </si>
  <si>
    <t>progress kedalaman 58,50 m</t>
  </si>
  <si>
    <t>kendala penggerak girbox gardan rusak msh dlm perbaikan</t>
  </si>
  <si>
    <t>menunggu kiriman alat bikin mata bor</t>
  </si>
  <si>
    <t>pumping test pertama 40 menit, ke 2 29 detik</t>
  </si>
  <si>
    <t>Ngebor ulang pakai pdc 8 inc dapat 0,6 meter progress kedlman 19,75 m</t>
  </si>
  <si>
    <t>masih kedlaman 35,4 meter coring 8 inch, air sirkulasi habis</t>
  </si>
  <si>
    <t>progres kedalaman 67 pdc 8 inch, angkat pompa dan kembali urug sumur</t>
  </si>
  <si>
    <t>progres bikin koring</t>
  </si>
  <si>
    <t>bikin koring</t>
  </si>
  <si>
    <t>kedalaman 30 meter koring 6inch</t>
  </si>
  <si>
    <t>nyabut pipa</t>
  </si>
  <si>
    <t>progres kedalaman 123,5 M mata bor pdc 8 inch</t>
  </si>
  <si>
    <t>solikin</t>
  </si>
  <si>
    <t xml:space="preserve">NO HP </t>
  </si>
  <si>
    <t>082242255891/0895622289968</t>
  </si>
  <si>
    <t>083836288712</t>
  </si>
  <si>
    <t>085780099230</t>
  </si>
  <si>
    <t>081315619147</t>
  </si>
  <si>
    <t>082130359786</t>
  </si>
  <si>
    <t>087774700086</t>
  </si>
  <si>
    <t>082190745063</t>
  </si>
  <si>
    <t>081373107957</t>
  </si>
  <si>
    <t>081286534826</t>
  </si>
  <si>
    <t>081280326434</t>
  </si>
  <si>
    <t>081293425452</t>
  </si>
  <si>
    <t>081286932747</t>
  </si>
  <si>
    <t>085697497531</t>
  </si>
  <si>
    <t>081323419339</t>
  </si>
  <si>
    <t>Ngebor Pakai PDC 4 Inc progress kedalaman 95 mtr</t>
  </si>
  <si>
    <t>Ngebor Pakai PDC 4 Inc progress kedalaman 93 mtr</t>
  </si>
  <si>
    <t>progres kedalaman 67,30 pdc 8 inch</t>
  </si>
  <si>
    <t>naikan mata bor 8 inch ganti ke pdc 4 inch</t>
  </si>
  <si>
    <t>Progress kedalaman 62 m</t>
  </si>
  <si>
    <t>di persiapkan kontruksi</t>
  </si>
  <si>
    <t>progres kedalaman 20,25 M PDC 8 inch</t>
  </si>
  <si>
    <t>kedalaman 33 meter koring 6inch</t>
  </si>
  <si>
    <t>Ganti mata bor</t>
  </si>
  <si>
    <t xml:space="preserve">kedalaman 37 M </t>
  </si>
  <si>
    <t>Ngebor Pakai PDC 4 Inc progress kedalaman 97 mtr</t>
  </si>
  <si>
    <t>Progress kedalaman 67 m</t>
  </si>
  <si>
    <t>pembuatan screen untuk persiapan kontruksi</t>
  </si>
  <si>
    <t xml:space="preserve">kedalaman 37,40 M </t>
  </si>
  <si>
    <t>progres kedalaman 67,50 pdc 8 inch</t>
  </si>
  <si>
    <t>progres kedalaman 21 M PDC 8 inch</t>
  </si>
  <si>
    <t>pengangkatan stangbor buat ganti mata bor</t>
  </si>
  <si>
    <t>Ganti mata bor pdc 6x8 inch</t>
  </si>
  <si>
    <t>Ngebor Pakai PDC 4 Inc progress kedalaman 99 mtr</t>
  </si>
  <si>
    <t>Progress kedalaman 68 m</t>
  </si>
  <si>
    <t>progres kedalaman 21,5 M PDC 6 ke 8 inch</t>
  </si>
  <si>
    <t xml:space="preserve">kedalaman 38,10 M </t>
  </si>
  <si>
    <t>progres kedalaman 68 pdc 8 inch</t>
  </si>
  <si>
    <t>Ngebor Pakai PDC 4 Inc progress kedalaman 100 mtr</t>
  </si>
  <si>
    <t>kedalaman 37,70 M PDC 8 Inch</t>
  </si>
  <si>
    <t>progres kedalaman 22 M PDC 6 ke 8 inch</t>
  </si>
  <si>
    <t>progres kedalaman 68,2 pdc 8 inch</t>
  </si>
  <si>
    <t>Dinamo ns kebakar, req dinamo buat ns</t>
  </si>
  <si>
    <t>Ngebor Pakai PDC 4 Inc progress kedalaman 100,5 mtr</t>
  </si>
  <si>
    <t>pr, belum kirim gravel dan logging</t>
  </si>
  <si>
    <t>progres kedalaman 22,40 M PDC 6 ke 8 inch</t>
  </si>
  <si>
    <t>kedalaman 38,70 M PDC 8 Inch</t>
  </si>
  <si>
    <t>perbaiki ns, lepas baut flange,buat baut pengikat flange, pasang seal ns</t>
  </si>
  <si>
    <t>reaming mata bor 10 inch kedalaman 55 meter</t>
  </si>
  <si>
    <t>reaming mata bor 10 inch kedalaman 43 meter</t>
  </si>
  <si>
    <t>reaming mata bor 10 inch kedalaman 32 meter</t>
  </si>
  <si>
    <t xml:space="preserve"> </t>
  </si>
  <si>
    <t>Ngebor Pakai PDC 4 Inc progress kedalaman 101,5 mtr</t>
  </si>
  <si>
    <t>Ngebor Pakai PDC 4 Inc progress kedalaman 102 mtr</t>
  </si>
  <si>
    <t>progres hari ini sudah di kedalaman 58 meter pakai pdc 4 inch</t>
  </si>
  <si>
    <t>progres hari ini sudah di kedalaman 51 meter pakai pdc 8 inch</t>
  </si>
  <si>
    <t>progres hari ini sudah di kedalaman 51,5 meter pakai pdc 4 inch</t>
  </si>
  <si>
    <t>progres hari ini sudah di kedalaman 52,5 meter pakai pdc 4 inch</t>
  </si>
  <si>
    <t>progres hari ini sudah di kedalaman 54 meter pakai pdc 4 inch</t>
  </si>
  <si>
    <t>progres hari ini sudah di kedalaman 55 meter pakai pdc 4 inch</t>
  </si>
  <si>
    <t>pumping test air masih tekor hanya bisa bertahan 15 menit</t>
  </si>
  <si>
    <t>progres kedalaman 23,40 M PDC 6 ke 8 inch</t>
  </si>
  <si>
    <t>progres kedalaman 22,90 M PDC 6 ke 8 inch</t>
  </si>
  <si>
    <t>kedalaman 38,30 M PDC 8 Inch</t>
  </si>
  <si>
    <t>kedalaman 39,70 M PDC 4 Inch</t>
  </si>
  <si>
    <t>progres kedalaman 68,3 pdc 8 inch</t>
  </si>
  <si>
    <t xml:space="preserve">proses pengeboran mulai jam 3 sore </t>
  </si>
  <si>
    <t>progres kedalaman 68,4 pdc 8 inch</t>
  </si>
  <si>
    <t>kendala patah stangbor di kedalaman 18 M</t>
  </si>
  <si>
    <t>progres hari ini sudah di kedalaman 51,5 meter pakai pdc 8 inch</t>
  </si>
  <si>
    <t>progres kedalaman 24,40 M PDC 6 ke 8 inch</t>
  </si>
  <si>
    <t>reaming mata bor 10 inch kedalaman 90 meter</t>
  </si>
  <si>
    <t>Ngebor Pakai PDC 4 Inc progress kedalaman 103 mtr</t>
  </si>
  <si>
    <t>progres hari ini sudah di kedalaman 51,8 meter pakai pdc 8 inch</t>
  </si>
  <si>
    <t>kedalaman 39 M PDC 8 Inch</t>
  </si>
  <si>
    <t>kedalaman 39 M PDC 6 Inch</t>
  </si>
  <si>
    <t>masih ngakalin stangbor yg patah</t>
  </si>
  <si>
    <t xml:space="preserve">stangbor sudah terangkat , tapi mur kopel malah terjath </t>
  </si>
  <si>
    <t xml:space="preserve">butuh magnet </t>
  </si>
  <si>
    <t>baru selesai sambung kabel dan ganti dinamo</t>
  </si>
  <si>
    <t>reaming mata bor 10 inch kedalaman 119 meter</t>
  </si>
  <si>
    <t>progres kedalaman 25,15 M PDC 6 ke 8 inch</t>
  </si>
  <si>
    <t>Ngebor Pakai PDC 4 Inc progress kedalaman 104 mtr</t>
  </si>
  <si>
    <t>miss 1 m dengan laporan</t>
  </si>
  <si>
    <t>di siapkan casing 6 inch 6 btg</t>
  </si>
  <si>
    <t>Ngebor Pakai PDC 4 Inc progress kedalaman 106 mtr</t>
  </si>
  <si>
    <t>progres hari ini sudah di kedalaman 52,5 meter pakai pdc 8 inch</t>
  </si>
  <si>
    <t>progres kedalaman 25,65 M PDC 6 ke 8 inch</t>
  </si>
  <si>
    <t>kedalaman 40 M PDC 8 Inch</t>
  </si>
  <si>
    <t>buat coringan 6 inch</t>
  </si>
  <si>
    <t xml:space="preserve">sudah mulai turun stangbor tapi terkendala spulkop dan ns </t>
  </si>
  <si>
    <t>reaming mata bor 10 inch kedalaman 124 meter</t>
  </si>
  <si>
    <t>team pak likin</t>
  </si>
  <si>
    <t>ganti dinamo , las stangbor dan turun coring 6 inch</t>
  </si>
  <si>
    <t>pumping dan geo ulang</t>
  </si>
  <si>
    <t>Ngebor Pakai PDC 4 Inc progress kedalaman 108 mtr</t>
  </si>
  <si>
    <t>progres hari ini sudah di kedalaman 53 meter pakai pdc 8 inch</t>
  </si>
  <si>
    <t>progres kedalaman 26,06 M PDC 6 ke 8 inch</t>
  </si>
  <si>
    <t>naikan stangbor dan ganti coringan lagi</t>
  </si>
  <si>
    <t>ambil pully ke workshop dan bubut pully , tapi setelah di pasang dinamo malah kebakar</t>
  </si>
  <si>
    <t>pipa bor yang masuk baru 35 btg</t>
  </si>
  <si>
    <t>reaming mata bor 10 inch kedalaman 125 meter</t>
  </si>
  <si>
    <t>pasang widia coring</t>
  </si>
  <si>
    <t>56 M</t>
  </si>
  <si>
    <t>Ngebor Pakai PDC 4 Inc progress kedalaman 109,5 mtr</t>
  </si>
  <si>
    <t>buat screen untuk persiapan kontruksi</t>
  </si>
  <si>
    <t>progres kedalaman 26,65 M PDC 6 ke 8 inch</t>
  </si>
  <si>
    <t>kedalaman 42 M PDC 8 Inch</t>
  </si>
  <si>
    <t>spull karena lumpur masih pekat</t>
  </si>
  <si>
    <t>progres kedalaman 33,20 M mata bor  coring 6 inch</t>
  </si>
  <si>
    <t>reaming mata bor 10 inch kedalaman 130 meter</t>
  </si>
  <si>
    <t>pipa bor yang masuk baru 40 btg</t>
  </si>
  <si>
    <t>pasang pompa ebara 3-25</t>
  </si>
  <si>
    <t>passang casing 6 inch</t>
  </si>
  <si>
    <t>Ngebor Pakai PDC 4 Inc progress kedalaman 112 mtr</t>
  </si>
  <si>
    <t>Ngebor Pakai PDC 4 Inc progress kedalaman 110 mtr</t>
  </si>
  <si>
    <t>kontruksi casing masuk 13 btg</t>
  </si>
  <si>
    <t>progres hari ini sudah di kedalaman 53,5 meter pakai pdc 8 inch</t>
  </si>
  <si>
    <t>progres kedalaman 27,65 M PDC 6 ke 8 inch</t>
  </si>
  <si>
    <t>kedalaman 43 M PDC 8 Inch</t>
  </si>
  <si>
    <t>kedalaman 44 M PDC 8 Inch</t>
  </si>
  <si>
    <t>progres kedalaman 69 pdc 8 inch</t>
  </si>
  <si>
    <t>progres kedalaman 68,8 pdc 8 inch</t>
  </si>
  <si>
    <t>pasang casing pengaman 6 inch masuk 15 btg</t>
  </si>
  <si>
    <t>pengecoran samping casing</t>
  </si>
  <si>
    <t>progres kedalaman 90 M</t>
  </si>
  <si>
    <t>progres kedalaman 105 M</t>
  </si>
  <si>
    <t>reaming mata bor 8 inch kedalaman 142 meter</t>
  </si>
  <si>
    <t>ganti mata bor ke 8 inch</t>
  </si>
  <si>
    <t>kedalaman 38 meter mata bor pdc 8 inch</t>
  </si>
  <si>
    <t>kedalaman 43 meter mata bor pdc 8 inch</t>
  </si>
  <si>
    <t>service dinamo bikin dudukan dinamo, kedalaman 50 meter</t>
  </si>
  <si>
    <t>kedalaman 52 meter mata bor pdc 8 inch</t>
  </si>
  <si>
    <t>kedalaman 54 meter mata bor pdc 8 inch</t>
  </si>
  <si>
    <t>kedalaman 55,5 meter mata bor pdc 8 inch</t>
  </si>
  <si>
    <t>kedalaman 58 meter mata bor pdc 8 inch</t>
  </si>
  <si>
    <t>service bearing gearbok</t>
  </si>
  <si>
    <t>kontaktor rusak</t>
  </si>
  <si>
    <t>persiapan alat bor dan cek lubang</t>
  </si>
  <si>
    <t>angkat stang bor cek mata bor</t>
  </si>
  <si>
    <t>nunggu kontaktor</t>
  </si>
  <si>
    <t>kedalaman 59,5 meter mata bor pdc 8 inch</t>
  </si>
  <si>
    <t>kedalaman 65 meter mata bor pdc 8 inch</t>
  </si>
  <si>
    <t>kedalaman 70,5 meter mata bor pdc 8 inch</t>
  </si>
  <si>
    <t>Ngebor Pakai PDC 4 Inc progress kedalaman 112,75 mtr</t>
  </si>
  <si>
    <t>progres hari ini sudah di kedalaman 56 meter pakai pdc 4 inch</t>
  </si>
  <si>
    <t>persiapan mobilisasi alat</t>
  </si>
  <si>
    <t>progres kedalaman 27,85 M PDC 6 ke 8 inch</t>
  </si>
  <si>
    <t>kendala swipel patah</t>
  </si>
  <si>
    <t>kedalaman 45 M PDC 8 Inch</t>
  </si>
  <si>
    <t>progres kedalaman 69,30 pdc 4 inch</t>
  </si>
  <si>
    <t>ganti lagi ke pdc 8 inch</t>
  </si>
  <si>
    <t>spul untuk pumping</t>
  </si>
  <si>
    <t>reaming mata bor 8 inch kedalaman 158 meter</t>
  </si>
  <si>
    <t>progres kedalaman 108 M</t>
  </si>
  <si>
    <t>stang bor patah</t>
  </si>
  <si>
    <t>Progress kedalaman 82 meter bor tricon jagung 12 inch</t>
  </si>
  <si>
    <t>Progress kedalaman 70 m mata bor tricon jagung 12 inch</t>
  </si>
  <si>
    <t>Progress kedalaman 71,50 m mata bor tricon jagung 12 inch</t>
  </si>
  <si>
    <t>Progress kedalaman 72 m mata bor tricon jagung 12 inch</t>
  </si>
  <si>
    <t>Progress kedalaman 73 m mata bor tricon jagung 12 inch</t>
  </si>
  <si>
    <t>Progress kedalaman 74 m mata bor tricon jagung 12 inch</t>
  </si>
  <si>
    <t>ganti mata bor yang baru tricon jagung 12 inch</t>
  </si>
  <si>
    <t>baru turun mata bor yang baru tricon jagung 12 inch</t>
  </si>
  <si>
    <t>Progress kedalaman 75,5 m mata bor tricon jagung 12 inch</t>
  </si>
  <si>
    <t>Progress kedalaman 76 m mata bor tricon jagung 12 inch</t>
  </si>
  <si>
    <t>Progress kedalaman 78 m mata bor tricon jagung 12 inch</t>
  </si>
  <si>
    <t>Progress kedalaman 78,5 m mata bor tricon jagung 12 inch</t>
  </si>
  <si>
    <t>Ngebor Pakai PDC 4 Inc progress kedalaman 114,75 mtr</t>
  </si>
  <si>
    <t>Progress kedalaman 84 meter bor tricon jagung 12 inch</t>
  </si>
  <si>
    <t>progres kedalaman 29,45 M PDC 6 ke 8 inch</t>
  </si>
  <si>
    <t>progres kedalaman 28,25 M PDC 6 ke 8 inch</t>
  </si>
  <si>
    <t>kedalaman 47 M PDC 8 Inch</t>
  </si>
  <si>
    <t>coba di pasang pompa</t>
  </si>
  <si>
    <t>lagi buat pancingan buat ngakalin stangbor yg patah</t>
  </si>
  <si>
    <t>reaming mata bor 8 inch kedalaman 164 meter</t>
  </si>
  <si>
    <t>Ngebor Pakai PDC 4 Inc progress kedalaman 115,50 mtr</t>
  </si>
  <si>
    <t>baru turun kembali mata bor 4 inch sampai kedalaman 54 M</t>
  </si>
  <si>
    <t>Progress kedalaman 87 meter bor tricon jagung 12 inch</t>
  </si>
  <si>
    <t>progres kedalaman 29,95 M PDC 6 ke 8 inch</t>
  </si>
  <si>
    <t>kedalaman 48 M PDC 8 Inch</t>
  </si>
  <si>
    <t>mau nurunin pancingan keburu hujan kerja bisa setengah hari aja</t>
  </si>
  <si>
    <t>kedalaman 36 meter mata bor triwing 5 inch</t>
  </si>
  <si>
    <t>Ngebor Pakai PDC 4 Inc progress kedalaman 116 mtr</t>
  </si>
  <si>
    <t>selisih 1,5 M dengan laporan</t>
  </si>
  <si>
    <t>progres hari ini sudah di kedalaman 59,5 meter pakai pdc 4 inch</t>
  </si>
  <si>
    <t>Progress kedalaman 90 meter bor tricon jagung 12 inch</t>
  </si>
  <si>
    <t>progres kedalaman 30,95 M PDC 6 ke 8 inch</t>
  </si>
  <si>
    <t>kedalaman 52 M PDC 8 Inch</t>
  </si>
  <si>
    <t>progres kedalaman 72 pdc 4 inch</t>
  </si>
  <si>
    <t>kedalaman 42,15 meter mata bor triwing 5 inch</t>
  </si>
  <si>
    <t>stangbor yang putus sudah terangkat</t>
  </si>
  <si>
    <t>service ns dan pengangkatan stangbor karena mampet</t>
  </si>
  <si>
    <t>baru bisa jalan kembali</t>
  </si>
  <si>
    <t>Ngebor Pakai PDC 4 Inc progress kedalaman 117 mtr</t>
  </si>
  <si>
    <t>progres satu setengah meter selisih 0,5 M</t>
  </si>
  <si>
    <t>progres hari ini sudah di kedalaman 60,5 meter pakai pdc 4 inch</t>
  </si>
  <si>
    <t>Progress kedalaman 100 meter bor tricon jagung 12 inch</t>
  </si>
  <si>
    <t>progres kedalaman 32,45 M PDC 6 ke 8 inch</t>
  </si>
  <si>
    <t>kedalaman 60 M PDC 8 Inch</t>
  </si>
  <si>
    <t>progres kedalaman 73,30 pdc 4 inch</t>
  </si>
  <si>
    <t>reaming mata bor 8 inch kedalaman 166 meter</t>
  </si>
  <si>
    <t>pengelasan stangbor biar gak mudah patah</t>
  </si>
  <si>
    <t>Target 120 mtr, actual kantor 107 atau 110 mtr</t>
  </si>
  <si>
    <t>Besok team bor diharapkan kumpul di Workshop</t>
  </si>
  <si>
    <t>Mata bor perlu di crosscheck</t>
  </si>
  <si>
    <t>Ngebor Pakai PDC 4 Inc progress kedalaman 119 mtr</t>
  </si>
  <si>
    <t>Ngebor Pakai PDC 4 Inc progress kedalaman 121 mtr</t>
  </si>
  <si>
    <t>butuh mata bor tricon untuk reming</t>
  </si>
  <si>
    <t>progres hari ini sudah di kedalaman 61 meter pakai pdc 4 inch</t>
  </si>
  <si>
    <t>progres hari ini sudah di kedalaman 63 meter pakai pdc 4 inch</t>
  </si>
  <si>
    <t>Progress kedalaman 101 meter bor tricon jagung 12 inch</t>
  </si>
  <si>
    <t>Progress kedalaman 102,5 meter bor tricon jagung 12 inch</t>
  </si>
  <si>
    <t>progres kedalaman 32,95 M PDC 6 ke 8 inch</t>
  </si>
  <si>
    <t>progres kedalaman 33,95 M PDC 6 ke 8 inch</t>
  </si>
  <si>
    <t>kedalaman 64 M PDC 8 Inch</t>
  </si>
  <si>
    <t>kedalaman 66 M PDC 8 Inch</t>
  </si>
  <si>
    <t>progres kedalaman 73,70 pdc 4 inch</t>
  </si>
  <si>
    <t>progres kedalaman 69,50 pdc 8 inch</t>
  </si>
  <si>
    <t>progres kedalaman 71,3 pdc 4 inch</t>
  </si>
  <si>
    <t>progres kedalaman 70,30 pdc 4 inch</t>
  </si>
  <si>
    <t>kedalaman 43,50 meter mata bor pdc 4 inch</t>
  </si>
  <si>
    <t>perbaikan mcb dan dinamo</t>
  </si>
  <si>
    <t>reaming mata bor 8 inch kedalaman 170 meter</t>
  </si>
  <si>
    <t>reaming mata bor 8 inch kedalaman 173 meter</t>
  </si>
  <si>
    <t>progres kedalaman 106 M</t>
  </si>
  <si>
    <t>progres kedalaman 109 M</t>
  </si>
  <si>
    <t>Ngangkat setang bor baru dapat 30 btg</t>
  </si>
  <si>
    <t>libur 2 hari kondisi dilokasi aman, sudah kordinasi dgn Pak Sarmana</t>
  </si>
  <si>
    <t>Progress kedalaman 74,2  PDC 4 Inc</t>
  </si>
  <si>
    <t>Progress kedalaman 115</t>
  </si>
  <si>
    <t>Reaming tabung 12 Inc, batu pasir keras lagi</t>
  </si>
  <si>
    <t>Progress kedalaman 43,7 mtr mata bor PDC 4 Inch</t>
  </si>
  <si>
    <t>kendala mata bor gak makan</t>
  </si>
  <si>
    <t>Progress kedalaman 44,5 mtr mata bor PDC 4 Inch</t>
  </si>
  <si>
    <t>kondisi pengeboran batu bolder</t>
  </si>
  <si>
    <t>Progress kedalaman 68 mtr  PDC 8 Inch</t>
  </si>
  <si>
    <t>Minta kirim 5 pcs kikir sama tabung 6 inch dan kawat las</t>
  </si>
  <si>
    <t>Progress kedalaman 35,95 mtr PDC 8 Inch</t>
  </si>
  <si>
    <t>Ketemu pasir dikedalaman 34 sampai 35 mtr</t>
  </si>
  <si>
    <t>Progress kedalaman 180 mtr mata bor PDC 8 Inch</t>
  </si>
  <si>
    <t>Alhamdulillah lancar tinggal reaming aja</t>
  </si>
  <si>
    <t>Progress kedalaman 63 mtr, pakai mata bor 4 Inch</t>
  </si>
  <si>
    <t>Kendala ngelas koring 5 inch buat reming</t>
  </si>
  <si>
    <t>reaming tabung 12 inch baru masuk stangbor 30 batang</t>
  </si>
  <si>
    <t>Progress kedalaman 74,80  PDC 4 Inc</t>
  </si>
  <si>
    <t>Progress kedalaman 70 mtr  PDC 8 Inch</t>
  </si>
  <si>
    <t>Progress kedalaman 39,95 mtr PDC 8 Inch</t>
  </si>
  <si>
    <t>Progress kedalaman 37,95 mtr PDC 8 Inch</t>
  </si>
  <si>
    <t>Progress kedalaman 57,5 mtr, pakai mata bor 5 Inch</t>
  </si>
  <si>
    <t xml:space="preserve">masuk team pak tomi </t>
  </si>
  <si>
    <t>progres kedalaman 118 M</t>
  </si>
  <si>
    <t>koordinasi ke pak akar untuk mampir ke workshop bawa mata bor tricon yg dari wonokoyo</t>
  </si>
  <si>
    <t>malang perlu tricon belah 16 mm 3kg dan kawat las kuningan</t>
  </si>
  <si>
    <t>rencana kedalaman 70 m</t>
  </si>
  <si>
    <t>angkat pipa ganti mata bor reaming 10 inch</t>
  </si>
  <si>
    <t>koring dari mancak 2 buat pak jaenal</t>
  </si>
  <si>
    <t>Progress kedalaman 40,45 mtr PDC 8 Inch</t>
  </si>
  <si>
    <t>bantuin bongkar menara di kedungsoka</t>
  </si>
  <si>
    <t>Progress kedalaman 75,20  PDC 4 Inc</t>
  </si>
  <si>
    <t>buat tabung pelurus untuk reaming 8 inch</t>
  </si>
  <si>
    <t>reaming tabung 12 inch baru di kedalaman 38 M</t>
  </si>
  <si>
    <t>perbaikan as yang patah</t>
  </si>
  <si>
    <t>Progress kedalaman 59 mtr, pakai mata bor 5 Inch</t>
  </si>
  <si>
    <t>buat pancingan</t>
  </si>
  <si>
    <t>ketemu pipa pvc 10 inch</t>
  </si>
  <si>
    <t>reaming pakai mata bor dari cikolelet yang susun</t>
  </si>
  <si>
    <t>Progress kedalaman 45,3 mtr mata bor koring 4 Inch</t>
  </si>
  <si>
    <t>progres reaming 8 inch di kedalaman 60 M</t>
  </si>
  <si>
    <t>reaming tabung 12 inch baru di kedalaman 41 M</t>
  </si>
  <si>
    <t>ngakalin coring yang terjepit</t>
  </si>
  <si>
    <t>request polimer 5 kg</t>
  </si>
  <si>
    <t>request air buat nyepul</t>
  </si>
  <si>
    <t>Progress kedalaman 60,5 mtr, pakai mata bor 5 Inch</t>
  </si>
  <si>
    <t>Progress kedalaman 42,45 mtr PDC 8 Inch</t>
  </si>
  <si>
    <t>Progress kedalaman 136 mtr mata bor 10 Inch</t>
  </si>
  <si>
    <t>ngakalin stangbor yang patah dan udah terangkat kembali</t>
  </si>
  <si>
    <t>Progress kedalaman 76  PDC 4 Inc</t>
  </si>
  <si>
    <t>Progress kedalaman 44,45 mtr pdc 8 Inc</t>
  </si>
  <si>
    <t>Progress kedalaman 46,45 mtr pdc 8 Inc</t>
  </si>
  <si>
    <t>ganti bearing NS</t>
  </si>
  <si>
    <t>kendala bearing NS hancur</t>
  </si>
  <si>
    <t xml:space="preserve">Progress kedalaman 42,50 mtr </t>
  </si>
  <si>
    <t>Progress kedalaman 62 mtr</t>
  </si>
  <si>
    <t>Progress kedalaman 63,5mtr</t>
  </si>
  <si>
    <t>Progress kedalaman 76,70  PDC 4 Inc</t>
  </si>
  <si>
    <t>angkat stang bor, perbaikan ns</t>
  </si>
  <si>
    <t>Nurunin Menara</t>
  </si>
  <si>
    <t>Pumping Test</t>
  </si>
  <si>
    <t>Spuling</t>
  </si>
  <si>
    <t>Konstruksi</t>
  </si>
  <si>
    <t>Kendala bearing NS hancur, bongkar NS ganti bearing</t>
  </si>
  <si>
    <t>Tanjungsari Pabuaran</t>
  </si>
  <si>
    <t>PT. Cuan</t>
  </si>
  <si>
    <t>Ponpes Al-Rahmah, Walantaka</t>
  </si>
  <si>
    <t>TPA Cianjur</t>
  </si>
  <si>
    <t>Wonokoyo Cikande</t>
  </si>
  <si>
    <t>PDAM Nganjuk</t>
  </si>
  <si>
    <t>BO Meyoeng</t>
  </si>
  <si>
    <t>Mutiara Kasih Langgeng, Cilegon</t>
  </si>
  <si>
    <t>Malang Pak Grivin</t>
  </si>
  <si>
    <t>Desa Salira</t>
  </si>
  <si>
    <t>Balikpapan</t>
  </si>
  <si>
    <t>Kaduguling Cemplang, Ciomas</t>
  </si>
  <si>
    <t>Kwh Awal</t>
  </si>
  <si>
    <t>Kwh Akhir</t>
  </si>
  <si>
    <t>Total Pemakaian</t>
  </si>
  <si>
    <t>Abudemen</t>
  </si>
  <si>
    <t>Suply KWH</t>
  </si>
  <si>
    <t>Harga per Kwh</t>
  </si>
  <si>
    <t>Total Suply</t>
  </si>
  <si>
    <t>Summery</t>
  </si>
  <si>
    <t>TIDAK ADA SUPLY</t>
  </si>
  <si>
    <t>Danton</t>
  </si>
  <si>
    <t>Hidayat</t>
  </si>
  <si>
    <t>Masukin mata bor 10 Inc baru sampai buttom (bawah)</t>
  </si>
  <si>
    <t>Progress kedalaman 61,5 mtr pakai mata bor 5 Inch</t>
  </si>
  <si>
    <t>Progress kedalaman 62,5 mtr pakai mata bor 5 Inch</t>
  </si>
  <si>
    <t xml:space="preserve">Progress kedalaman 45 mtr </t>
  </si>
  <si>
    <t>Reaming tabung 12 Inc, bantu kuras</t>
  </si>
  <si>
    <t>Reaming tabung 12 Inc, mata bor habis, bantu kuras</t>
  </si>
  <si>
    <t>Reaming dapat 1,5 mtr kondisi batuan keras</t>
  </si>
  <si>
    <t>Reaming dapat 2 mtr lambat dibawah lubang 4 Inc</t>
  </si>
  <si>
    <t>progres reaming 8 inch di kedalaman 73 M</t>
  </si>
  <si>
    <t>Progress kedalaman 77  PDC 4 Inc</t>
  </si>
  <si>
    <t>progres kedalaman 126 M</t>
  </si>
  <si>
    <t>progres kedalaman 123 M</t>
  </si>
  <si>
    <t>progres kedalaman sudah 15 M</t>
  </si>
  <si>
    <t>Progress kedalaman 47,45 mtr pdc 8 Inc</t>
  </si>
  <si>
    <t>progres kedalaman sudah 45 M</t>
  </si>
  <si>
    <t>info mang adang, minta kontaktor</t>
  </si>
  <si>
    <t>antar pompa pemanen</t>
  </si>
  <si>
    <t>Lagi ngoring 4 Inc baru dapat 30 mtr</t>
  </si>
  <si>
    <t>Lagi ngoring 4 Inc baru di kedalaman 30,15 mtr</t>
  </si>
  <si>
    <t>pasang pompa permanen</t>
  </si>
  <si>
    <t>angkat stangbor karena mata bornya patah tertinggal</t>
  </si>
  <si>
    <t>Progress kedalaman 48,45 mtr pdc 8 Inc</t>
  </si>
  <si>
    <t>service mata bor belum selesai</t>
  </si>
  <si>
    <t>Progress kedalaman 162 mtr mata bor 10 Inch</t>
  </si>
  <si>
    <t>Progress kedalaman 77,50  PDC 4 Inc</t>
  </si>
  <si>
    <t>baru selesai ngurug dan langsung masuk lagi coring 4 inch</t>
  </si>
  <si>
    <t>service ns bearingnya hancur</t>
  </si>
  <si>
    <t>geser titik kembali</t>
  </si>
  <si>
    <t>target 50 M</t>
  </si>
  <si>
    <t>ngakalin mata bor yang putus</t>
  </si>
  <si>
    <t>naikan pompa dan masukan pipa pvc 4 inch masuk sampe 58,5 M</t>
  </si>
  <si>
    <t>progres reaming ulang sampai kedalman 40 M kendala membal/mampet</t>
  </si>
  <si>
    <t>baru selesai pasang mata bor</t>
  </si>
  <si>
    <t>Progress kedalaman 78,30  PDC 4 Inc</t>
  </si>
  <si>
    <t>pasang pompa permanen malah terjepit</t>
  </si>
  <si>
    <t>progres kedalaman 130 M</t>
  </si>
  <si>
    <t>masih lapisan lempung hitam keras</t>
  </si>
  <si>
    <t>udah selesai pasang konduktor dan geser titik</t>
  </si>
  <si>
    <t>Pak Dayat rencana diperbantukan</t>
  </si>
  <si>
    <t>di dongrak baru naik 10 CM</t>
  </si>
  <si>
    <t xml:space="preserve">pasang pompa dan pumping test </t>
  </si>
  <si>
    <t>Progress kedalaman 49,45 mtr pdc 8 Inc</t>
  </si>
  <si>
    <t>Progress kedalaman 48 mtr  Reaming 12 inch</t>
  </si>
  <si>
    <t>libur sakit</t>
  </si>
  <si>
    <t>Progress kedalaman 79,30  PDC 4 Inc</t>
  </si>
  <si>
    <t>di cor kembali untuk nutup water los</t>
  </si>
  <si>
    <t>Target kedalaman 150 mtr</t>
  </si>
  <si>
    <t>Pekerjaan pengeboran sudah selesai</t>
  </si>
  <si>
    <t>Rencana konstruksi pekerjaan</t>
  </si>
  <si>
    <t>End of job</t>
  </si>
  <si>
    <t>mata bor yang patah sudah terangkat kembali</t>
  </si>
  <si>
    <t>request stangbor 2 btg</t>
  </si>
  <si>
    <t>Progress kedalaman 165 mtr mata bor 10 Inch</t>
  </si>
  <si>
    <t>Progress kedalaman 80,50  PDC 4 Inc</t>
  </si>
  <si>
    <t>pompa permanen sudah terpasang</t>
  </si>
  <si>
    <t>progres kedalaman 133 M</t>
  </si>
  <si>
    <t>progres kedalaman 136 M</t>
  </si>
  <si>
    <t>progres kedalaman sudah 36 M</t>
  </si>
  <si>
    <t>Progress kedalaman 51,95 mtr pdc 8 Inc</t>
  </si>
  <si>
    <t>Target kedalaman 120 mtr</t>
  </si>
  <si>
    <t>Pasang pompa panel permanen</t>
  </si>
  <si>
    <t>Logging dan konstruksi</t>
  </si>
  <si>
    <t>Spulling, angkat semua stangbor logging</t>
  </si>
  <si>
    <t>ngelubangin kesing 6 inc 9 batang pake bor, benerin swipel + ganti packing</t>
  </si>
  <si>
    <t>Progress kedalaman 54 mtr, reaming 12 Inc</t>
  </si>
  <si>
    <t>Progress kedalaman 56 mtr  Reaming 12 inch</t>
  </si>
  <si>
    <t>progress kedalaman 76 mtr</t>
  </si>
  <si>
    <t>Progress kedalaman 168 mtr mata bor 10 Inch</t>
  </si>
  <si>
    <t>Libur karena logging di Salira</t>
  </si>
  <si>
    <t>Progress kedalaman 81,50 mtr</t>
  </si>
  <si>
    <t>Service NS dan ganti dinamo yang kebakar</t>
  </si>
  <si>
    <t>progres kedalaman 137 M</t>
  </si>
  <si>
    <t>progres kedalaman sudah 51 Mtr</t>
  </si>
  <si>
    <t>progres kedalaman sudah 60 mtr</t>
  </si>
  <si>
    <t>Check and recheck kembali</t>
  </si>
  <si>
    <t>progress kedalaman 83 mtr</t>
  </si>
  <si>
    <t>pasang pompa dan mobilisasi alat</t>
  </si>
  <si>
    <t>baru selesai service ballvave</t>
  </si>
  <si>
    <t>Progress kedalaman 82,20 mtr</t>
  </si>
  <si>
    <t>progres kedalaman 138 M</t>
  </si>
  <si>
    <t>progres kedalaman sudah 75 mtr</t>
  </si>
  <si>
    <t>Team Aris</t>
  </si>
  <si>
    <t>progres kedalaman 50 M mata bor 4 inch</t>
  </si>
  <si>
    <t>ngreming pake matabor trikon sampai kdalaman 42 meter</t>
  </si>
  <si>
    <t>progres kedalaman 35 M</t>
  </si>
  <si>
    <t>kendala masih waterlos</t>
  </si>
  <si>
    <t xml:space="preserve">tinggal ngakalin stangbor </t>
  </si>
  <si>
    <t>progress kedalaman 100 mtr</t>
  </si>
  <si>
    <t>Progress kedalaman 57 mtr  Reaming 12 inch</t>
  </si>
  <si>
    <t>kendala rel sling patah</t>
  </si>
  <si>
    <t>Progress kedalaman 171,5 mtr mata bor 10 Inch</t>
  </si>
  <si>
    <t>Progress kedalaman 83 mtr</t>
  </si>
  <si>
    <t>masih ngakalin water los kedalaman 48 M</t>
  </si>
  <si>
    <t>stangbor patah di kedalaman 40 M</t>
  </si>
  <si>
    <t>progres kedalaman 90 M mata bor 4 inch</t>
  </si>
  <si>
    <t>persiapan casing</t>
  </si>
  <si>
    <t>progres kedalaman sudah 84 mtr</t>
  </si>
  <si>
    <t>progress kedalaman 103 mtr</t>
  </si>
  <si>
    <t>progres kedalaman 110 M mata bor 4 inch</t>
  </si>
  <si>
    <t>stangbor yg patah sudah terangkat</t>
  </si>
  <si>
    <t>Progress kedalaman 84,5 mtr</t>
  </si>
  <si>
    <t>perbaikan ns</t>
  </si>
  <si>
    <t>pembersiha lubang bor dengan di spul</t>
  </si>
  <si>
    <t>progres reaming 5 inch di 45 M</t>
  </si>
  <si>
    <t>kendala terjepit terus</t>
  </si>
  <si>
    <t>belum selesai ngelas mata bor kendala hujan terus</t>
  </si>
  <si>
    <t>reaming matabor trikon sampai kdalaman 49 meter</t>
  </si>
  <si>
    <t>reaming matabor trikon sampai kdalaman 48 meter</t>
  </si>
  <si>
    <t>progres kedalaman sudah 98 mtr</t>
  </si>
  <si>
    <t>angkat stangbor baru ke angkat 20 btg dan buat pancingan</t>
  </si>
  <si>
    <t>reaming matabor trikon sampai kdalaman 50 meter</t>
  </si>
  <si>
    <t>baru selesai ngelas mata bor</t>
  </si>
  <si>
    <t>pengurasan air supaya bersih</t>
  </si>
  <si>
    <t xml:space="preserve">angat stangbor buat ganti mata bor </t>
  </si>
  <si>
    <t>Progress kedalaman 86 mtr</t>
  </si>
  <si>
    <t>belum ada penambahan progres masih sering terjepit</t>
  </si>
  <si>
    <t>minta polimer</t>
  </si>
  <si>
    <t>pengelasan stang bor</t>
  </si>
  <si>
    <t>nunggu pipa buat kontruksi</t>
  </si>
  <si>
    <t>progres reaming kedalaman 60 M mata bor 8 inch</t>
  </si>
  <si>
    <t>120 M</t>
  </si>
  <si>
    <t>baru terangkat 6 btg</t>
  </si>
  <si>
    <t>reaming matabor trikon sampai kdalaman 51 meter</t>
  </si>
  <si>
    <t>Progress kedalaman 60 mtr  Reaming 12 inch</t>
  </si>
  <si>
    <t>reaming mata bor tricon baru 71 M</t>
  </si>
  <si>
    <t>Progress kedalaman 86.50 mtr</t>
  </si>
  <si>
    <t xml:space="preserve">masih ngelasin pipa bor </t>
  </si>
  <si>
    <t>progres reaming kedalaman 80 M mata bor 8 inch</t>
  </si>
  <si>
    <t>masih ngakalain pipa bor yang patah</t>
  </si>
  <si>
    <t>reaming matabor trikon sampai kdalaman 51,5 meter</t>
  </si>
  <si>
    <t>kendala kabel power panas</t>
  </si>
  <si>
    <t>Progress kedalaman 70 mtr  Reaming 12 inch</t>
  </si>
  <si>
    <t>Progress kedalaman 65 mtr  Reaming 12 inch</t>
  </si>
  <si>
    <t>Progress kedalaman 66,5 mtr  Reaming 12 inch</t>
  </si>
  <si>
    <t>reaming mata bor tricon baru 155 M</t>
  </si>
  <si>
    <t>reaming mata bor tricon tinggal satu batang lagi sampai bottom</t>
  </si>
  <si>
    <t>Progress kedalaman 87 mtr</t>
  </si>
  <si>
    <t xml:space="preserve">masih buat coring </t>
  </si>
  <si>
    <t>progres kedalaman 143 M</t>
  </si>
  <si>
    <t>ngakalin pipa bor yang patah baru ke angkat 40 btg</t>
  </si>
  <si>
    <t>rencana di kasing dan pumping test</t>
  </si>
  <si>
    <t>progres ngoring 5 inch di kedalaman 46,50 M</t>
  </si>
  <si>
    <t>progres reaming kedalaman 120 M mata bor 8 inch</t>
  </si>
  <si>
    <t>progres ngoring 5 inch di kedalaman 46 M</t>
  </si>
  <si>
    <t>Progress kedalaman 72 mtr  Reaming 12 inch</t>
  </si>
  <si>
    <t>reaming mata bor tricon baru 181 M</t>
  </si>
  <si>
    <t>rencana besok kontruksi dan logging</t>
  </si>
  <si>
    <t>progres ngoring 5 inch di kedalaman 46,70 M</t>
  </si>
  <si>
    <t>masih ngakalin pipa bor yg patah</t>
  </si>
  <si>
    <t>rencana besok kontruksi</t>
  </si>
  <si>
    <t>masih ngakalin pipa bor</t>
  </si>
  <si>
    <t>Water lost</t>
  </si>
  <si>
    <t>Baru terangkat 5 btg</t>
  </si>
  <si>
    <t>di susul menggunakan tap sudah kena dan terangkat 2 batang</t>
  </si>
  <si>
    <t>angkat pompa dan pasang penggerak kembali</t>
  </si>
  <si>
    <t>Progress kedalaman 75 mtr  Reaming 12 inch</t>
  </si>
  <si>
    <t>ngurug tanah karena masih waterlos</t>
  </si>
  <si>
    <t>pipa bor baru terangkat 23 btg</t>
  </si>
  <si>
    <t>sisa 35 btg lagi</t>
  </si>
  <si>
    <t>ambil pipa pvc, hari ini baru bisa kontruksi</t>
  </si>
  <si>
    <t>baru ngediriin menara kembali</t>
  </si>
  <si>
    <t xml:space="preserve">naikan pipa bor </t>
  </si>
  <si>
    <t>pipa bor yang patah udah terangkat tinggal di naikan</t>
  </si>
  <si>
    <t>pengelasan stangbor dan setting alat</t>
  </si>
  <si>
    <t>pengecoran untuk menutup waterlos</t>
  </si>
  <si>
    <t>Progress kedalaman 80 mtr  Reaming 12 inch</t>
  </si>
  <si>
    <t>service ns dan turun mata bor 4 inch baru 17 btg</t>
  </si>
  <si>
    <t>progress kedalaman 105 mtr</t>
  </si>
  <si>
    <t>Progress Pengeboran 53 Mtr pakai PDC 4 Inch</t>
  </si>
  <si>
    <t>Progress pengeboran 54 Mtr pakai PDC 4 Inch</t>
  </si>
  <si>
    <t>Kendala pormasi masih keras</t>
  </si>
  <si>
    <t>Progress kedalaman 56 mtr pakai PDC 4 Inch</t>
  </si>
  <si>
    <t>Progress pengeboran 58 mtr pakai PDC Inch</t>
  </si>
  <si>
    <t>Service swipel ganti packing swipel</t>
  </si>
  <si>
    <t>Progress kedalaman 95 mtr reaming 12 Inch</t>
  </si>
  <si>
    <t>Progress kedalaman 100 mtr reaming 12 Inch</t>
  </si>
  <si>
    <t>Kendala hujan terus,  patah pipa kedalaman 76 (baru beres bikin alat)</t>
  </si>
  <si>
    <t>Kendala hujan terus belum bisa keangkat matabor nya</t>
  </si>
  <si>
    <t>Progress kedalaman 109 mtr</t>
  </si>
  <si>
    <t>Kendala hujan terus</t>
  </si>
  <si>
    <t>Progress kedalaman 110 mtr</t>
  </si>
  <si>
    <t>Kendala batuan keras reming dapat 1 mtr</t>
  </si>
  <si>
    <t>Progress kedalaman 112 mtr</t>
  </si>
  <si>
    <t>Reming bornya putus lalu diangkat lanjut turunkan pipa pancingan berhasil</t>
  </si>
  <si>
    <t>Belum ada progress</t>
  </si>
  <si>
    <t>Kendala hujan terus, water lose, bor kering</t>
  </si>
  <si>
    <t>Belum ada info progress kedalaman</t>
  </si>
  <si>
    <t>Progress kedalaman 46,9 mtr cuma bisa nambah 10 cm</t>
  </si>
  <si>
    <t>Kendala waterlose, sudah di cor tunggu kering</t>
  </si>
  <si>
    <t>Progress kedalaman 87 mtr, belum ada tambahan progress</t>
  </si>
  <si>
    <t>Kendala masih cek permukaan air ada di 53 mtr, turun mata bor jagung 8 Inch buat reming</t>
  </si>
  <si>
    <t>Kendala reming dari kedalaman 25 sampai 50 mata bor terus makan, kemungkinan lubang masih gak lurus</t>
  </si>
  <si>
    <t>Belum ada info progress</t>
  </si>
  <si>
    <t>Belum ada info report progress dari petugas yg disampaikan</t>
  </si>
  <si>
    <t>Kendalanya lagi mngakalin pipa yg patah dikedalam 76,50 mtr</t>
  </si>
  <si>
    <t>Solikin</t>
  </si>
  <si>
    <t>Saepul</t>
  </si>
  <si>
    <t xml:space="preserve">spuling tapi pasiran gak naik perlu di kenalkan </t>
  </si>
  <si>
    <t>req bentonit</t>
  </si>
  <si>
    <t>progres reaming 5 inch di kedalaman 70 M</t>
  </si>
  <si>
    <t>reaming ulang kembali untuk naikan lumpur</t>
  </si>
  <si>
    <t xml:space="preserve">spuling </t>
  </si>
  <si>
    <t>pembersihan lubang bor kembali karena urug</t>
  </si>
  <si>
    <t>pembersihan lubang bor kembali</t>
  </si>
  <si>
    <t>pipa bor udah terangkat kembali</t>
  </si>
  <si>
    <t>reaming kwmbali untuk naikan lumpur</t>
  </si>
  <si>
    <t>reaming udah 120 M</t>
  </si>
  <si>
    <t>libur nunggu jadwal kontruksi</t>
  </si>
  <si>
    <t>progres kedalaman 114 M</t>
  </si>
  <si>
    <t>progres kedalaman 116 M</t>
  </si>
  <si>
    <t>Progress kedalaman 60 mtr pakai PDC 4 Inch</t>
  </si>
  <si>
    <t>masih ngakalin pipa stangbor yng patah</t>
  </si>
  <si>
    <t>laporan harian tidak sinkron dengan pernyataan terakhir</t>
  </si>
  <si>
    <t xml:space="preserve">turun coring lagi ngambil batuan yang urug </t>
  </si>
  <si>
    <t>progres reaming 5 inch di kedalaman 70,6 M</t>
  </si>
  <si>
    <t>progres kedalaman 119 M</t>
  </si>
  <si>
    <t>Progress kedalaman 61 mtr pakai PDC 4 Inch</t>
  </si>
  <si>
    <t>progres reaming 5 inch di kedalaman 70,9 M</t>
  </si>
  <si>
    <t>ganti stangbor yang dari wonokoyo</t>
  </si>
  <si>
    <t>buat alat untuk ngakalin stangbor yang patah</t>
  </si>
  <si>
    <t>progres kedalaman 124 M</t>
  </si>
  <si>
    <t>buat coring kembali karena matanya habis</t>
  </si>
  <si>
    <t>masih naikan batuan yang jatuh</t>
  </si>
  <si>
    <t>progres reaming 5 inch di kedalaman 71,5 M</t>
  </si>
  <si>
    <t>pembersihan lubang bor</t>
  </si>
  <si>
    <t>rencana pumping test</t>
  </si>
  <si>
    <t>sudah selesai kontruksi tinggal pengurasan</t>
  </si>
  <si>
    <t>stangbor baru turun 40 M mata bor 4 inch</t>
  </si>
  <si>
    <t>pasang jalur air dan pengelasa sok</t>
  </si>
  <si>
    <t>progres reaming 5 inch di kedalaman 72,6 M</t>
  </si>
  <si>
    <t>progres reaming 5 inch di kedalaman 72 M</t>
  </si>
  <si>
    <t>taff udah nyangkut di pipa stangbor di bantu dongkrak karena tertimbun pasir</t>
  </si>
  <si>
    <t>masih dalam proses dongkrak</t>
  </si>
  <si>
    <t xml:space="preserve">setting alat kembali dan service </t>
  </si>
  <si>
    <t>dinamo penggerak</t>
  </si>
  <si>
    <t>Progress kedalaman 62 mtr pakai PDC 4 Inch</t>
  </si>
  <si>
    <t>hari sabtu ngecor untuk nutup yang waterloss</t>
  </si>
  <si>
    <t>butuh pompa buat pumping</t>
  </si>
  <si>
    <t>progres reaming 5 inch di kedalaman 73,7 M</t>
  </si>
  <si>
    <t>total kedalaman mata bor 4 inc 92 M</t>
  </si>
  <si>
    <t xml:space="preserve">pengurasan </t>
  </si>
  <si>
    <t>Team Pak Darminto</t>
  </si>
  <si>
    <t>Progres kedalaman sudah 24 M mata bor 6 inch</t>
  </si>
  <si>
    <t>Progres kedalaman sudah 40 M mata bor 4 inch</t>
  </si>
  <si>
    <t>Progress kedalaman 63 mtr pakai PDC 4 Inch</t>
  </si>
  <si>
    <t>Progress pengeboran 100 mtr</t>
  </si>
  <si>
    <t>Perlu pipa glv 1 atau 1 1/4" spindo merah perlu 12 btg, shok jika diperlukan kirim dongkrak 50 ton pakai handoyo</t>
  </si>
  <si>
    <t>Kendala putus pipa di kedlaman 76 mtr, msh dlm thp spuling baru 81 mtr</t>
  </si>
  <si>
    <t>Progress pengeboran 74,5 M</t>
  </si>
  <si>
    <t>Kendala batuan keras, bor jalan terus, permukaan air ada dikedalaman 15 mtr</t>
  </si>
  <si>
    <t>Progress pengeboran 64,5 mtr pake PDC 4 Inc dapat 1,5 mtr</t>
  </si>
  <si>
    <t>Progress pengeboran 94 mtr</t>
  </si>
  <si>
    <t>Kendala keras gak empuk juga gak, stang bor nya sisa 1 mtr</t>
  </si>
  <si>
    <t>Menurunkan pipa sepul pake pompa baru putus dan sisa 14 batang</t>
  </si>
  <si>
    <t>mata bor yang patah baru terangkat</t>
  </si>
  <si>
    <t>Progress pengeboran 65,5 mtr pake PDC 4 Inc</t>
  </si>
  <si>
    <t>Progress pengeboran 95 mtr</t>
  </si>
  <si>
    <t>bor ulang kedalaman 32 m dengan mata bor 5 inch</t>
  </si>
  <si>
    <t>Progres kedalaman sudah 40 M mata bor 6 inch</t>
  </si>
  <si>
    <t>Progres kedalaman sudah 58 M mata bor 6 inch</t>
  </si>
  <si>
    <t>Progres kedalaman sudah 100 M mata bor 4 inch</t>
  </si>
  <si>
    <t xml:space="preserve">buat coringan </t>
  </si>
  <si>
    <t>service pipa bor banyak yg patah</t>
  </si>
  <si>
    <t>Progress pengeboran 75,8 M</t>
  </si>
  <si>
    <t>Progress pengeboran 75,2 M</t>
  </si>
  <si>
    <t>Progress pengeboran 66,5 mtr pake PDC 4 Inc</t>
  </si>
  <si>
    <t xml:space="preserve">kendala sulkop patah </t>
  </si>
  <si>
    <t>Demob</t>
  </si>
  <si>
    <t>progres kedalaman koring 5 inch di 43 M</t>
  </si>
  <si>
    <t>spull ulang</t>
  </si>
  <si>
    <t>Progres kedalaman sudah 85 M mata bor 6 inch</t>
  </si>
  <si>
    <t>kedalaman sudah 120 M</t>
  </si>
  <si>
    <t>Progress pengeboran 77,3 M</t>
  </si>
  <si>
    <t>progres kedalaman koring 5 inch di 44 M</t>
  </si>
  <si>
    <t>Progres kedalaman sudah 120 M mata bor 6 inch</t>
  </si>
  <si>
    <t>rencana kontruksi</t>
  </si>
  <si>
    <t>pemasangan gravel</t>
  </si>
  <si>
    <t>Progress pengeboran 79 M</t>
  </si>
  <si>
    <t>Progress pengeboran 67,5 mtr pake PDC 4 Inc</t>
  </si>
  <si>
    <t>Progress pengeboran 68,5 mtr pake PDC 4 Inc</t>
  </si>
  <si>
    <t>Progress pengeboran 81,5 M</t>
  </si>
  <si>
    <t>Progress pengeboran 69,25 mtr pake PDC 4 Inc</t>
  </si>
  <si>
    <t xml:space="preserve">persiapan pumping </t>
  </si>
  <si>
    <t>spuling dn grouting</t>
  </si>
  <si>
    <t>Progress pengeboran 82,5 M</t>
  </si>
  <si>
    <t>angkat smua stang bor, reming 4 inch dapat 3 meter</t>
  </si>
  <si>
    <t>hari kamis pumping test</t>
  </si>
  <si>
    <t>Progress pengeboran 96 mtr</t>
  </si>
  <si>
    <t>nunggu listrik</t>
  </si>
  <si>
    <t>spuling dan pengangkatan stangbor</t>
  </si>
  <si>
    <t xml:space="preserve">pengecoran </t>
  </si>
  <si>
    <t>Progress pengeboran 85,7 M</t>
  </si>
  <si>
    <t>Progress pengeboran 84 M</t>
  </si>
  <si>
    <t>Progress reaming 58 M</t>
  </si>
  <si>
    <t>Progress reaming 62 M</t>
  </si>
  <si>
    <t>Progress pengeboran 96,5mtr</t>
  </si>
  <si>
    <t>Progress pengeboran 97 mtr</t>
  </si>
  <si>
    <t>pengurugan tanah ke lubang bor</t>
  </si>
  <si>
    <t>kedalaman 110 untuk uji pumping</t>
  </si>
  <si>
    <t>Progress pengeboran 86 M</t>
  </si>
  <si>
    <t>proses pengecoran untuk nutup water los</t>
  </si>
  <si>
    <t>Progress reaming 64 M</t>
  </si>
  <si>
    <t>Progress pengeboran 97,5 mtr</t>
  </si>
  <si>
    <t>pumping test dengan orang pdam</t>
  </si>
  <si>
    <t>las cleam mata bor tricon jagung, perbaiki swipel, perbaiki seal ns, las clamp stang bor</t>
  </si>
  <si>
    <t>Progress reaming 66 M</t>
  </si>
  <si>
    <t>angkat stangbor ganti mata bor pdc 4 inch</t>
  </si>
  <si>
    <t>progres kedalaman 54, mata bor pdc 4 inch</t>
  </si>
  <si>
    <t>perbaiki mcb, stang bor pdc, butuh mcb 60 a, takel 10 ton, clamp st bor</t>
  </si>
  <si>
    <t>sampai hari senin</t>
  </si>
  <si>
    <t>spuling pembersihan lubang bor</t>
  </si>
  <si>
    <t>Progress reaming 68 M</t>
  </si>
  <si>
    <t>Progress pengeboran 99,7 mtr</t>
  </si>
  <si>
    <t>Progress pengeboran 98,7 mtr</t>
  </si>
  <si>
    <t>Progress pengeboran 98,2 mtr</t>
  </si>
  <si>
    <t>Progress pengeboran 97,8 mtr</t>
  </si>
  <si>
    <t>pengurasan sumur bor</t>
  </si>
  <si>
    <t>Team Pak Danton</t>
  </si>
  <si>
    <t xml:space="preserve">progres reaming pake mata bor tricone 68,5 M </t>
  </si>
  <si>
    <t xml:space="preserve">progres reaming pake mata bor tricone 70 M </t>
  </si>
  <si>
    <t>Progress pengeboran 71.20 M matabor tricone</t>
  </si>
  <si>
    <t>Progress pengeboran 100.9 mtr</t>
  </si>
  <si>
    <t>Progress pengeboran 72.50 M matabor 6 Inc tricone</t>
  </si>
  <si>
    <t>listrik hari kamis di pasang</t>
  </si>
  <si>
    <t>Progress pengeboran 73.30 M matabor 6 Inc tricone</t>
  </si>
  <si>
    <t>Progress pengeboran 102 mtr</t>
  </si>
  <si>
    <t>stangbor udah bisa muter kembali</t>
  </si>
  <si>
    <t>masih ngangkutin alat</t>
  </si>
  <si>
    <t>Progress pengeboran 75 M matabor 6 Inc tricone</t>
  </si>
  <si>
    <t>Progress pengeboran 102,3 mtr</t>
  </si>
  <si>
    <t>Team Pak Dayat</t>
  </si>
  <si>
    <t>perapihan lokasi bor dan pembuatan spul bak</t>
  </si>
  <si>
    <t>setting mesin</t>
  </si>
  <si>
    <t>Kotoran tidak naik (bebatuan keras)</t>
  </si>
  <si>
    <t>Progress pengeboran 76,8 M matabor 6 Inc tricone</t>
  </si>
  <si>
    <t>Progress pengeboran 78,7 M matabor 6 Inc tricone</t>
  </si>
  <si>
    <t>Progress pengeboran 103 mtr</t>
  </si>
  <si>
    <t>Progress pengeboran 103,6 mtr</t>
  </si>
  <si>
    <t>baru di belikan kabel hari ini</t>
  </si>
  <si>
    <t>masih berusaha di spul dan di dongkrak</t>
  </si>
  <si>
    <t>pemasangan gravel dan pengecoran</t>
  </si>
  <si>
    <t>kirm dinamo</t>
  </si>
  <si>
    <t>seting mesin</t>
  </si>
  <si>
    <t>Progress pengeboran 86 M matabor 6 Inc tricone</t>
  </si>
  <si>
    <t>service gardan dan ganti sling</t>
  </si>
  <si>
    <t>masih ngakalin pipa yang terjepit dengan di dongrak</t>
  </si>
  <si>
    <t>progres kedalaman sudah di 1 M</t>
  </si>
  <si>
    <t>pasang listrik sementara</t>
  </si>
  <si>
    <t>bantu pasang elektroda  , bongkar alat dan urug kembali spul bak</t>
  </si>
  <si>
    <t>Progress pengeboran 105 mtr</t>
  </si>
  <si>
    <t>angkut alat ke pinggir jalan</t>
  </si>
  <si>
    <t xml:space="preserve">masih coba di dongkrak </t>
  </si>
  <si>
    <t>progres kedalaman 24 M mata bor 6 inch</t>
  </si>
  <si>
    <t>pengangkatan mata stangbor  dan perbaikan swifel</t>
  </si>
  <si>
    <t>Progress pengeboran 107 mtr</t>
  </si>
  <si>
    <t>ngangkutin alat</t>
  </si>
  <si>
    <t>buat kleman dan sambungan swifel</t>
  </si>
  <si>
    <t>sudah selesai pemasangan pompa</t>
  </si>
  <si>
    <t>progres kedalaman sudah di 1,5 M</t>
  </si>
  <si>
    <t>progres kedalaman 42 M mata bor 6 inch</t>
  </si>
  <si>
    <t xml:space="preserve">progres kedalaman 20 M </t>
  </si>
  <si>
    <t>beli tabung coring dan buat coringan</t>
  </si>
  <si>
    <t>Progress pengeboran 108 mtr</t>
  </si>
  <si>
    <t>sudah selesai angkut alat</t>
  </si>
  <si>
    <t>hari ini rencana libur pulang dulu</t>
  </si>
  <si>
    <t>progres kedalaman sudah di 14 M</t>
  </si>
  <si>
    <t>progres kedalaman 57 M mata bor 6 inch</t>
  </si>
  <si>
    <t xml:space="preserve">progres kedalaman 21 M </t>
  </si>
  <si>
    <t>Progress kedalaman sudah 19 Mtr</t>
  </si>
  <si>
    <t>Progress kedalaman sudah 24 Mtr</t>
  </si>
  <si>
    <t>Progress kedalaman sudah 35Mtr</t>
  </si>
  <si>
    <t>Tidak ada progress lapaoran</t>
  </si>
  <si>
    <t>Belum ada update laporan progress</t>
  </si>
  <si>
    <t>Progress kedalaman 63 M mata bor 6 inch</t>
  </si>
  <si>
    <t>Progress kedalaman 66 M mata bor 6 inch</t>
  </si>
  <si>
    <t>Progress kedalaman 78 M mata bor 6 inch</t>
  </si>
  <si>
    <t>Libur, karena ada larangan masuk dari petugas kantor BDX</t>
  </si>
  <si>
    <t>Libur puasa pertama</t>
  </si>
  <si>
    <t>Progress kedalaman 98 M mata bor 6 inch</t>
  </si>
  <si>
    <t>Progress pengeboran 112,5 mtr</t>
  </si>
  <si>
    <t>Progress pengeboran 111,5 mtr</t>
  </si>
  <si>
    <t>Progress pengeboran 110 mtr</t>
  </si>
  <si>
    <t>Progress pengeboran 109 mtr</t>
  </si>
  <si>
    <t>cor untuk nutup waterlos</t>
  </si>
  <si>
    <t>pindah titik udah di kedalaman 22 M</t>
  </si>
  <si>
    <t>Team Pak Eful</t>
  </si>
  <si>
    <t xml:space="preserve">ngangkutin alat ke lokasi bor </t>
  </si>
  <si>
    <t>gali spul bak dan dirikan menara</t>
  </si>
  <si>
    <t>Progress kedalaman sudah 38Mtr</t>
  </si>
  <si>
    <t>ns ada trouble , lagi di service dulu</t>
  </si>
  <si>
    <t>pakai dth</t>
  </si>
  <si>
    <t>kirim dth</t>
  </si>
  <si>
    <t>spul kedalaman 27 meter</t>
  </si>
  <si>
    <t>spul kedalaman 22 meter</t>
  </si>
  <si>
    <t>spul kedalaman 19 meter</t>
  </si>
  <si>
    <t>Progress pengeboran 113,5 mtr</t>
  </si>
  <si>
    <t xml:space="preserve">baru terangkat 1 batang </t>
  </si>
  <si>
    <t>perbaikan swifel</t>
  </si>
  <si>
    <t>Progress kedalaman 116 M mata bor 6 inch</t>
  </si>
  <si>
    <t>setting alat dan pembuatan spulbak</t>
  </si>
  <si>
    <t>progres kedalaman mata bor 6 inch tricon gigi 41 M</t>
  </si>
  <si>
    <t>perbaikan stangbor , tambahin widia di coring dan nurunin coring 6 inch</t>
  </si>
  <si>
    <t>setting mesin dan pembuatan spulbak</t>
  </si>
  <si>
    <t>Progress kedalaman 129 M mata bor 6 inch</t>
  </si>
  <si>
    <t>spul kedalaman 30 meter</t>
  </si>
  <si>
    <t>Progress pengeboran 114,3 mtr</t>
  </si>
  <si>
    <t>turun coring tapi masih nyangkut dan stak di 70 M</t>
  </si>
  <si>
    <t xml:space="preserve">buat mata bor baru kombinasi 4 inch dan 6 inch </t>
  </si>
  <si>
    <t>Progress kedalaman sudah 39Mtr</t>
  </si>
  <si>
    <t>Progress kedalaman sudah 41Mtr</t>
  </si>
  <si>
    <t>Progress kedalaman sudah 45Mtr</t>
  </si>
  <si>
    <t>spul kedalaman 36 meter</t>
  </si>
  <si>
    <t>Progress kedalaman 135 M mata bor 6 inch</t>
  </si>
  <si>
    <t xml:space="preserve">mobdemob minggu malam tgl 9 </t>
  </si>
  <si>
    <t>plester spulbak dan isi air ke tampungan</t>
  </si>
  <si>
    <t>progres kedalaman mata bor 8 inch  42 M</t>
  </si>
  <si>
    <t>progres kedalaman mata bor 8 inch  45 M</t>
  </si>
  <si>
    <t>progres kedalaman 6 M Tricon Gigi 8 inc</t>
  </si>
  <si>
    <t>Progress kedalaman 153 M mata bor 6 inch</t>
  </si>
  <si>
    <t>spul kedalaman 42 meter</t>
  </si>
  <si>
    <t>Progress kedalaman sudah 47Mtr</t>
  </si>
  <si>
    <t>reaming coring pdc 5 7/9 kedalaman 84 m</t>
  </si>
  <si>
    <t>reaming coring pdc 5 7/8 kedalaman 80 m</t>
  </si>
  <si>
    <t>Progress pengeboran 114,8 mtr</t>
  </si>
  <si>
    <t xml:space="preserve">buat klaim di coba ga kuat, </t>
  </si>
  <si>
    <t>target 65 meter</t>
  </si>
  <si>
    <t>selasa minta di logging</t>
  </si>
  <si>
    <t>minta ns 80</t>
  </si>
  <si>
    <t>Progress pengeboran 115 mtr</t>
  </si>
  <si>
    <t>Progress pengeboran 117 mtr</t>
  </si>
  <si>
    <t>progres kedalaman 14 M Tricon Gigi 8 inc</t>
  </si>
  <si>
    <t>progres kedalaman 21 M Tricon Gigi 8 inc</t>
  </si>
  <si>
    <t>progres kedalaman mata bor 8 inch  55 M</t>
  </si>
  <si>
    <t>progres kedalaman mata bor 8 PDC inch  41 M</t>
  </si>
  <si>
    <t>progres kedalaman mata bor 8 PDC inch  65 M</t>
  </si>
  <si>
    <t>Progress kedalaman 160 M mata bor 6 inch</t>
  </si>
  <si>
    <t>spul kedalaman 48 meter</t>
  </si>
  <si>
    <t>spul kedalaman 45 meter</t>
  </si>
  <si>
    <t xml:space="preserve">pipa bor udah terangkat 11 btg </t>
  </si>
  <si>
    <t>sisa 2 btg dan coring serta pdc 4 inch</t>
  </si>
  <si>
    <t>Progress kedalaman sudah 53 Mtr</t>
  </si>
  <si>
    <t>Progress kedalaman sudah 54 Mtr mata bor pdc 8 inch</t>
  </si>
  <si>
    <t>progres kedalaman mata bor 8 PDC inch  71 M</t>
  </si>
  <si>
    <t>progres kedalaman 26 M Tricon Gigi 8 inc</t>
  </si>
  <si>
    <t>mobilisasi alat dth</t>
  </si>
  <si>
    <t>spul kedalaman 51 meter</t>
  </si>
  <si>
    <t>kendala waterlos</t>
  </si>
  <si>
    <t>reaming coring pdc 5 7/9 kedalaman 87 m</t>
  </si>
  <si>
    <t>Progress kedalaman sudah 56 Mtr mata bor pdc 8 inch</t>
  </si>
  <si>
    <t>Progress pengeboran 118,5 mtr</t>
  </si>
  <si>
    <t>progres kedalaman mata bor 8 PDC inch  82 M</t>
  </si>
  <si>
    <t>angkat dan turun stangbor untuk ganti mata bor</t>
  </si>
  <si>
    <t>spul kedalaman 57 meter</t>
  </si>
  <si>
    <t>turun stangbor buat puter kiri memakai tap</t>
  </si>
  <si>
    <t>perbaikan mata bor dan nurunin mata bor kembali</t>
  </si>
  <si>
    <t>Progress kedalaman sudah 56,5 Mtr mata bor pdc 8 inch</t>
  </si>
  <si>
    <t>Progress pengeboran 120,3 mtr</t>
  </si>
  <si>
    <t>Progress pengeboran 121,5 mtr</t>
  </si>
  <si>
    <t>reaming coring pdc 5 7/9 kedalaman 87,7 m</t>
  </si>
  <si>
    <t>angkat stangbor puter kiri baru terangkat 7 btg</t>
  </si>
  <si>
    <t>reaming kedalaman 40 M mata bor 9 inch</t>
  </si>
  <si>
    <t>progres kedalaman 42 M mata bor triwing 8 inch</t>
  </si>
  <si>
    <t>progres kedalaman mata bor 8 PDC inch  90 M</t>
  </si>
  <si>
    <t>angkat pipa spul dan persiapan dongkrak</t>
  </si>
  <si>
    <t>persiapan alat</t>
  </si>
  <si>
    <t>progres kedalaman mata bor 8 PDC inch  100 M</t>
  </si>
  <si>
    <t>progres kedalaman 51 M mata bor triwing 8 inch</t>
  </si>
  <si>
    <t xml:space="preserve">Pengeboran titik 2 kedalama 7 M </t>
  </si>
  <si>
    <t>reaming kedalaman 65 M mata bor 9 inch</t>
  </si>
  <si>
    <t>masih ngakalin stangbor sisa 1 batang dan coring</t>
  </si>
  <si>
    <t>reaming coring pdc 5 7/9 kedalaman 89 m</t>
  </si>
  <si>
    <t>Progress kedalaman sudah 58,5 Mtr mata bor pdc 8 inch</t>
  </si>
  <si>
    <t>Progress kedalaman sudah 69 Mtr mata bor pdc 8 inch</t>
  </si>
  <si>
    <t>angkat stangbor persiapan reaming</t>
  </si>
  <si>
    <t>baru selesai naikan stangbor</t>
  </si>
  <si>
    <t>Progress kedalaman sudah 80 Mtr mata bor pdc 8 inch</t>
  </si>
  <si>
    <t>masih proses ngakalin stangbor pakai tap kiri</t>
  </si>
  <si>
    <t>masih dalam proses ngedongkrak</t>
  </si>
  <si>
    <t>reaming kedalaman 86 M mata bor 9 inch</t>
  </si>
  <si>
    <t>pemasangan casing konduktor</t>
  </si>
  <si>
    <t>progres kedalaman 69 M mata bor triwing 8 inch</t>
  </si>
  <si>
    <t>reaming dengan tabung coring 8 inch kedalaman 40 M</t>
  </si>
  <si>
    <t>target 120</t>
  </si>
  <si>
    <t>turun mata bor coring 5 inch untuk reaming</t>
  </si>
  <si>
    <t>modifikasi mata bor</t>
  </si>
  <si>
    <t xml:space="preserve">angkat stangbor </t>
  </si>
  <si>
    <t>belum ada progres cuaca hujan terus</t>
  </si>
  <si>
    <t>di dongkrak naik 5 cm gak kuat dudukanya amblas</t>
  </si>
  <si>
    <t>reaming kedalaman 90 M mata bor 9 inch</t>
  </si>
  <si>
    <t>reaming kedalaman 110 M mata bor 9 inch</t>
  </si>
  <si>
    <t xml:space="preserve">pembuatan spulbak </t>
  </si>
  <si>
    <t>progres kedalaman 90 M mata bor triwing 8 inch</t>
  </si>
  <si>
    <t>progres kedalaman 96 M mata bor triwing 8 inch</t>
  </si>
  <si>
    <t>reaming dengan tabung coring 8 inch kedalaman 100 M</t>
  </si>
  <si>
    <t>Progress kedalaman sudah 82 Mtr mata bor pdc 8 inch</t>
  </si>
  <si>
    <t>Progress kedalaman sudah 83 Mtr mata bor pdc 8 inch</t>
  </si>
  <si>
    <t>kendala putaran dinamo rendah</t>
  </si>
  <si>
    <t xml:space="preserve">pemasangan casing </t>
  </si>
  <si>
    <t>Progress kedalaman sudah 86 Mtr mata bor pdc 8 inch</t>
  </si>
  <si>
    <t>reaming kedalaman 135 M mata bor 9 inch</t>
  </si>
  <si>
    <t>pengeboran sudah di kedalaman 12 M</t>
  </si>
  <si>
    <t>service swifel dan buat pelurus lubang</t>
  </si>
  <si>
    <t xml:space="preserve">reaming 5 inch </t>
  </si>
  <si>
    <t>reaming coring pdc 5 7/8 kedalaman 89,80 m</t>
  </si>
  <si>
    <t>reaming coring pdc 5 7/8 kedalaman 89,50 m</t>
  </si>
  <si>
    <t>reaming coring pdc 5 7/8 kedalaman 90 m</t>
  </si>
  <si>
    <t>service puly dinamo</t>
  </si>
  <si>
    <t>Progress kedalaman sudah 86,50 Mtr mata bor pdc 8 inch</t>
  </si>
  <si>
    <t>Progress kedalaman sudah 87 Mtr mata bor pdc 8 inch</t>
  </si>
  <si>
    <t>as kopel, lagi ngoring patah</t>
  </si>
  <si>
    <t>angkat pipa spul</t>
  </si>
  <si>
    <t>selesai angkat pipa spul</t>
  </si>
  <si>
    <t>proses pengeboran samping kedalaman 21 meter</t>
  </si>
  <si>
    <t>proses pengeboran samping kedalaman 22 meter</t>
  </si>
  <si>
    <t>reaming kedalaman 150 M mata bor 9 inch</t>
  </si>
  <si>
    <t>reaming kedalaman 163 M mata bor 9 inch</t>
  </si>
  <si>
    <t>progres kedalaman 113 M mata bor triwing 8 inch</t>
  </si>
  <si>
    <t>progres kedalaman 130 M mata bor triwing 8 inch</t>
  </si>
  <si>
    <t>progres kedalaman 152 M mata bor triwing 8 inch</t>
  </si>
  <si>
    <t>reaming kedalaman 91 M</t>
  </si>
  <si>
    <t>reaming kedalaman 96 M</t>
  </si>
  <si>
    <t>reaming kedalaman 98 M</t>
  </si>
  <si>
    <t>reaming kedalaman 100,5 M</t>
  </si>
  <si>
    <t>Progress kedalaman sudah 90 Mtr mata bor pdc 8 inch</t>
  </si>
  <si>
    <t>demob alat</t>
  </si>
  <si>
    <t>spuling dan pasang gravel</t>
  </si>
  <si>
    <t>tes pumping tapi pompa pumping lemah</t>
  </si>
  <si>
    <t>pengeboran sudah di kedalaman 27 M</t>
  </si>
  <si>
    <t>demob alat ke cemplang</t>
  </si>
  <si>
    <t>pasang pompa pumping</t>
  </si>
  <si>
    <t>Progress kedalaman sudah 93 Mtr mata bor pdc 8 inch</t>
  </si>
  <si>
    <t>proses pengeboran samping kedalaman 55,9 meter</t>
  </si>
  <si>
    <t>proses pengeboran samping kedalaman 52 meter</t>
  </si>
  <si>
    <t>proses pengeboran samping kedalaman 44 meter</t>
  </si>
  <si>
    <t>proses pengeboran samping kedalaman 23 meter</t>
  </si>
  <si>
    <t>Team Pak Kentung</t>
  </si>
  <si>
    <t>Team Pak Agus</t>
  </si>
  <si>
    <t>selesai perakitan besi team pak tono</t>
  </si>
  <si>
    <t>setting dan persiapan</t>
  </si>
  <si>
    <t>setting alat di titik 1</t>
  </si>
  <si>
    <t>dinamo ada yang nyolong</t>
  </si>
  <si>
    <t>progres kedalaman titik pertama 2 M mata bor 12 inch</t>
  </si>
  <si>
    <t>reaming kedalaman 103 M</t>
  </si>
  <si>
    <t xml:space="preserve">service ns </t>
  </si>
  <si>
    <t>pipa spul mentok di 55,9 M</t>
  </si>
  <si>
    <t>progres kedalaman titik pertama 0,5 M mata bor 8 inch</t>
  </si>
  <si>
    <t>demob alat elektro pak amin</t>
  </si>
  <si>
    <t>buat mata bor dapung</t>
  </si>
  <si>
    <t>pompa  sp 9-18 (47jt) / sp 9-16 (42jt)</t>
  </si>
  <si>
    <t>PP LONDON Bulukumba makasar</t>
  </si>
  <si>
    <t>BDX Taman Tekno titik 1</t>
  </si>
  <si>
    <t>BDX Taman Tekno titik 2</t>
  </si>
  <si>
    <t>082120342890</t>
  </si>
  <si>
    <t>082297181496</t>
  </si>
  <si>
    <t>081316484395</t>
  </si>
  <si>
    <t>087882243086</t>
  </si>
  <si>
    <t>sopian</t>
  </si>
  <si>
    <t>PUPR Sumedang</t>
  </si>
  <si>
    <t>085880229952/085722392674</t>
  </si>
  <si>
    <t>PT. BROCO Tangerang</t>
  </si>
  <si>
    <t>081297275112</t>
  </si>
  <si>
    <t>PT. LOTTE CEMICAL INDONESIA</t>
  </si>
  <si>
    <t>PT. SULFINDO</t>
  </si>
  <si>
    <t>081238180038</t>
  </si>
  <si>
    <t>081320151520</t>
  </si>
  <si>
    <t>Agus</t>
  </si>
  <si>
    <t>Kentug</t>
  </si>
  <si>
    <t>RS JANNAH Serang</t>
  </si>
  <si>
    <t>PT. ELBEKA Tangerang</t>
  </si>
  <si>
    <t>RS PRIMA MEDIKA LEGOK</t>
  </si>
  <si>
    <t>PT. TEP LAMPUNG</t>
  </si>
  <si>
    <t>PT. HK ACSET Probolingo</t>
  </si>
  <si>
    <t>081384604117</t>
  </si>
  <si>
    <t>epul</t>
  </si>
  <si>
    <t>sobirin</t>
  </si>
  <si>
    <t>ifan</t>
  </si>
  <si>
    <t>PT. SINAR MONAS</t>
  </si>
  <si>
    <t>085966333331</t>
  </si>
  <si>
    <t>08111203421</t>
  </si>
  <si>
    <t>085319823282</t>
  </si>
  <si>
    <t>082373089500</t>
  </si>
  <si>
    <t>PT. SSO ADR Group</t>
  </si>
  <si>
    <t>HIKMATULLAH</t>
  </si>
  <si>
    <t>PT. Gunung Langit Baja</t>
  </si>
  <si>
    <t>PT. Fujikura Kasei Indonesia</t>
  </si>
  <si>
    <t>Nasrullah</t>
  </si>
  <si>
    <t>Subcon</t>
  </si>
  <si>
    <t>Cancel</t>
  </si>
  <si>
    <t>DAK TYPE 1-1 Citasuk Padarincang</t>
  </si>
  <si>
    <t>DAK TYPE 1-2 Pontang</t>
  </si>
  <si>
    <t>DAK TYPE 1-3 Pontang</t>
  </si>
  <si>
    <t>persiapan untuk mulai kerja kembali , pasang pompa untuk ambil air sirkulasi</t>
  </si>
  <si>
    <t>persiapan mulai kerja kembali</t>
  </si>
  <si>
    <t>sudah mulai bor di kedalaman 87 M</t>
  </si>
  <si>
    <t xml:space="preserve">beres2 lokasi </t>
  </si>
  <si>
    <t>persiapkan service kompresor</t>
  </si>
  <si>
    <t>lanjut seperti biasa</t>
  </si>
  <si>
    <t>baru turun stangbor  23 btg tinggal 1 btg lagi sampe botom</t>
  </si>
  <si>
    <t>nunggu lagi order dinamo penggerak</t>
  </si>
  <si>
    <t>persiapan untuk puter kiri</t>
  </si>
  <si>
    <t>pengeboran sudah selesai 1 titik</t>
  </si>
  <si>
    <t>kontruksi titik 1</t>
  </si>
  <si>
    <t xml:space="preserve">perbaikan compressor </t>
  </si>
  <si>
    <t xml:space="preserve">estimasi 5 hari </t>
  </si>
  <si>
    <t xml:space="preserve">minta di buatkan kleman 6 inch </t>
  </si>
  <si>
    <t>masih persiapan puter kiri</t>
  </si>
  <si>
    <t>perlu sling untuk nyambung tackle</t>
  </si>
  <si>
    <t>reparasi mata bor 4 inch dan 5 inch</t>
  </si>
  <si>
    <t>progres 1 M</t>
  </si>
  <si>
    <t>total kedalaman reaming 110 M</t>
  </si>
  <si>
    <t>pengeboran titik ke 2 dan sudah kontruksi</t>
  </si>
  <si>
    <t>pengeboran sudah di kedalaman 50 M mata bor pdc 4 inch</t>
  </si>
  <si>
    <t>koordinasi pompa</t>
  </si>
  <si>
    <t>nunggu team</t>
  </si>
  <si>
    <t xml:space="preserve">pengeboran dapet 1 M minta ganti mata bor dan panel </t>
  </si>
  <si>
    <t>pemasangan koneksi listrik dan persiapan di lokasi</t>
  </si>
  <si>
    <t>buat pancingan untuk ngakalin pompa</t>
  </si>
  <si>
    <t>puter kiri masih keras belum ada perubahan</t>
  </si>
  <si>
    <t>service swifel</t>
  </si>
  <si>
    <t>total kedalaman reaming 111,5 M</t>
  </si>
  <si>
    <t>di bhc</t>
  </si>
  <si>
    <t>total kedalaman reaming 112,5 M</t>
  </si>
  <si>
    <t>setting alat sudah berdiri</t>
  </si>
  <si>
    <t>stangbor baru keangkat 2 btg</t>
  </si>
  <si>
    <t>angkat stangbor dan jangkar pancingan</t>
  </si>
  <si>
    <t xml:space="preserve">gali bak sirkulasi dan pasang dinamo </t>
  </si>
  <si>
    <t>total kedalaman reaming 114 M</t>
  </si>
  <si>
    <t>angkat coring dan terus turun coring</t>
  </si>
  <si>
    <t>pengeboran sudah dapet titik ke 6</t>
  </si>
  <si>
    <t>pengeboran sudah dapet titik ke 4</t>
  </si>
  <si>
    <t>pengeboran sudah dapet titik ke 5</t>
  </si>
  <si>
    <t>di berhentikan sementara untuk perapihan alat dapet 1 titik</t>
  </si>
  <si>
    <t>siapkan pompa sp 2-33</t>
  </si>
  <si>
    <t>beli pipa glv 4 inch</t>
  </si>
  <si>
    <t>total kedalaman reaming 115,5 M</t>
  </si>
  <si>
    <t>sudah mulai pengeboran dengan kedalaman 30 M</t>
  </si>
  <si>
    <t>off</t>
  </si>
  <si>
    <t>las tabung 4 inch ke jebakan</t>
  </si>
  <si>
    <t>pengeboran sudah dapet titik ke 7</t>
  </si>
  <si>
    <t>perbaikan dan setting alat</t>
  </si>
  <si>
    <t>progres kedalaman 10 M mata bor triwing 4 ke 8 inch</t>
  </si>
  <si>
    <t>total kedalaman reaming 116,5 M</t>
  </si>
  <si>
    <t>sudah mulai pengeboran dengan kedalaman 88 M</t>
  </si>
  <si>
    <t>pengeboran sudah dapet titik ke 9</t>
  </si>
  <si>
    <t>progres kedalaman 13 M mata bor triwing 4 ke 8 inch</t>
  </si>
  <si>
    <t>hari ini mulai</t>
  </si>
  <si>
    <t>stangbor baru keangkat 6 btg</t>
  </si>
  <si>
    <t>stangbor baru keangkat 3 btg</t>
  </si>
  <si>
    <t>total 11 batang</t>
  </si>
  <si>
    <t xml:space="preserve">tgl </t>
  </si>
  <si>
    <t>Ybm Biliant ds cilayang</t>
  </si>
  <si>
    <t>salim</t>
  </si>
  <si>
    <t>Kendala keras</t>
  </si>
  <si>
    <t>total kedalaman reaming 117,5 M</t>
  </si>
  <si>
    <t>sudah mulai pengeboran dengan kedalaman 93 M</t>
  </si>
  <si>
    <t>Stangbor baru ke angkat 4 btg</t>
  </si>
  <si>
    <t>total 15 batang</t>
  </si>
  <si>
    <t xml:space="preserve">Masukin pipa 4 inch dan pancingan </t>
  </si>
  <si>
    <t xml:space="preserve">Masukin stangbor 12 batang </t>
  </si>
  <si>
    <t>udah mentok di tambang yang ngegulung Cuma masuk 50 cm tidak mau masuk</t>
  </si>
  <si>
    <t>Masih tahap pengecoran 9 titik</t>
  </si>
  <si>
    <t>Kedalaman bor 4 meter titik ke 2</t>
  </si>
  <si>
    <t>progres kedalaman 16 M mata bor triwing 4 ke 8 inch</t>
  </si>
  <si>
    <t>pasang listrik sementara dan bikin mata bor</t>
  </si>
  <si>
    <t>tinggal nungu kabel</t>
  </si>
  <si>
    <t>total kedalaman reaming 118,5 M</t>
  </si>
  <si>
    <t>Mulai pengeboran masuk 40 cm</t>
  </si>
  <si>
    <t>Lapisan masih batu</t>
  </si>
  <si>
    <t>Pemasangan terpal+bikin mata bor</t>
  </si>
  <si>
    <t>Stangbor baru ke angkat 2 btg</t>
  </si>
  <si>
    <t>total 17 batang</t>
  </si>
  <si>
    <t>Angkat pancingan+stang bor</t>
  </si>
  <si>
    <t>Borhole kamera</t>
  </si>
  <si>
    <t>pemberian tawas</t>
  </si>
  <si>
    <t>Borhole kamera masih keruh blm bening</t>
  </si>
  <si>
    <t>Masih tahap pengecoran 10 titik</t>
  </si>
  <si>
    <t>Minta di opname/di cek 9 titik</t>
  </si>
  <si>
    <t>Kedalaman bor 8,5 meter titik ke 2</t>
  </si>
  <si>
    <t>total kedalaman reaming 119,5 M</t>
  </si>
  <si>
    <t>spulling lumpur yang mengendap di kedalaman 46 M</t>
  </si>
  <si>
    <t>Mulai pengeboran masuk 20 cm</t>
  </si>
  <si>
    <t>pengeboran mentok di 51,5 M</t>
  </si>
  <si>
    <t>borehole camera dan masukan capitan untuk mengurai tambang</t>
  </si>
  <si>
    <t>progres kedalaman 19 M mata bor triwing 4 ke 8 inch</t>
  </si>
  <si>
    <t>progres kedalaman 24 M mata bor triwing 4 ke 8 inch</t>
  </si>
  <si>
    <t>tabung coring</t>
  </si>
  <si>
    <t>coring segmen putih</t>
  </si>
  <si>
    <t>total kedalaman reaming 120,5 M</t>
  </si>
  <si>
    <t>Kendala keras, ngereaming trus di kuras</t>
  </si>
  <si>
    <t>total kedalaman reaming 121,5 M</t>
  </si>
  <si>
    <t xml:space="preserve">Mata bor terjepit trus, rencana di kuras Senin </t>
  </si>
  <si>
    <t>Nyabut dynamo dan pengeboran coring</t>
  </si>
  <si>
    <t>Pengeboran mentok di 52 M</t>
  </si>
  <si>
    <t>Masukin jebakan ke pipa 0,5 inch  tampangnya lepas dari capitan</t>
  </si>
  <si>
    <t>Angkat capitan semua</t>
  </si>
  <si>
    <t>Bikin jangkar buat narik tambangnya dan masukin jangkarnya</t>
  </si>
  <si>
    <t>Sudahke tarik 5 meter tambangnya putus</t>
  </si>
  <si>
    <t>Putus tali tambang 25 meter</t>
  </si>
  <si>
    <t>Masih tahap pengecoran 11 titik</t>
  </si>
  <si>
    <t>Mulai pengeboran coring 6 inch</t>
  </si>
  <si>
    <t>Pengangkatan pipa 4 batang</t>
  </si>
  <si>
    <t>Air gak bisa kental,sehingga pasir gak bisa naik</t>
  </si>
  <si>
    <t>progres kedalaman 30 M mata bor triwing 4 ke 8 inch</t>
  </si>
  <si>
    <t>progres kedalaman 34 M mata bor triwing 4 ke 8 inch</t>
  </si>
  <si>
    <t>Pengeboran keras air gak bisa kental</t>
  </si>
  <si>
    <t>Pengboran pel sudah selesai sedang proses pembersihan</t>
  </si>
  <si>
    <t>terjepit dan di siapkan pipa pvc untuk nyepul</t>
  </si>
  <si>
    <t>coring 6 inch dari pak waluyo</t>
  </si>
  <si>
    <t>Sedang proses pengurasan masih kentel</t>
  </si>
  <si>
    <t>Pipa terjepit</t>
  </si>
  <si>
    <t>Masih kedalam 52 meter masih nurunin coring</t>
  </si>
  <si>
    <t>Masukin tawasbuat borehole camera</t>
  </si>
  <si>
    <t>Persiapan buat masukin pancingan</t>
  </si>
  <si>
    <t>Borehole kamera posisi pipa hisap di kedalaman 58 meter</t>
  </si>
  <si>
    <t>Masukin pipa pancingan 4 inch tinggal masukin stangbor</t>
  </si>
  <si>
    <t>Masih tahap pengecoran 15 titik</t>
  </si>
  <si>
    <t>progres kedalaman 35 M mata bor triwing 4 ke 8 inch</t>
  </si>
  <si>
    <t xml:space="preserve">Kendala keras,Pergantian pulley </t>
  </si>
  <si>
    <t>Sudah pengurasan , tinggal penggangkatan stang bor</t>
  </si>
  <si>
    <t>Progres kedalaman sudah 50 meter, nyepul pvc</t>
  </si>
  <si>
    <t>Progres pengeboran kedalaman 54 meter</t>
  </si>
  <si>
    <t>Masukin Pancingan dan stangbor, stang bor sering nyangkut</t>
  </si>
  <si>
    <t>Gagal Pengecoran, tidak Jadi di cor</t>
  </si>
  <si>
    <t>Progres kedalaman 49 M</t>
  </si>
  <si>
    <t>Kendala Kepala ns sealnya bocor,Penambahan bentonit</t>
  </si>
  <si>
    <t>Stang bor sama coring sudah naik semua,pemasangan baut di pralon pvc</t>
  </si>
  <si>
    <t>Kendala hujan</t>
  </si>
  <si>
    <t>sudah coba di spull mentok di kedalaman 65 meter, coba di spul dalam</t>
  </si>
  <si>
    <t>Progres pengeboran masih kedalaman 54 meter, nyabut coring</t>
  </si>
  <si>
    <t>Angkat semua stangbor dan pancingan, ke angkat PVC 2  Inch cua 1 batang bawahnya lepas lagi</t>
  </si>
  <si>
    <t>Bor ulang masuk kedalaman 11 meter , mata bor tricone 12 inch</t>
  </si>
  <si>
    <t>Sudah kedalaman 30 Meter</t>
  </si>
  <si>
    <t>Sudah kedalaman 60 Meter</t>
  </si>
  <si>
    <t>order pipa glv, dan kirim dongkrak</t>
  </si>
  <si>
    <t>nunggu sipa</t>
  </si>
  <si>
    <t>persiapkan casing dan logging</t>
  </si>
  <si>
    <t>progres kedalaman 58 M mata bor triwing 4 ke 8 inch</t>
  </si>
  <si>
    <t>Bongkar Pompa, pompa keluar air kecil</t>
  </si>
  <si>
    <t>Perlu ganti kipas pompa</t>
  </si>
  <si>
    <t>Progres masih di kedalaman 54 meter (Pembuatan mata bor coring)</t>
  </si>
  <si>
    <t>Progres angkat pancingan dan stangbor, masukin jangkar dapat kabel 37 meter</t>
  </si>
  <si>
    <t>Progres hari ini masuk 11,5 meter</t>
  </si>
  <si>
    <t>Sudah kedalaman 75 Meter</t>
  </si>
  <si>
    <t>Masih progres spull Pinggir menggunakan pipa galvanis 70 meter</t>
  </si>
  <si>
    <t>siapkan mobilisasi</t>
  </si>
  <si>
    <t xml:space="preserve">kirim tremi </t>
  </si>
  <si>
    <t>progres kedalaman 69,5 M mata bor triwing 4 ke 8 inch</t>
  </si>
  <si>
    <t>Setting pompa summersible ke workshop</t>
  </si>
  <si>
    <t>Kendala air keluar kecil</t>
  </si>
  <si>
    <t>Masih proses spull, nunggu pipa galvanis</t>
  </si>
  <si>
    <t>Progres kedalaman 54,5 meter</t>
  </si>
  <si>
    <t>Pake pancingan bahel 8 dapat pipa pvc 2 inch 7 batang sisa 16 batang sama tambang 17 meter</t>
  </si>
  <si>
    <t>kendala hujan</t>
  </si>
  <si>
    <t>Pembersihan selesai, hari sabtu mulai pengecoran</t>
  </si>
  <si>
    <t>Angkat stang bor dan pemindahan posisi stangbor 2,5 inch di bawah</t>
  </si>
  <si>
    <t>hari ini kirim pipa glv</t>
  </si>
  <si>
    <t>siapkna borehole camera</t>
  </si>
  <si>
    <t>Sudah kedalaman 90 Meter</t>
  </si>
  <si>
    <t>Instalasi pipa dan nurunin pompa ke sumur</t>
  </si>
  <si>
    <t>Pemasangan pipa 24 Batang, test air 39 Menit masih keruh di tambah lagi jadi total 25 batang</t>
  </si>
  <si>
    <t>Kendala Tersumbat</t>
  </si>
  <si>
    <t>Masih proses spull sudah masuk 8 Batang</t>
  </si>
  <si>
    <t>Bor Pinggir sudah masuk 14 Batang</t>
  </si>
  <si>
    <t>Baru masuk kedalaman 20 cm</t>
  </si>
  <si>
    <t>Kendala Keras</t>
  </si>
  <si>
    <t>0.2</t>
  </si>
  <si>
    <t>Sudah masuk kedalaman 55 m,Naikin coring</t>
  </si>
  <si>
    <t>Masukin behel pancingan 8 inch , belum dapat</t>
  </si>
  <si>
    <t>Pengecoran sudah selesai</t>
  </si>
  <si>
    <t>Geser mesin sama ganti gearbox</t>
  </si>
  <si>
    <t>Progres kedalaman 80 Meter</t>
  </si>
  <si>
    <t>Kendala kontaktor kebakar</t>
  </si>
  <si>
    <t>Progres kedalaman 106 Meter</t>
  </si>
  <si>
    <t>siapkan casing 4 inch 7 btg, dan acesoris, redus 4x5</t>
  </si>
  <si>
    <t>pancingan sudah nyangkut di 120 meter, lepas lagi</t>
  </si>
  <si>
    <t>logging, kontruksi</t>
  </si>
  <si>
    <t>Masih proses spull , ngangkat stang bor menggunakan dongkrak</t>
  </si>
  <si>
    <t>Butuh takel</t>
  </si>
  <si>
    <t xml:space="preserve">Progres masuk di kedalaman 20 cm </t>
  </si>
  <si>
    <t>Masukin klep di kedalaman 100 M belum kena lagi</t>
  </si>
  <si>
    <t>Progres masuk hari ini  11 meter mata bor tricone 8 inch, mata bor tricone 12 inch masuk 4 meter</t>
  </si>
  <si>
    <t>Progres kedalaman 118 Meter</t>
  </si>
  <si>
    <t>Sudah kedalaman 100 Meter</t>
  </si>
  <si>
    <t>demob alat pulang</t>
  </si>
  <si>
    <t xml:space="preserve">Instalasi pompa air sering tekor </t>
  </si>
  <si>
    <t>mang ucu dan lapi induction</t>
  </si>
  <si>
    <t>0.3</t>
  </si>
  <si>
    <t>0.4</t>
  </si>
  <si>
    <t xml:space="preserve">di borehole tgl 1 </t>
  </si>
  <si>
    <t>Pemasangan pipa pvc Penambahan 1 btang total 115 meter, pipa pvc patah</t>
  </si>
  <si>
    <t>Penambahan pipa pvc yang 1 1/4 inch</t>
  </si>
  <si>
    <t>Tali tambang sudah terangkat semua, tinggal 16 batang pipa pvc</t>
  </si>
  <si>
    <t>Masih proses pengangkatan stang bor</t>
  </si>
  <si>
    <t>Nyabut coringan, matacoringan habis</t>
  </si>
  <si>
    <t>Progres penambahan kedalaman 25 cm</t>
  </si>
  <si>
    <t>kendala keras</t>
  </si>
  <si>
    <t>Pengelasan behel pancingan,behel  8 udah nyangkut,sudah naik 10 meter</t>
  </si>
  <si>
    <t>Masuk mata bor coring 16 inch 10 meter</t>
  </si>
  <si>
    <t>Progre kedalaman 127 meter</t>
  </si>
  <si>
    <t>Progres kedalaman 134 meter</t>
  </si>
  <si>
    <t>Progres air sudah keluar</t>
  </si>
  <si>
    <t>sementara di pending</t>
  </si>
  <si>
    <t xml:space="preserve">Masih proses puter kiri </t>
  </si>
  <si>
    <t>persiapan tiket</t>
  </si>
  <si>
    <t>pak dayat dan pak adul</t>
  </si>
  <si>
    <t>di siapkan helper</t>
  </si>
  <si>
    <t>Sudah selesai</t>
  </si>
  <si>
    <t>Naikin pompa dan test pompa sudah hidup</t>
  </si>
  <si>
    <t>Bersihkan pompa yang di sumur</t>
  </si>
  <si>
    <t>Progrespenambahan kedalaman 20 cm</t>
  </si>
  <si>
    <t>Off</t>
  </si>
  <si>
    <t>Angkat Behel 6  Menggunakan sling 2 Jalur lepas lagi</t>
  </si>
  <si>
    <t>Buat pancingan behel 6 atasnya menggunakan stang bor mentok di 72 meter</t>
  </si>
  <si>
    <t>Progres sudah masuk besi siap pengecoran</t>
  </si>
  <si>
    <t>Progres kedalaman 149 Meter</t>
  </si>
  <si>
    <t>team pak nandi pindah sementara ke tj sari</t>
  </si>
  <si>
    <t>persiapan ganti team pak nandi</t>
  </si>
  <si>
    <t>puter kiri baru terangkat 14 batang sisa 12 batang</t>
  </si>
  <si>
    <t>team sudah di lokasi</t>
  </si>
  <si>
    <t>pengangkatan pompa sementara dan gali saluran pipa distribusi</t>
  </si>
  <si>
    <t>buat jebakan</t>
  </si>
  <si>
    <t>demob</t>
  </si>
  <si>
    <t>pengecoran titik ke 2</t>
  </si>
  <si>
    <t xml:space="preserve">jebakan masih belum nyangkut </t>
  </si>
  <si>
    <t>perbaikan alat perangkapnya untuk mengambil pipa 1 1/4 inc</t>
  </si>
  <si>
    <t>masih angkat pipa 1 1/4 inc naik 4 mtr</t>
  </si>
  <si>
    <t>Progres hari ini seting alat jebaka</t>
  </si>
  <si>
    <t>progres kedalaman 40 M mata bor 6 inch</t>
  </si>
  <si>
    <t>puter kiri ke angkat 1 btg sisa 11 batang</t>
  </si>
  <si>
    <t>Progres kedalaman 160 Meter</t>
  </si>
  <si>
    <t>progres reaming reaming 160 m</t>
  </si>
  <si>
    <t>progres reaming reaming 100 m</t>
  </si>
  <si>
    <t>progres reaming reaming 60 m</t>
  </si>
  <si>
    <t>geser alat untuk bor baru</t>
  </si>
  <si>
    <t>progres kedalaman 90 M mata bor 6 inch</t>
  </si>
  <si>
    <t>pemasangan batu gravel dan spuling sampai kedalaman 148 M</t>
  </si>
  <si>
    <t xml:space="preserve">pengangkatan pipa bor untuk ganti tapi kiri </t>
  </si>
  <si>
    <t>udah berjalan bor kering lagi</t>
  </si>
  <si>
    <t>progres bor dapet 20 CM</t>
  </si>
  <si>
    <t>pemasangan pompa permanen baru di kedalaman 96 M debit 3,75liter/detik</t>
  </si>
  <si>
    <t>matrial baru sampai di lokasi</t>
  </si>
  <si>
    <t>pengeboran sudah di kedalaman 36 M mata bor 8 inch</t>
  </si>
  <si>
    <t>progres kedalaman 100 M mata bor 6 inch</t>
  </si>
  <si>
    <t>di tanyakan coring buat tanah atau coring buat batu</t>
  </si>
  <si>
    <t>siapkan casing 5 inch JIS</t>
  </si>
  <si>
    <t>di lanjut sampe 160 M</t>
  </si>
  <si>
    <t>pengurasan pakai pompa test</t>
  </si>
  <si>
    <t>target 160 M</t>
  </si>
  <si>
    <t>pumping test dan grouting</t>
  </si>
  <si>
    <t>pengeboran sudah di kedalaman 56 M mata bor 8 inch</t>
  </si>
  <si>
    <t>pengeboran sudah di kedalaman 66 M mata bor 8 inch</t>
  </si>
  <si>
    <t>pengeboran sudah di kedalaman 72 M mata bor 8 inch</t>
  </si>
  <si>
    <t>pemasangan pompa sampe 120 M</t>
  </si>
  <si>
    <t>pemasangan jalur distribusi</t>
  </si>
  <si>
    <t>pengangkatan pompa kembali untuk ganti seling</t>
  </si>
  <si>
    <t>kabel yg menggumpal terangkat tapi pipa tidak terangkat</t>
  </si>
  <si>
    <t>puter kiri ke angkat 1 btg sisa 10 batang</t>
  </si>
  <si>
    <t>puter kiri ke angkat 2 btg sisa 8 batang</t>
  </si>
  <si>
    <t>progres dapet 10 cm lapisan keras</t>
  </si>
  <si>
    <t>kendala pully sempat doll sudah di perbaiki</t>
  </si>
  <si>
    <t>progres kedalaman 160 M mata bor 6 inch</t>
  </si>
  <si>
    <t>progres kedalaman 120 M mata bor 6 inch</t>
  </si>
  <si>
    <t>progres kedalaman 140 M mata bor 6 inch</t>
  </si>
  <si>
    <t>angkut alat ke lokasi bor</t>
  </si>
  <si>
    <t>gali spul bak</t>
  </si>
  <si>
    <t>di borehole camera</t>
  </si>
  <si>
    <t>puter kiri ke angkat 1 btg sisa 7 batang</t>
  </si>
  <si>
    <t>perapihan alat karena ganti operator</t>
  </si>
  <si>
    <t>ambil seling stainles yg baru</t>
  </si>
  <si>
    <t>pengeboran sudah di kedalaman 76 M mata bor 8 inch</t>
  </si>
  <si>
    <t xml:space="preserve">persiapan kontruksi </t>
  </si>
  <si>
    <t>masih angkut alat bor ke titik bor</t>
  </si>
  <si>
    <t>Team Pak Epul</t>
  </si>
  <si>
    <t>nunggu hasil kompresor di cemplang</t>
  </si>
  <si>
    <t>masih belum ada progres</t>
  </si>
  <si>
    <t xml:space="preserve">angkat stangbor ganti tap 89 dari tap 73 </t>
  </si>
  <si>
    <t>kendala dth mampet</t>
  </si>
  <si>
    <t>bawa srangbor masih kurang dan setting alat</t>
  </si>
  <si>
    <t xml:space="preserve">baru turun lagi mata bor coring </t>
  </si>
  <si>
    <t>bongkar alat persiapan demob</t>
  </si>
  <si>
    <t>pengeboran sudah di kedalaman 82 M mata bor 8 inch</t>
  </si>
  <si>
    <t xml:space="preserve">harus di ingatkan pipa bor yg masuk </t>
  </si>
  <si>
    <t xml:space="preserve">agar pipa bor berurutan </t>
  </si>
  <si>
    <t>mobilisasi compresor dan sudah mulai pengeboran kedalaman 92 M</t>
  </si>
  <si>
    <t xml:space="preserve">pompa 1 HP </t>
  </si>
  <si>
    <t xml:space="preserve">bongkar alat </t>
  </si>
  <si>
    <t>kerja sampe jam 2</t>
  </si>
  <si>
    <t>progres dapet 15 cm lapisan keras</t>
  </si>
  <si>
    <t>tunggu demob</t>
  </si>
  <si>
    <t>pengeboran sudah di kedalaman 91 M mata bor 8 inch</t>
  </si>
  <si>
    <t>pengurasan</t>
  </si>
  <si>
    <t xml:space="preserve">masih belum terangkat pipanya </t>
  </si>
  <si>
    <t>jadwal pasang pompa senin</t>
  </si>
  <si>
    <t xml:space="preserve">proses penurunan pipa untuk dorong rantai </t>
  </si>
  <si>
    <t>solar harus di ukur pemakaiannya</t>
  </si>
  <si>
    <t>progres pengeboran kedalaman 2 M mata bor 9 inch</t>
  </si>
  <si>
    <t>progres pengeboran kedalaman 10 M mata bor 9 inch</t>
  </si>
  <si>
    <t>Doni</t>
  </si>
  <si>
    <t>Likin</t>
  </si>
  <si>
    <t>DAK SWAKELOLA 6 Cikeusal ( Katulis )</t>
  </si>
  <si>
    <t>DAK SWAKELOLA 7 Cikeusal ( Cimaung )</t>
  </si>
  <si>
    <t>DAK SWAKELOLA 8 Cikeusal ( Sukaraja )</t>
  </si>
  <si>
    <t>DAK SWAKELOLA 9 Cikeusal ( Cikeusal )</t>
  </si>
  <si>
    <t>PT. Alam Sutra Cikupa titik 1</t>
  </si>
  <si>
    <t>pengelasan socket pipa</t>
  </si>
  <si>
    <t>masih proses coring belum ada penambahan progres</t>
  </si>
  <si>
    <t>pengeboran sudah di kedalaman 103 M mata bor 8 inch</t>
  </si>
  <si>
    <t>progres pengeboran kedalaman 15 M mata bor 9 inch</t>
  </si>
  <si>
    <t>mobilisasi alat dan progres kedalaman sudah 40 M</t>
  </si>
  <si>
    <t>masih proses bongkar pipa bor</t>
  </si>
  <si>
    <t>DEMOB</t>
  </si>
  <si>
    <t>pengeboran sudah di kedalaman 112 M mata bor 8 inch</t>
  </si>
  <si>
    <t>pengeboran sudah di kedalaman 119 M mata bor 8 inch</t>
  </si>
  <si>
    <t>progres pengeboran kedalaman 24,5 M mata bor 9 inch</t>
  </si>
  <si>
    <t>progres pengeboran kedalaman 37 M mata bor 9 inch</t>
  </si>
  <si>
    <t xml:space="preserve">proses pengangkatan stangbor </t>
  </si>
  <si>
    <t>stangbor kengkat 1 btg sisa 5 btg</t>
  </si>
  <si>
    <t>stangbor kengkat 1 btg sisa 6 btg</t>
  </si>
  <si>
    <t>proses pengeboran 100 M</t>
  </si>
  <si>
    <t>perlu perubahan jebakan</t>
  </si>
  <si>
    <t>turun ke tj sari</t>
  </si>
  <si>
    <t>persiapkan gravel dll</t>
  </si>
  <si>
    <t>siapkan coring 5/6" segmen</t>
  </si>
  <si>
    <t>DAK SWAKELOLA 11 Mancak (angsana)</t>
  </si>
  <si>
    <t>DAK SWAKELOLA 1 Cinangka (pasauran)</t>
  </si>
  <si>
    <t>DAK SWAKELOLA 2 Cinangka (bulakan)</t>
  </si>
  <si>
    <t>DAK SWAKELOLA 4 cinangka (cikolelet)</t>
  </si>
  <si>
    <t>DAK SWAKELOLA 10 Cikande (parigi)</t>
  </si>
  <si>
    <t xml:space="preserve"> 80 meter, tarik selang dari masjid</t>
  </si>
  <si>
    <t>AIR SIRKULASI</t>
  </si>
  <si>
    <t>LISTRIK 3 PHASE</t>
  </si>
  <si>
    <t>AIR LANGSIR</t>
  </si>
  <si>
    <t>200 Meter -+</t>
  </si>
  <si>
    <t>100 meter -+</t>
  </si>
  <si>
    <t xml:space="preserve"> 100 meter, tarik selang dari mushola</t>
  </si>
  <si>
    <t>30 meter -+</t>
  </si>
  <si>
    <t>50 meter -+</t>
  </si>
  <si>
    <t>AKSES MOBIL</t>
  </si>
  <si>
    <t>Mobil truk</t>
  </si>
  <si>
    <t>mobil pick up</t>
  </si>
  <si>
    <t>mobil truk</t>
  </si>
  <si>
    <t>AIR 5 Meter, ambil dari susukan</t>
  </si>
  <si>
    <t>15 meter -+</t>
  </si>
  <si>
    <t>100 meter tarik selang air dari masjid</t>
  </si>
  <si>
    <t>mobil truk mepet</t>
  </si>
  <si>
    <t>70 meter, ambil dari kolam bumdes</t>
  </si>
  <si>
    <t>60 meter -+</t>
  </si>
  <si>
    <t>progres pengeboran kedalaman 49 M mata bor 9 inch</t>
  </si>
  <si>
    <t xml:space="preserve">progres kedalaman 7 M mata bor 5 " </t>
  </si>
  <si>
    <t>pengeboran sudah di kedalaman 126 M mata bor 8 inch</t>
  </si>
  <si>
    <t>menurunkan alat untuk mengambil rantai</t>
  </si>
  <si>
    <t>perbaikan mata bor coring dan jendela sepatu</t>
  </si>
  <si>
    <t>masih ngakalin stangbor yg terjepit</t>
  </si>
  <si>
    <t>di puter balik</t>
  </si>
  <si>
    <t>di siapkan tap kiri dan pipa ulir kiri</t>
  </si>
  <si>
    <t>stangbor kengkat 1 btg sisa 4 btg</t>
  </si>
  <si>
    <t>masih proses menaikan stangbor</t>
  </si>
  <si>
    <t xml:space="preserve">persiapan spul pinggir menggunakan pipa galvanis 1/2 inch </t>
  </si>
  <si>
    <t>progres coring 13 cm</t>
  </si>
  <si>
    <t>pengeboran sudah di kedalaman 132 M mata bor 8 inch</t>
  </si>
  <si>
    <t>progres pengeboran kedalaman 60 M mata bor 9 inch</t>
  </si>
  <si>
    <t xml:space="preserve">progres kedalaman 12 M mata bor 5 " </t>
  </si>
  <si>
    <t>progres coring 10 cm</t>
  </si>
  <si>
    <t xml:space="preserve">progres kedalaman 12,5 M mata bor 5 " </t>
  </si>
  <si>
    <t>progres pengeboran kedalaman 64 M mata bor 9 inch</t>
  </si>
  <si>
    <t>service spulkop</t>
  </si>
  <si>
    <t>pengeboran sudah di kedalaman 140 M mata bor 8 inch</t>
  </si>
  <si>
    <t>mengangkat tambang pakai capitan terlebih dahulu</t>
  </si>
  <si>
    <t>di kirimkan pipa CRI</t>
  </si>
  <si>
    <t>minta NS 100</t>
  </si>
  <si>
    <t>pengeboran sudah di kedalaman 147 M mata bor 8 inch</t>
  </si>
  <si>
    <t>proses persiapan untuk pengambilan pipa 2 inchi</t>
  </si>
  <si>
    <t>stangbor kengkat 1 btg sisa 3 btg</t>
  </si>
  <si>
    <t>progres pengeboran kedalaman 74 M mata bor 9 inch</t>
  </si>
  <si>
    <t xml:space="preserve">progres kedalaman 13 M mata bor tricone gigi 5 " </t>
  </si>
  <si>
    <t>Mobil truk/elektro</t>
  </si>
  <si>
    <t>rosid</t>
  </si>
  <si>
    <t>DAK SWAKELOLA 3 Cinangka (karang suraga)</t>
  </si>
  <si>
    <t>gandi</t>
  </si>
  <si>
    <t>pty</t>
  </si>
  <si>
    <t xml:space="preserve">perbaikan gigi coring dan setting dinamo </t>
  </si>
  <si>
    <t>pengeboran sudah di kedalaman 152 M mata bor 8 inch</t>
  </si>
  <si>
    <t>progres pengeboran kedalaman 85 M mata bor 9 inch</t>
  </si>
  <si>
    <t xml:space="preserve">progres kedalaman 28 M mata bor tricone gigi 5 " </t>
  </si>
  <si>
    <t>pembuatan screen penambahan casing dari 70-100 M</t>
  </si>
  <si>
    <t>pipa yang terjepit sudah terangkat</t>
  </si>
  <si>
    <t>masih ngakalin stangbor</t>
  </si>
  <si>
    <t>pengangkatan pipa bor dan kontruksi casing 5 inch 38 btg</t>
  </si>
  <si>
    <t>progres pengeboran kedalaman 90 M mata bor 9 inch</t>
  </si>
  <si>
    <t xml:space="preserve">progres kedalaman 50 M mata bor tricone gigi 5 " </t>
  </si>
  <si>
    <t xml:space="preserve">progres kedalaman 60 M mata bor tricone gigi 5 " </t>
  </si>
  <si>
    <t>pemasangan gigi coring dan mata bor sudah di turunkan kembali</t>
  </si>
  <si>
    <t>progres ngoring dapet 18 cm</t>
  </si>
  <si>
    <t>stangbor kengkat 1 btg sisa 2 btg</t>
  </si>
  <si>
    <t>pipa jis 2 inch 20 btg kurang 10 btg</t>
  </si>
  <si>
    <t>Team Pak Gandi</t>
  </si>
  <si>
    <t>Team Pak Likin</t>
  </si>
  <si>
    <t>penguraian kabel sampai terlihat rantai , coba di angkat menggunakan jepitan
tapi tidak terangkat</t>
  </si>
  <si>
    <t>pembuatan sok dalam untuk kontruksi</t>
  </si>
  <si>
    <t>progres ngoring dapet 10 cm</t>
  </si>
  <si>
    <t>progres pengeboran kedalaman 30 M reaming pakai tabung coring 8 inch</t>
  </si>
  <si>
    <t xml:space="preserve">progres kedalaman 65 M mata bor tricone gigi 5 " </t>
  </si>
  <si>
    <t>PT ULI</t>
  </si>
  <si>
    <t>reaming menggunakan mata bor belimbing</t>
  </si>
  <si>
    <t>perbaikan menara dan pengangkatan mata bor</t>
  </si>
  <si>
    <t>kendala listrik hanya ada 1 phase sudah di perbaiki jam 3 sore</t>
  </si>
  <si>
    <t>Masih proses pengangkatan stang bor dan penyepulan pakai pipa seperempat</t>
  </si>
  <si>
    <t>masih proses pengangkatan kabel dan rantai</t>
  </si>
  <si>
    <t>setting alat dan buat spull bak</t>
  </si>
  <si>
    <t>nunggu di geolistrik ulang</t>
  </si>
  <si>
    <t xml:space="preserve">progres kedalaman 67 M mata bor tricone gigi 5 " </t>
  </si>
  <si>
    <t>progres pengeboran kedalaman 55 M reaming pakai tabung coring 8 inch</t>
  </si>
  <si>
    <t>spuling  dan pasang gravel</t>
  </si>
  <si>
    <t xml:space="preserve">spuling dan pasang gravel </t>
  </si>
  <si>
    <t>masih berusaha nyusul yg 1 btg lagi</t>
  </si>
  <si>
    <t>DAK PUPR Kota Serang Cikentang Sayar</t>
  </si>
  <si>
    <t>DAK PUPR Kota Serang Sukawana Serang</t>
  </si>
  <si>
    <t>DAK PUPR Kota Serang Bendung kasemen</t>
  </si>
  <si>
    <t>Mobilisasi</t>
  </si>
  <si>
    <t>Persiapan Team</t>
  </si>
  <si>
    <t xml:space="preserve">progres kedalaman 15 M </t>
  </si>
  <si>
    <t xml:space="preserve">service dinamo </t>
  </si>
  <si>
    <t xml:space="preserve">progres kedalaman 76 M mata bor tricone gigi 5 " </t>
  </si>
  <si>
    <t xml:space="preserve">progres kedalaman 70 M mata bor tricone gigi 5 " </t>
  </si>
  <si>
    <t>angkut alat ke titik bor</t>
  </si>
  <si>
    <t xml:space="preserve">setting alat </t>
  </si>
  <si>
    <t>progres pengeboran kedalaman 91 M reaming pakai tabung coring 8 inch</t>
  </si>
  <si>
    <t>progres pengeboran kedalaman 77 M reaming pakai tabung coring 8 inch</t>
  </si>
  <si>
    <t>progres pengeboran kedalaman 91 M mata bor 9 inch</t>
  </si>
  <si>
    <t>perbaikan mata bor coring</t>
  </si>
  <si>
    <t>spul pakai pipa 1 1/4 inch</t>
  </si>
  <si>
    <t>kabel dan rantai sudah terangkat</t>
  </si>
  <si>
    <t>progres ngoring dapet 15 cm</t>
  </si>
  <si>
    <t>kendala gearbox slip dan pully kendor</t>
  </si>
  <si>
    <t>kendala harus ganti mcb</t>
  </si>
  <si>
    <t>pipa galvanis 8 atau 7 inch 1,5 M</t>
  </si>
  <si>
    <t>progres pengeboran 30 M</t>
  </si>
  <si>
    <t>progres kedalaman 42 M  mata bor triwing 5 inch ke 8 inch</t>
  </si>
  <si>
    <t>progres pengeboran 5 M</t>
  </si>
  <si>
    <t xml:space="preserve">progres kedalaman 81 M mata bor tricone gigi 5 " </t>
  </si>
  <si>
    <t>kendala patah stangbor di 4 meter</t>
  </si>
  <si>
    <t>llibur</t>
  </si>
  <si>
    <t xml:space="preserve">masih di coba puter kiri dan di dongkrak </t>
  </si>
  <si>
    <t>Panjang 7 cm , 6 pcs . Mata gerinda tipis 1 dus </t>
  </si>
  <si>
    <t>baud ukuran kunci 24 ,</t>
  </si>
  <si>
    <t>proses pengangkatan pipa galvanis</t>
  </si>
  <si>
    <t>coba di dongkrak Cuma naik 20 cm</t>
  </si>
  <si>
    <t>di dongkrak naik 40 cm</t>
  </si>
  <si>
    <t>persiapan untuk pemasangan pompa</t>
  </si>
  <si>
    <t>progres ngoring dapet 12 cm</t>
  </si>
  <si>
    <t xml:space="preserve">minta di kirim gerinda tangan , roll atas </t>
  </si>
  <si>
    <t>tap dan tabung 4 inch</t>
  </si>
  <si>
    <t>proses ngakalin pipa yang patah</t>
  </si>
  <si>
    <t>progres pengeboran 11 M</t>
  </si>
  <si>
    <t>progres pengeboran 21 M</t>
  </si>
  <si>
    <t>perlu terpal untuk bak tampungan</t>
  </si>
  <si>
    <t>progres kedalaman 44 M  mata bor triwing 5 inch ke 8 inch</t>
  </si>
  <si>
    <t>service alat seharian , dinamo kebakar</t>
  </si>
  <si>
    <t>kirim dinamo</t>
  </si>
  <si>
    <t>Progres kedalaman 12 M</t>
  </si>
  <si>
    <t>setting dan gali spull bak</t>
  </si>
  <si>
    <t>mendirikan menara</t>
  </si>
  <si>
    <t>progres pengeboran 45 M</t>
  </si>
  <si>
    <t>progres pengeboran 40 M</t>
  </si>
  <si>
    <t>minta di buatkan sock untuk dth 3 inch</t>
  </si>
  <si>
    <t>titip pak holil</t>
  </si>
  <si>
    <t>langkah selanjutnya di dongrak aja</t>
  </si>
  <si>
    <t>di siapkan pipa 7 inch panjang 1  1/2 m</t>
  </si>
  <si>
    <t>pumping test kuat 40 detik di kedalaman 100 M</t>
  </si>
  <si>
    <t>koordinasi dengan mas joko</t>
  </si>
  <si>
    <t>permukaan air pagi</t>
  </si>
  <si>
    <t>pumping test dan angkutin alat kedalaman pompa 112 M</t>
  </si>
  <si>
    <t xml:space="preserve">progres pengeboran kedalaman 92,5 M </t>
  </si>
  <si>
    <t xml:space="preserve">progres pengeboran kedalaman 97 M </t>
  </si>
  <si>
    <t>kirim mata bor pdc 6 inch dari pak dayat</t>
  </si>
  <si>
    <t>gerinda yang baru</t>
  </si>
  <si>
    <t>Kasbari</t>
  </si>
  <si>
    <t>Koncang Cipeucang BBWS</t>
  </si>
  <si>
    <t>Oasis Teknik</t>
  </si>
  <si>
    <t>Galaxy Teknik</t>
  </si>
  <si>
    <t>Noga Pratama</t>
  </si>
  <si>
    <t>bongkar alat dan pengecoran</t>
  </si>
  <si>
    <t>reaming 8 icnh 6 M pakai mata bor tricon</t>
  </si>
  <si>
    <t>baru tersambung lagi dengan pipa yang terputus udah berjalan normal</t>
  </si>
  <si>
    <t>progres pengeboran kedalaman 103 M mata bor 9 inch</t>
  </si>
  <si>
    <t>pengangkatan pompa persiapan di dalamin lagi</t>
  </si>
  <si>
    <t>Progres kedalaman 24 M mata bor 8 inch</t>
  </si>
  <si>
    <t>pipa galvanis baru terangkat 5 btg sisa 16 btg</t>
  </si>
  <si>
    <t>progres pengeboran 46 M mata bor triwing double 5/8</t>
  </si>
  <si>
    <t>progres pengeboran 45,5 M</t>
  </si>
  <si>
    <t>progres pengeboran 72 M</t>
  </si>
  <si>
    <t>progres pengeboran 60 M</t>
  </si>
  <si>
    <t>persiapan sok untuk DTH 3 inch</t>
  </si>
  <si>
    <t>progres ngoring dapet 8 cm</t>
  </si>
  <si>
    <t>naik stangbor baru 23 btg untuk ganti mata bor</t>
  </si>
  <si>
    <t xml:space="preserve">progres kedalaman 91 M mata bor tricone gigi 5 " </t>
  </si>
  <si>
    <t>progres pengeboran 51 M mata bor triwing double 5/9</t>
  </si>
  <si>
    <t>reaming 8 icnh 8 M pakai mata bor tricon</t>
  </si>
  <si>
    <t>Progres kedalaman 34 M mata bor 8 inch</t>
  </si>
  <si>
    <t>progres pengeboran 82 M</t>
  </si>
  <si>
    <t>pipa galvanis sudah terangkat 14 btg sisa 7 btg</t>
  </si>
  <si>
    <t>minta kunci pipa 36</t>
  </si>
  <si>
    <t>pipa gi dan pompa sudah terangkat semua</t>
  </si>
  <si>
    <t>belum ada perubahan pipa dan mata coring belum terangkat</t>
  </si>
  <si>
    <t xml:space="preserve">progres kedalaman 95 M mata bor tricone gigi 5 " </t>
  </si>
  <si>
    <t xml:space="preserve">perbaikan coring , naikan dan turun coring </t>
  </si>
  <si>
    <t>tes dth 3 inch tekanan angin kurang kenceng</t>
  </si>
  <si>
    <t>progres pengeboran kedalaman 114 M mata bor pdc 5 1/2 inch</t>
  </si>
  <si>
    <t>progres pengeboran 55 M mata bor triwing double 5/10</t>
  </si>
  <si>
    <t>buat spulbak dan persiapan alat</t>
  </si>
  <si>
    <t>Progres kedalaman 48 M mata bor 8 inch</t>
  </si>
  <si>
    <t>buat laporan kronologis mulai dari pompa mati</t>
  </si>
  <si>
    <t>5" 2x2 meter, 7 " 1 meter, 8" 1 meter+widia</t>
  </si>
  <si>
    <t>mata bor cadangan 4 1/2" pdc</t>
  </si>
  <si>
    <t>progres pengeboran 70 M</t>
  </si>
  <si>
    <t>progres pengeboran 90 M</t>
  </si>
  <si>
    <t>progres pengeboran 59 M mata bor pdc 8 inch</t>
  </si>
  <si>
    <t>naikan stangbor ganti mata bor</t>
  </si>
  <si>
    <t>progres pengeboran 61 M mata bor triwing double 5/14</t>
  </si>
  <si>
    <t>minta air</t>
  </si>
  <si>
    <t>Progres kedalaman 51 M mata bor 8 inch</t>
  </si>
  <si>
    <t>progres kedalaman 54 M  mata bor tricon</t>
  </si>
  <si>
    <t>progres kedalaman 61 M  mata bor tricon</t>
  </si>
  <si>
    <t>kontruksi air tekor di dalemin lagi sampai kedalaman 120 M</t>
  </si>
  <si>
    <t>progres pengeboran 100 M</t>
  </si>
  <si>
    <t>persiapan untuk kontruksi</t>
  </si>
  <si>
    <t>progres pengeboran 80 M</t>
  </si>
  <si>
    <t xml:space="preserve">progres kedalaman 110 M mata bor tricone gigi 5 " </t>
  </si>
  <si>
    <t>baru turun stangbor abis perbaikan mata bor</t>
  </si>
  <si>
    <t xml:space="preserve">progres kedalaman 103 M mata bor tricone gigi 5 " </t>
  </si>
  <si>
    <t xml:space="preserve">progres kedalaman 100 M mata bor tricone gigi 5 " </t>
  </si>
  <si>
    <t>progres pengeboran kedalaman 122 M mata bor pdc 5 1/2 inch</t>
  </si>
  <si>
    <t>progres pengeboran kedalaman 140 M mata bor pdc 5 1/2 inch</t>
  </si>
  <si>
    <t>progres pengeboran kedalaman 149 M mata bor pdc 5 1/2 inch</t>
  </si>
  <si>
    <t>progres ngoring dapet 6 cm</t>
  </si>
  <si>
    <t>sambil perbaikan menara dan perbaikan coringan</t>
  </si>
  <si>
    <t>progres ngoring dapet 14 cm</t>
  </si>
  <si>
    <t>cemplang geser ke tanjung sari dulu</t>
  </si>
  <si>
    <t>progres kedalaman 66 M  mata bor tricon</t>
  </si>
  <si>
    <t>DAK PUPR Kota Serang Curug 2 Pancalaksana</t>
  </si>
  <si>
    <t>DAK PUPR Kota Serang Curug 3 Sukawana</t>
  </si>
  <si>
    <t>DAK PUPR Kota Serang Curug 4 Tinggar</t>
  </si>
  <si>
    <t>DAK PUPR Kota Serang Curug 1 Kamanisan</t>
  </si>
  <si>
    <t>DAK PUPR Kota Serang Curug 5 Sukalaksana</t>
  </si>
  <si>
    <t>plester spulbak</t>
  </si>
  <si>
    <t>sudah di dalemin sampai 120 M</t>
  </si>
  <si>
    <t>pasang gravel</t>
  </si>
  <si>
    <t>Progres kedalaman 62 M mata bor 8 inch</t>
  </si>
  <si>
    <t xml:space="preserve">minta stangbor </t>
  </si>
  <si>
    <t>progres kedalaman 68 M  mata bor tricon</t>
  </si>
  <si>
    <t>progres kedalaman 63 M  mata bor tricon</t>
  </si>
  <si>
    <t>progres pengeboran 67 M mata bor triwing double 5/15</t>
  </si>
  <si>
    <t xml:space="preserve">progres kedalaman 114 M mata bor tricone gigi 5 " </t>
  </si>
  <si>
    <t>progres pengeboran kedalaman 155 M mata bor pdc 5 1/2 inch</t>
  </si>
  <si>
    <t>progres pengeboran kedalaman 125 M mata bor pdc 5 1/2 inch</t>
  </si>
  <si>
    <t>minta gravel</t>
  </si>
  <si>
    <t>progres pengeboran kedalaman 157 M mata bor pdc 5 1/2 inch</t>
  </si>
  <si>
    <t xml:space="preserve">progres kedalaman 121 M mata bor tricone gigi 5 " </t>
  </si>
  <si>
    <t>progres pengeboran 67,5 M mata bor triwing double 5/16</t>
  </si>
  <si>
    <t>progres kedalaman 70 M  mata bor tricon</t>
  </si>
  <si>
    <t>Progres kedalaman 65 M mata bor 8 inch</t>
  </si>
  <si>
    <t xml:space="preserve">pengeboran sampai jam 12 ,pengelasan stangbor </t>
  </si>
  <si>
    <t>pumping test 3 jam air masih kecil</t>
  </si>
  <si>
    <t xml:space="preserve">naikan menara dan stel panel </t>
  </si>
  <si>
    <t xml:space="preserve">nunggu mobil </t>
  </si>
  <si>
    <t>minta di kirim terpal</t>
  </si>
  <si>
    <t xml:space="preserve">di jadwalkan logging </t>
  </si>
  <si>
    <t xml:space="preserve">minta coring </t>
  </si>
  <si>
    <t xml:space="preserve">jis 6 inch </t>
  </si>
  <si>
    <t>aw 6 inch ambil dari pasauran</t>
  </si>
  <si>
    <t>target 100 m</t>
  </si>
  <si>
    <t>target 100 M</t>
  </si>
  <si>
    <t>target kedalaman 150 M</t>
  </si>
  <si>
    <t>target kedalaman 100 M</t>
  </si>
  <si>
    <t>target kedalaman 110 M</t>
  </si>
  <si>
    <t>target 110 M</t>
  </si>
  <si>
    <t>target 120 M</t>
  </si>
  <si>
    <t>progres pengeboran 115 M</t>
  </si>
  <si>
    <t>target kedalaman 115 M</t>
  </si>
  <si>
    <t>setting alat dan gali spullbak</t>
  </si>
  <si>
    <t>pengangkatan stangbor baru 26 btg</t>
  </si>
  <si>
    <t>nutupin alat pakai terpal</t>
  </si>
  <si>
    <t xml:space="preserve">progres kedalaman 125 M mata bor tricone gigi 5 " </t>
  </si>
  <si>
    <t xml:space="preserve">progres kedalaman 128 M mata bor tricone gigi 5 " </t>
  </si>
  <si>
    <t>progres kedalaman 72 M  mata bor tricon</t>
  </si>
  <si>
    <t>progres kedalaman 75 M  mata bor tricon</t>
  </si>
  <si>
    <t>Progres kedalaman 80 M mata bor 8 inch</t>
  </si>
  <si>
    <t>Progres kedalaman 75 M mata bor 8 inch</t>
  </si>
  <si>
    <t>progres pengeboran 24 M mata bor triwing 8 inch</t>
  </si>
  <si>
    <t>progres pengeboran 40 M mata bor triwing 8 inch</t>
  </si>
  <si>
    <t>progres pengeboran 17 M</t>
  </si>
  <si>
    <t>belum jalan nunggu di konek sama aji</t>
  </si>
  <si>
    <t>pakai low preser</t>
  </si>
  <si>
    <t>alat tanjungsari geser ke karang suraga</t>
  </si>
  <si>
    <t>logging kontruksi</t>
  </si>
  <si>
    <t>kurang casing 4 btng</t>
  </si>
  <si>
    <t>target 95 m</t>
  </si>
  <si>
    <t>kirim casing jiss 5 inch 25 btg</t>
  </si>
  <si>
    <t>masih setting alat</t>
  </si>
  <si>
    <t>progres pengeboran 40,5 M mata bor triwing 8 inch</t>
  </si>
  <si>
    <t>Progres kedalaman 86 M mata bor 8 inch</t>
  </si>
  <si>
    <t>progres kedalaman 82 M  mata bor tricon</t>
  </si>
  <si>
    <t xml:space="preserve">progres kedalaman 130 M mata bor tricone gigi 5 " </t>
  </si>
  <si>
    <t>baru angkat stangbor dan turun coring 8 inch</t>
  </si>
  <si>
    <t>masih persiapan untuk dalemin lubang menjadi 4 inch</t>
  </si>
  <si>
    <t>progres pengeboran 115 M mata bor 4 inch</t>
  </si>
  <si>
    <t>reaming 8 inch baru 30 M</t>
  </si>
  <si>
    <t>buat bak tampungan air</t>
  </si>
  <si>
    <t>reaming pakai tabung 5 inch kedalaman 30 M</t>
  </si>
  <si>
    <t>reaming pakai tabung 5 inch kedalaman 65 M</t>
  </si>
  <si>
    <t>Progres kedalaman 91 M mata bor 8 inch</t>
  </si>
  <si>
    <t>Progres kedalaman 98 M mata bor 8 inch</t>
  </si>
  <si>
    <t>Progres pengeboran 9 M mata bor four wing</t>
  </si>
  <si>
    <t>minta terpal buat tampungan air</t>
  </si>
  <si>
    <t>prores pengeboran 22 M mata bor 9 inch</t>
  </si>
  <si>
    <t xml:space="preserve">pembersihan lokasi bor </t>
  </si>
  <si>
    <t>Team Pak Iyus</t>
  </si>
  <si>
    <t xml:space="preserve">progres pengeboran 45 M </t>
  </si>
  <si>
    <t>target 140 M</t>
  </si>
  <si>
    <t>angkat dan turun stangbor ganti mata bor</t>
  </si>
  <si>
    <t>progres pengeboran 50,5 M mata bor pdc 8 inch</t>
  </si>
  <si>
    <t>progres pengeboran 45,5 M mata bor pdc 8 inch</t>
  </si>
  <si>
    <t xml:space="preserve">progres pengeboran 25 M </t>
  </si>
  <si>
    <t>prores pengeboran 35 M mata bor 9 inch</t>
  </si>
  <si>
    <t>Progres pengeboran 16 M mata bor four wing</t>
  </si>
  <si>
    <t>progres pengeboran 55 M</t>
  </si>
  <si>
    <t xml:space="preserve">progres pengeboran 78 M </t>
  </si>
  <si>
    <t>progres pengeboran 55 M mata bor pdc 8 inch</t>
  </si>
  <si>
    <t>Progres kedalaman 100 M mata bor 8 inch</t>
  </si>
  <si>
    <t xml:space="preserve">persiapan logging </t>
  </si>
  <si>
    <t xml:space="preserve">logging </t>
  </si>
  <si>
    <t>progres kedalaman 98 M  mata bor tricon</t>
  </si>
  <si>
    <t>reaming pakai tabung 5 inch kedalaman 80 M</t>
  </si>
  <si>
    <t>reaming 8 inch baru 60 M</t>
  </si>
  <si>
    <t>persiapan buat tabung coring untuk nyusul stangbor</t>
  </si>
  <si>
    <t>progres pengeboran 68 M mata bor pdc</t>
  </si>
  <si>
    <t>progres pengeboran 73 M mata bor pdc</t>
  </si>
  <si>
    <t>progres pengeboran 78 M mata bor pdc</t>
  </si>
  <si>
    <t>progres pengeboran 80 M mata bor triwing 5/8 inch</t>
  </si>
  <si>
    <t>jam 3</t>
  </si>
  <si>
    <t xml:space="preserve">coba pumping di cikesal </t>
  </si>
  <si>
    <t>minta di kirim casing</t>
  </si>
  <si>
    <t>isro</t>
  </si>
  <si>
    <t>Iyus</t>
  </si>
  <si>
    <t>Isro</t>
  </si>
  <si>
    <t>DAK PUPR Kota Serang Curug 5 Cipete</t>
  </si>
  <si>
    <t>progres pengeboran 124 M mata bor 4 inch</t>
  </si>
  <si>
    <t>reaming 8 inch baru 100 M</t>
  </si>
  <si>
    <t>reaming 8 inch baru 102 M</t>
  </si>
  <si>
    <t>reaming pakai tabung 5 inch kedalaman 112 M</t>
  </si>
  <si>
    <t>reaming pakai tabung 5 inch kedalaman 100 M</t>
  </si>
  <si>
    <t>spulling dan pumping test</t>
  </si>
  <si>
    <t xml:space="preserve">progres pengeboran 110 M </t>
  </si>
  <si>
    <t>Progres pengeboran 21 M mata bor four wing</t>
  </si>
  <si>
    <t>Progres pengeboran 28 M mata bor four wing</t>
  </si>
  <si>
    <t>prores pengeboran 52 M mata bor 9 inch</t>
  </si>
  <si>
    <t>prores pengeboran 42 M mata bor 9 inch</t>
  </si>
  <si>
    <t xml:space="preserve">geser alat ke titik bor </t>
  </si>
  <si>
    <t>progres pengeboran 33 M</t>
  </si>
  <si>
    <t>persiapan matrial</t>
  </si>
  <si>
    <t>reaming pakai tabung 8 inch kedalaman 40 M</t>
  </si>
  <si>
    <t xml:space="preserve">minta di kirim solar </t>
  </si>
  <si>
    <t>30 L /jam untuk compressor</t>
  </si>
  <si>
    <t>Mesin 30 L / 2 hari</t>
  </si>
  <si>
    <t>minta pipa dan pompa buat nguras</t>
  </si>
  <si>
    <t>libur ke wonokoyo</t>
  </si>
  <si>
    <t>progres pengeboran 57,5 M mata bor pdc 4 inch</t>
  </si>
  <si>
    <t>progres pengeboran 56 M mata bor pdc 4 inch</t>
  </si>
  <si>
    <t>waterloss di kedalaman 28 M</t>
  </si>
  <si>
    <t>progres pengeboran 75 M</t>
  </si>
  <si>
    <t>di  siapkan list matrial</t>
  </si>
  <si>
    <t>progres pengeboran 104 M</t>
  </si>
  <si>
    <t>persiapan buat logging</t>
  </si>
  <si>
    <t>progres pengeboran 95 M</t>
  </si>
  <si>
    <t>prores pengeboran 61 M mata bor 9 inch</t>
  </si>
  <si>
    <t>progres pengeboran 130 M</t>
  </si>
  <si>
    <t xml:space="preserve">mendirikan alat </t>
  </si>
  <si>
    <t>progres pengeboran 70 M mata bor pdc 4 inch</t>
  </si>
  <si>
    <t xml:space="preserve">kontruksi masuk 28 btg </t>
  </si>
  <si>
    <t>dinamo kebakar , hari ini nyabutin stangbor manual</t>
  </si>
  <si>
    <t>reaming pakai tabung 8 inch kedalaman 60 M</t>
  </si>
  <si>
    <t>pesen gravel</t>
  </si>
  <si>
    <t>di jadwalkan meeting</t>
  </si>
  <si>
    <t xml:space="preserve">harus di siapkan dinamonya </t>
  </si>
  <si>
    <t>geser ke pancalaksana</t>
  </si>
  <si>
    <t xml:space="preserve">kirim pipa pvc 2 inch </t>
  </si>
  <si>
    <t>besok logging dan kontruksi</t>
  </si>
  <si>
    <t xml:space="preserve">di siapkan pompa, pipa casing dan pipa hisap </t>
  </si>
  <si>
    <t>kabel , tambang , dan lainnya</t>
  </si>
  <si>
    <t>Kentung</t>
  </si>
  <si>
    <t>prores pengeboran 71 M mata bor 9 inch</t>
  </si>
  <si>
    <t>proses pengangkatan pipa stangbor baru 30 M</t>
  </si>
  <si>
    <t>progres pengeboran 74,5 M mata bor pdc 4 inch</t>
  </si>
  <si>
    <t>progres pengeboran 110 M</t>
  </si>
  <si>
    <t>spulling</t>
  </si>
  <si>
    <t xml:space="preserve">angkat stangbor mau ganti mata bor </t>
  </si>
  <si>
    <t>kendala dinamo kebakar</t>
  </si>
  <si>
    <t>perbaikan NS dan perbaikan menara</t>
  </si>
  <si>
    <t>reaming pakai pdc 6 inch kedalaman 65 M</t>
  </si>
  <si>
    <t xml:space="preserve">    </t>
  </si>
  <si>
    <t>spulling dan pasang gravel</t>
  </si>
  <si>
    <t>sudah selesai tinggal demob alat</t>
  </si>
  <si>
    <t>kirim alat pumping</t>
  </si>
  <si>
    <t>di jadwalkan adul ke pasauran</t>
  </si>
  <si>
    <t>reaming 21 M , ngecor buat nutup waterlos</t>
  </si>
  <si>
    <t>belum di konek listrik dari pln ke panel</t>
  </si>
  <si>
    <t>progres pengeboran 78 M mata bor pdc 4 inch</t>
  </si>
  <si>
    <t>progres pengeboran 81 M mata bor pdc 4 inch</t>
  </si>
  <si>
    <t>prores pengeboran 78 M mata bor 9 inch</t>
  </si>
  <si>
    <t>prores pengeboran 85 M mata bor 9 inch</t>
  </si>
  <si>
    <t>reaming baru 80 M</t>
  </si>
  <si>
    <t>selesai ngangkat stangbor dan turun mata bor reaming</t>
  </si>
  <si>
    <t>pemasangan kabel pln ke panel dan instalasi dinamo</t>
  </si>
  <si>
    <t>tunggu listrik permanen untuk pengurasan</t>
  </si>
  <si>
    <t xml:space="preserve">pasang gravel </t>
  </si>
  <si>
    <t>penambahan gravel kembali sampe full</t>
  </si>
  <si>
    <t>progres pengeboran 130 M mata bor 4 inch</t>
  </si>
  <si>
    <t>pengelasan engsel seling</t>
  </si>
  <si>
    <t>reaming 8 inch di kedalaman 23 M</t>
  </si>
  <si>
    <t>kendala lubangbor nutup lagi</t>
  </si>
  <si>
    <t xml:space="preserve">pengursan sumur </t>
  </si>
  <si>
    <t xml:space="preserve">pengeboran sumur resapan </t>
  </si>
  <si>
    <t>Team Kentung</t>
  </si>
  <si>
    <t>progres pengeboran 30 M mata bor 8 inch</t>
  </si>
  <si>
    <t>progres pengeboran 15 M mata bor 8 inch</t>
  </si>
  <si>
    <t>reaming 28 M</t>
  </si>
  <si>
    <t>nunggu listrik buat pumping</t>
  </si>
  <si>
    <t>pak likin pindah ke sukalaksana</t>
  </si>
  <si>
    <t>progres pengeboran 82 M mata bor pdc</t>
  </si>
  <si>
    <t>reaming pakai pdc 6 inch kedalaman 70 M</t>
  </si>
  <si>
    <t>progres masih sama 130 M</t>
  </si>
  <si>
    <t>reaming 8 inch di kedalaman 50 M</t>
  </si>
  <si>
    <t xml:space="preserve">masih pengurasan </t>
  </si>
  <si>
    <t>progres pengeboran 60 M mata bor pdc 8 inch</t>
  </si>
  <si>
    <t>masih belum ada penambahan progres , ganti puli dan baru turun lagi mata bor</t>
  </si>
  <si>
    <t>progres pengeboran 82,5 M mata bor pdc</t>
  </si>
  <si>
    <t>prores pengeboran 93 M mata bor 9 inch</t>
  </si>
  <si>
    <t>masih persiapan belum ada progres pengeboran</t>
  </si>
  <si>
    <t>progres pengeboran 52 M mata bor 8 inch</t>
  </si>
  <si>
    <t>rakit alat dan buat spulbak</t>
  </si>
  <si>
    <t>dirikan menara</t>
  </si>
  <si>
    <t>Team Likin</t>
  </si>
  <si>
    <t xml:space="preserve">nunggu solar dan oli </t>
  </si>
  <si>
    <t xml:space="preserve">minta mata bor </t>
  </si>
  <si>
    <t>ganti blok ns dan service ns</t>
  </si>
  <si>
    <t>ganti pully cikolelet</t>
  </si>
  <si>
    <t>reaming baru 120 M</t>
  </si>
  <si>
    <t xml:space="preserve">6 inch AW Abu </t>
  </si>
  <si>
    <t>dan 4 Inch</t>
  </si>
  <si>
    <t>Team Unyil</t>
  </si>
  <si>
    <t>masih nunggu listrik terpasang</t>
  </si>
  <si>
    <t>progres pengeboran 68 M mata bor 8 inch</t>
  </si>
  <si>
    <t>kontruksi dan pemasangan pompa</t>
  </si>
  <si>
    <t>prores pengeboran 100 M mata bor 9 inch</t>
  </si>
  <si>
    <t>masih belum ada progres kendala waterlos</t>
  </si>
  <si>
    <t>progres pengeboran 61,5 M mata bor pdc 8 inch</t>
  </si>
  <si>
    <t>progres pengeboran 82,8 M mata bor pdc</t>
  </si>
  <si>
    <t>progres masih sama 142 M</t>
  </si>
  <si>
    <t>reaming 8 inch di kedalaman 70 M</t>
  </si>
  <si>
    <t>reaming pakai pdc 6 inch kedalaman 80 M</t>
  </si>
  <si>
    <t>progres kedalaman 10 M</t>
  </si>
  <si>
    <t>progres kedalaman 60 M</t>
  </si>
  <si>
    <t>Unyil</t>
  </si>
  <si>
    <t>baru ngonek listrik</t>
  </si>
  <si>
    <t>progres kedalaman 4 M mata bor pdc 8 inch</t>
  </si>
  <si>
    <t>progres kedalaman 11 M mata bor pdc 8 inch</t>
  </si>
  <si>
    <t>prores pengeboran 103 M mata bor 9 inch</t>
  </si>
  <si>
    <t>Progres pengeboran 34 M mata bor four wing</t>
  </si>
  <si>
    <t xml:space="preserve">belom ada progres </t>
  </si>
  <si>
    <t>request bentonit</t>
  </si>
  <si>
    <t>progres pengeboran 66,5 M mata bor pdc 8 inch</t>
  </si>
  <si>
    <t>progres pengeboran 85 M mata bor pdc</t>
  </si>
  <si>
    <t xml:space="preserve">pembuatan sumur resapan dan penutup sumur </t>
  </si>
  <si>
    <t>reaming 8 inch di kedalaman 97 M</t>
  </si>
  <si>
    <t>Team Pak Isro</t>
  </si>
  <si>
    <t>progres kedalaman 12 M</t>
  </si>
  <si>
    <t>progres pengeboran 71 M mata bor 4 inch</t>
  </si>
  <si>
    <t>reaming pakai pdc 6 inch kedalaman 83 M</t>
  </si>
  <si>
    <t>ambil casing ke worksop</t>
  </si>
  <si>
    <t>kirim pipa 1,5" 13 meter, tambang 20m, kabel 20m</t>
  </si>
  <si>
    <t>casing konduktor</t>
  </si>
  <si>
    <t>progres kedalaman 50 M</t>
  </si>
  <si>
    <t>progres kedalaman 40 M</t>
  </si>
  <si>
    <t>progres pengeboran kedalaman 30 M mata bor tri wing 5/8</t>
  </si>
  <si>
    <t>proses instalasi alat</t>
  </si>
  <si>
    <t>progres kedalaman 70 M</t>
  </si>
  <si>
    <t>progres pengeboran 100 M mata bor 4 inch</t>
  </si>
  <si>
    <t>progres pengeboran 75 M mata bor 8 inch</t>
  </si>
  <si>
    <t>progres pengeboran 85 M mata bor 8 inch</t>
  </si>
  <si>
    <t>progres kedalaman 24,5 M mata bor pdc 8 inch</t>
  </si>
  <si>
    <t>perapihan sumur resapan dan penutup sumur</t>
  </si>
  <si>
    <t>pembuatan manhole sumur resapan dan penutup sumur</t>
  </si>
  <si>
    <t>progres pengeboran 72,5 M mata bor pdc 8 inch</t>
  </si>
  <si>
    <t>progres pengeboran 78,5 M mata bor pdc 8 inch</t>
  </si>
  <si>
    <t>progres pengeboran 86 M mata bor pdc</t>
  </si>
  <si>
    <t>progres pengeboran 84 M mata bor pdc</t>
  </si>
  <si>
    <t>naikan coring dan pengelasan coring</t>
  </si>
  <si>
    <t>reaming 8 inch di kedalaman 104 M</t>
  </si>
  <si>
    <t>lbur</t>
  </si>
  <si>
    <t>ambil pipa ke workshop</t>
  </si>
  <si>
    <t xml:space="preserve">pembuatan screen </t>
  </si>
  <si>
    <t>baru turun reaming tabung 8 inch kedalman 40 M</t>
  </si>
  <si>
    <t>pakai pompa 2hp sp2-33 CRI 4 Inch</t>
  </si>
  <si>
    <t xml:space="preserve">Di siapkan demob </t>
  </si>
  <si>
    <t xml:space="preserve">di jadwalkan zoom meeting </t>
  </si>
  <si>
    <t xml:space="preserve">rencana di kontruksi </t>
  </si>
  <si>
    <t>rencana di kontruksi di 80 M</t>
  </si>
  <si>
    <t>pasang jalur air sirkulasi dari sungai</t>
  </si>
  <si>
    <t>prores pengeboran 119 M mata bor 9 inch</t>
  </si>
  <si>
    <t>prores pengeboran 113 M mata bor 9 inch</t>
  </si>
  <si>
    <t>kirim tricone 5 inch</t>
  </si>
  <si>
    <t>kirim gravel dan pipa 1 btg</t>
  </si>
  <si>
    <t>minta vanbelt B51 2bh</t>
  </si>
  <si>
    <t>progres kedalaman 56 M</t>
  </si>
  <si>
    <t>jadwal untuk induksi terlebih dahulu</t>
  </si>
  <si>
    <t>progres kedalaman 100 M dan logging</t>
  </si>
  <si>
    <t>tinggal finishing pemasangan pompa</t>
  </si>
  <si>
    <t>prores pengeboran 124 M mata bor 9 inch</t>
  </si>
  <si>
    <t>prores pengeboran 126 M mata bor 9 inch</t>
  </si>
  <si>
    <t>progres pengeboran kedalaman 35 M mata bor tricone 8 inch</t>
  </si>
  <si>
    <t>progres pengeboran kedalaman 38 M mata bor tricone 8 inch</t>
  </si>
  <si>
    <t>masih belum ada progres kedalaman , kendala masih waterlos</t>
  </si>
  <si>
    <t>angkat stangbor untuk ganti mata bor pdc 6 inch , belum ada progres</t>
  </si>
  <si>
    <t>baru turun reaming tabung 8 inch kedalman 86 M</t>
  </si>
  <si>
    <t>coba pumping test tidak keluar air</t>
  </si>
  <si>
    <t>reaming 8 inch di kedalaman 115 M</t>
  </si>
  <si>
    <t>reaming 8 inch di kedalaman 125 M</t>
  </si>
  <si>
    <t>progres pengeboran 82,5 M mata bor pdc 8 inch</t>
  </si>
  <si>
    <t>ngurug pakai scam , bentonit, untuk nutup waterlos</t>
  </si>
  <si>
    <t>Progres pengeboran 35 M mata bor four wing</t>
  </si>
  <si>
    <t>prores pengeboran 128 M mata bor 9 inch</t>
  </si>
  <si>
    <t>progres kedalaman 30,7 M mata bor pdc 6 inch</t>
  </si>
  <si>
    <t>progres kedalaman 28,5 M mata bor pdc 6 inch</t>
  </si>
  <si>
    <t>progres kedalaman 26,5 M mata bor pdc 6 inch</t>
  </si>
  <si>
    <t>persiapan alat buat ngakalin stangbor yang jatuh</t>
  </si>
  <si>
    <t>progres pengeboran kedalaman 41 M mata bor tricone 8 inch</t>
  </si>
  <si>
    <t>team ke katulisan</t>
  </si>
  <si>
    <t>progres pengeboran 85 M mata bor pdc 8 inch</t>
  </si>
  <si>
    <t>progres pengeboran 86,5 M mata bor pdc 8 inch</t>
  </si>
  <si>
    <t>reaming 8 inch di kedalaman 130 M</t>
  </si>
  <si>
    <t>compresor di pindahkan ke area muhidin</t>
  </si>
  <si>
    <t>ganti mata bor tricon 6 inch</t>
  </si>
  <si>
    <t>progres kedalaman 57 M</t>
  </si>
  <si>
    <t>perbaikan mata bor</t>
  </si>
  <si>
    <t>progres kedalaman 75 M</t>
  </si>
  <si>
    <t>progres pengeboran kedalaman 45 M mata bor tricone 8 inch</t>
  </si>
  <si>
    <t>masih persiapan buat pancingan</t>
  </si>
  <si>
    <t>prores pengeboran 134 M mata bor 9 inch</t>
  </si>
  <si>
    <t>belom ada penambahan progres , coba di borehole</t>
  </si>
  <si>
    <t>progres pengeboran 88,5 M mata bor pdc 8 inch</t>
  </si>
  <si>
    <t>reaming 8 inch di kedalaman 131 M</t>
  </si>
  <si>
    <t>reaming 8 inch di kedalaman 132 M</t>
  </si>
  <si>
    <t>reaming udah sampai 86 M</t>
  </si>
  <si>
    <t>progres pengeboran 90 M mata bor pdc 8 inch</t>
  </si>
  <si>
    <t>prores pengeboran 140 M mata bor 9 inch</t>
  </si>
  <si>
    <t>pipa yang jatuh sudah terangkat semua</t>
  </si>
  <si>
    <t>progres pengeboran kedalaman 43 M mata bor tricone 8 inch</t>
  </si>
  <si>
    <t>progres kedalaman 58 M</t>
  </si>
  <si>
    <t>progres kedalaman 42 M mata bor pdc 6 inch</t>
  </si>
  <si>
    <t>Team Pak Unyil</t>
  </si>
  <si>
    <t>baru pasang listrik</t>
  </si>
  <si>
    <t>progres kedalaman 33 M</t>
  </si>
  <si>
    <t>progres kedalaman 100 M</t>
  </si>
  <si>
    <t>progres pengeboran kedalaman 50 M mata bor tricone 8 inch</t>
  </si>
  <si>
    <t>logging baru masuk 66 M</t>
  </si>
  <si>
    <t>progres pengeboran 100 M mata bor 8 inch</t>
  </si>
  <si>
    <t>prores pengeboran 146 M mata bor 9 inch</t>
  </si>
  <si>
    <t xml:space="preserve">belom ada penambahan progres </t>
  </si>
  <si>
    <t>progres pengeboran 90,5 M mata bor pdc 8 inch</t>
  </si>
  <si>
    <t>reaming 8 inch di kedalaman 138 M</t>
  </si>
  <si>
    <t>reaming 8 inch di kedalaman 142 M</t>
  </si>
  <si>
    <t>reaming 8 inch di kedalaman 146 M</t>
  </si>
  <si>
    <t>reaming 8 inch di kedalaman 148 M</t>
  </si>
  <si>
    <t>tinggal finishing</t>
  </si>
  <si>
    <t>kendala pully gardan patah</t>
  </si>
  <si>
    <t>belom ada progres</t>
  </si>
  <si>
    <t>reaming pakai mata bor tricone 10 inch kedalaman 10 M</t>
  </si>
  <si>
    <t>reaming pakai mata bor tricone 10 inch kedalaman 18 M</t>
  </si>
  <si>
    <t>prores pengeboran 152 M mata bor 9 inch</t>
  </si>
  <si>
    <t>prores pengeboran 154 M mata bor 9 inch</t>
  </si>
  <si>
    <t>progres kedalaman 52 M mata bor pdc 6 inch</t>
  </si>
  <si>
    <t>progres kedalaman 48 M mata bor pdc 6 inch</t>
  </si>
  <si>
    <t>progres kedalaman 44 M mata bor pdc 6 inch</t>
  </si>
  <si>
    <t>progres pengeboran kedalaman 99 M mata bor tricone 8 inch</t>
  </si>
  <si>
    <t>progres pengeboran kedalaman 80 M mata bor tricone 8 inch</t>
  </si>
  <si>
    <t>progres pengeboran kedalaman 65 M mata bor tricone 8 inch</t>
  </si>
  <si>
    <t>progres pengeboran 3 M</t>
  </si>
  <si>
    <t>progres kedalaman 127 M</t>
  </si>
  <si>
    <t>progres kedalaman 111 M</t>
  </si>
  <si>
    <t>demob alat ke sukawana curug</t>
  </si>
  <si>
    <t>kirim casing 6 inch 18 btg dan 4 inch 7 btg</t>
  </si>
  <si>
    <t>pumping di tinggar pakai pompa dari gandi</t>
  </si>
  <si>
    <t>logging jam 2</t>
  </si>
  <si>
    <t>reaming baru 55 M</t>
  </si>
  <si>
    <t>demob alat ke workshop</t>
  </si>
  <si>
    <t>reaming 8 inch di kedalaman 151 M</t>
  </si>
  <si>
    <t>progres kedalaman sudah di 10 M</t>
  </si>
  <si>
    <t>logging test dan kontruksi</t>
  </si>
  <si>
    <t>reaming pakai mata bor tricone 10 inch kedalaman 26 M</t>
  </si>
  <si>
    <t>prores pengeboran 155 M mata bor 9 inch</t>
  </si>
  <si>
    <t>progres pengeboran 24 M</t>
  </si>
  <si>
    <t>progres kedalaman 150 M</t>
  </si>
  <si>
    <t>progres kedalaman 53 M mata bor pdc 6 inch</t>
  </si>
  <si>
    <t>reaming baru 60 M</t>
  </si>
  <si>
    <t>progres kedalaman sudah di 43 M</t>
  </si>
  <si>
    <t>kontruksi 6 inch  gagal</t>
  </si>
  <si>
    <t>pencabutan pipa casing</t>
  </si>
  <si>
    <t>angkat stangbor dan persiapan untuk kontruksi</t>
  </si>
  <si>
    <t>progres kedalaman 54,5 M mata bor pdc 6 inch</t>
  </si>
  <si>
    <t>spul ,langsir gravel dan lumpur</t>
  </si>
  <si>
    <t>reaming pakai mata bor tricone 10 inch kedalaman 34 M</t>
  </si>
  <si>
    <t>pasang pully 14 inch</t>
  </si>
  <si>
    <t>reaming 8 inch di kedalaman 110 M</t>
  </si>
  <si>
    <t>reaming 8 inch di kedalaman 90 M</t>
  </si>
  <si>
    <t>naik turun stangbor</t>
  </si>
  <si>
    <t>angkat stangbor masukan mata bor pdc 4 inch</t>
  </si>
  <si>
    <t>reparasi gardan , bor dengan pdc 8 inch udah gak turun lagi</t>
  </si>
  <si>
    <t>penegboran dapet 20 cm , kendala bearing hancur dan gigi nanas ancur</t>
  </si>
  <si>
    <t>reaming pakai mata bor tricone 10 inch kedalaman 35 M</t>
  </si>
  <si>
    <t>service alat sambil nunggu coran</t>
  </si>
  <si>
    <t>turun kan mata bor buat coran baru 50 CM</t>
  </si>
  <si>
    <t>progres sepul di kedalaman 145 M</t>
  </si>
  <si>
    <t>reaming baru 68 M</t>
  </si>
  <si>
    <t>reaming baru 90 M</t>
  </si>
  <si>
    <t>progres pengeboran 38 M</t>
  </si>
  <si>
    <t>progres kedalaman sudah di 60 M</t>
  </si>
  <si>
    <t>progres pengeboran 93 M mata bor pdc 4 inch</t>
  </si>
  <si>
    <t>progres pengeboran 92,8 M mata bor pdc 4 inch</t>
  </si>
  <si>
    <t>turun kan mata bor buat coran dapet 1M</t>
  </si>
  <si>
    <t xml:space="preserve">Progres pengeboran 28,5 M mata bor triwing </t>
  </si>
  <si>
    <t>ganti alat pakai rig dari sumedang</t>
  </si>
  <si>
    <t>progres kedalaman sudah di 100 M</t>
  </si>
  <si>
    <t>reaming kedalaman 60 M</t>
  </si>
  <si>
    <t>reaming kedalaman 100 M</t>
  </si>
  <si>
    <t>kontruksi 4 inch</t>
  </si>
  <si>
    <t xml:space="preserve">pemasangan pompa permanent </t>
  </si>
  <si>
    <t>tinggal di connect ke panel utama</t>
  </si>
  <si>
    <t>reaming baru 100 M</t>
  </si>
  <si>
    <t>perbaikan spulkop</t>
  </si>
  <si>
    <t>progres kedalaman 45 M mata bor pdc 8 inch</t>
  </si>
  <si>
    <t>progres kedalaman 15 M mata bor pdc 8 inch</t>
  </si>
  <si>
    <t>naikan stangbor sisa 22 btg lagi</t>
  </si>
  <si>
    <t xml:space="preserve">Progres pengeboran 36 M mata bor triwing </t>
  </si>
  <si>
    <t>naikan stangbor baru 7 btg yang terjepit</t>
  </si>
  <si>
    <t>logging dan baru turun pdc 8 inch</t>
  </si>
  <si>
    <t>kendala mampet mata bornya</t>
  </si>
  <si>
    <t>di jadwalkan pumping di minggu depan</t>
  </si>
  <si>
    <t>progres pengeboran 42 M mata bor tricone gigi 6 inch</t>
  </si>
  <si>
    <t>progres pengeboran 45 M mata bor tricone gigi 6 inch</t>
  </si>
  <si>
    <t>progres pengeboran 60 M mata bor tricone gigi 6 inch</t>
  </si>
  <si>
    <t>progres pengeboran 70 M mata bor tricone gigi 6 inch</t>
  </si>
  <si>
    <t>progres pengeboran kedalaman 9 M mata bor 6 inch triwing</t>
  </si>
  <si>
    <t>progres pengeboran kedalaman 21 M mata bor 6 inch triwing</t>
  </si>
  <si>
    <t>progres pengeboran kedalaman 30 M mata bor 6 inch triwing</t>
  </si>
  <si>
    <t>progres pengeboran 85 M mata bor tricone gigi 6 inch</t>
  </si>
  <si>
    <t>progres pengeboran 91 M mata bor tricone gigi 6 inch</t>
  </si>
  <si>
    <t>finish</t>
  </si>
  <si>
    <t>bor ulang</t>
  </si>
  <si>
    <t>progres pengeboran 93 M mata bor pdc 8 inch</t>
  </si>
  <si>
    <t>progres pengeboran 91 M mata bor pdc 8 inch</t>
  </si>
  <si>
    <t xml:space="preserve">Progres pengeboran 37 M mata bor triwing </t>
  </si>
  <si>
    <t>kedalman 33 meter mata bor 5 inch</t>
  </si>
  <si>
    <t>pasang pompa kuras</t>
  </si>
  <si>
    <t>butuh pompa 2 hp</t>
  </si>
  <si>
    <t>ambil pompa dari cemplang</t>
  </si>
  <si>
    <t>progres kedalaman 48 M mata bor pdc 8 inch</t>
  </si>
  <si>
    <t>kirim casing dll</t>
  </si>
  <si>
    <t>progres pengeboran kedalaman 35 M mata bor 6 inch triwing</t>
  </si>
  <si>
    <t>tunggu listrik</t>
  </si>
  <si>
    <t>progres pengeboran 100 M mata bor tricone gigi 6 inch</t>
  </si>
  <si>
    <t xml:space="preserve">Progres pengeboran 38,5 M mata bor triwing </t>
  </si>
  <si>
    <t>team baru jalan ke lokasi untuk finishing</t>
  </si>
  <si>
    <t>pengurugan untuk nutup lubang bor yg urug baru 2 M</t>
  </si>
  <si>
    <t>pasang konduktor sambil di urug</t>
  </si>
  <si>
    <t>progres pengeboran 94,5 M mata bor pdc 8 inch</t>
  </si>
  <si>
    <t>pumping tes</t>
  </si>
  <si>
    <t>kontruksi dan logging</t>
  </si>
  <si>
    <t>progres pengeboran 140 M</t>
  </si>
  <si>
    <t xml:space="preserve">demob alat dan setting alat </t>
  </si>
  <si>
    <t>progres pengeboran 96 M mata bor pdc 8 inch</t>
  </si>
  <si>
    <t xml:space="preserve">Progres pengeboran 40 M mata bor triwing </t>
  </si>
  <si>
    <t xml:space="preserve">ganti pipa output dari 1 1/2 ke 1 inch </t>
  </si>
  <si>
    <t>masih persiapan buat rakit pipa galvanis</t>
  </si>
  <si>
    <t>Progres kedalaman 80 M</t>
  </si>
  <si>
    <t>Progres kedalaman 105 M</t>
  </si>
  <si>
    <t>target 110</t>
  </si>
  <si>
    <t>reaming  51 M mata bor tricone gigi 6 inch</t>
  </si>
  <si>
    <t>reaming  63 M mata bor tricone gigi 6 inch</t>
  </si>
  <si>
    <t>reaming 30 M mata bor tricone gigi 6 inch</t>
  </si>
  <si>
    <t>pemasangan scrup , ngukur tambang untuk persiapan pasang pompa permanen</t>
  </si>
  <si>
    <t>gagal kontruksi dan di angkat lagi</t>
  </si>
  <si>
    <t>reaming ulang baru di kedalaman 70 M</t>
  </si>
  <si>
    <t xml:space="preserve">Progres pengeboran 41 M mata bor triwing </t>
  </si>
  <si>
    <t>pengursan sumur dan pemasangan jalur ke toren</t>
  </si>
  <si>
    <t>pemasangan otomatis pompa ke turen dan pengursan</t>
  </si>
  <si>
    <t>pengurugan untuk nutup lubang bor yg urug</t>
  </si>
  <si>
    <t>progres kedalaman udah di 55 M , kendala mcb turun terus</t>
  </si>
  <si>
    <t>Kabel Terpasang</t>
  </si>
  <si>
    <t>Sudah DI lepas</t>
  </si>
  <si>
    <t>Pompa Pumping</t>
  </si>
  <si>
    <t>Pompa Air</t>
  </si>
  <si>
    <t>60 meter</t>
  </si>
  <si>
    <t>150 meter</t>
  </si>
  <si>
    <t>100 meter</t>
  </si>
  <si>
    <t>20 meter</t>
  </si>
  <si>
    <t>35 meter</t>
  </si>
  <si>
    <t>400 meter</t>
  </si>
  <si>
    <t>Sementara</t>
  </si>
  <si>
    <t>Permanen</t>
  </si>
  <si>
    <t>47 meter</t>
  </si>
  <si>
    <t>Y</t>
  </si>
  <si>
    <t>4" 2hp 1ph 5-17</t>
  </si>
  <si>
    <t>3" 0,5hp</t>
  </si>
  <si>
    <t>3" 2hp 1ph 3"</t>
  </si>
  <si>
    <t>4" 2hp 3-25</t>
  </si>
  <si>
    <t>0,5hp 3"</t>
  </si>
  <si>
    <t>3ph 4" 3hp 3phas</t>
  </si>
  <si>
    <t>4" 3hp 3phas 4"</t>
  </si>
  <si>
    <t>progres kedalaman 115 M</t>
  </si>
  <si>
    <t>reaming ulang baru di kedalaman 96 M</t>
  </si>
  <si>
    <t>reaming  91 M mata bor tricone gigi 6 inch</t>
  </si>
  <si>
    <t>reaming  100 M mata bor tricone gigi 6 inch</t>
  </si>
  <si>
    <t>progres masih 55 M kendala waterloss</t>
  </si>
  <si>
    <t xml:space="preserve">Progres pengeboran 42 M mata bor triwing </t>
  </si>
  <si>
    <t>lansir alat ke lokasi bor</t>
  </si>
  <si>
    <t xml:space="preserve">Progres pengeboran 43 M mata bor triwing </t>
  </si>
  <si>
    <t>progres pengeboran kedalaman 37 M mata bor tricon gigi</t>
  </si>
  <si>
    <t>progres pengeboran kedalaman 39 M mata bor tricon gigi</t>
  </si>
  <si>
    <t>progres pengeboran kedalaman 40 M mata bor tricon gigi</t>
  </si>
  <si>
    <t>progres pengeboran kedalaman 42 M mata bor tricon gigi</t>
  </si>
  <si>
    <t>progres pengeboran kedalaman 47 M mata bor tricon 5 inch</t>
  </si>
  <si>
    <t>target 150 M</t>
  </si>
  <si>
    <t>udah selesai finishing</t>
  </si>
  <si>
    <t>progres pengeboran kedalaman 50 M mata bor tricon 5 inch</t>
  </si>
  <si>
    <t xml:space="preserve">kontruksi masuk 33 btg </t>
  </si>
  <si>
    <t>demob alat pindah ke tinggar</t>
  </si>
  <si>
    <t>baru terpasang listrik</t>
  </si>
  <si>
    <t>mendirikan alat</t>
  </si>
  <si>
    <t>team bantu lokasi koncang</t>
  </si>
  <si>
    <t>gagal kontruksi masuk 8 btg</t>
  </si>
  <si>
    <t>geser alat ke titik ke 2</t>
  </si>
  <si>
    <t>buat coringan 8 inch dan pasang widia</t>
  </si>
  <si>
    <t>reaming ulang pakai coring 8 inch kedalaman 58 M</t>
  </si>
  <si>
    <t xml:space="preserve">Progres pengeboran 45 M mata bor triwing </t>
  </si>
  <si>
    <t xml:space="preserve">Progres pengeboran 47 M mata bor triwing </t>
  </si>
  <si>
    <t>reaming ulang kedalaman 75 M</t>
  </si>
  <si>
    <t>reaming ulang kedalaman 65 M</t>
  </si>
  <si>
    <t>reaming ulang kedalaman 50 M</t>
  </si>
  <si>
    <t>reaming ulang kedalaman 25 M</t>
  </si>
  <si>
    <t>geolistrik ulang</t>
  </si>
  <si>
    <t>masih kontruksi baru 17 btg</t>
  </si>
  <si>
    <t>bongkar alat bor</t>
  </si>
  <si>
    <t>reaming ulang pakai coring 8 inch kedalaman 80 M</t>
  </si>
  <si>
    <t xml:space="preserve">Progres pengeboran 48,5 M mata bor triwing </t>
  </si>
  <si>
    <t>service alatt</t>
  </si>
  <si>
    <t>setting alat dan pasang listrik</t>
  </si>
  <si>
    <t>progres pengeboran kedalaman 56 M mata bor pdc 5x8 inch</t>
  </si>
  <si>
    <t>progres pengeboran kedalaman 45 M mata bor pdc 5x8 inch</t>
  </si>
  <si>
    <t xml:space="preserve">progres kedalaman 20 M mata bor triwing </t>
  </si>
  <si>
    <t xml:space="preserve">progres kedalaman 24 M mata bor triwing </t>
  </si>
  <si>
    <t>reaming ulang pakai coring 8 inch kedalaman 90 M</t>
  </si>
  <si>
    <t xml:space="preserve">Progres pengeboran 49 M mata bor triwing </t>
  </si>
  <si>
    <t xml:space="preserve">perbaikan alat ngelas sasis </t>
  </si>
  <si>
    <t>reaming ulang kedalaman 96 M</t>
  </si>
  <si>
    <t>titik ke 2</t>
  </si>
  <si>
    <t>progres pengeboran kedalaman 60 M mata bor pdc 5x8 inch</t>
  </si>
  <si>
    <t>progres kedalaman 55,5 M</t>
  </si>
  <si>
    <t>kedalaman 50 meter</t>
  </si>
  <si>
    <t>kedalaman pengeboran 30 M</t>
  </si>
  <si>
    <t>bawa stang bor 89 buat penahan alat 2 btg</t>
  </si>
  <si>
    <t>reaming ulang pakai trikon 8 inch dan pelurus coring 8 inch kedalaman 96 M</t>
  </si>
  <si>
    <t>keterangan</t>
  </si>
  <si>
    <t>progres pengeboran kedalaman 62 M mata bor pdc 5x8 inch</t>
  </si>
  <si>
    <t>progres pengeboran kedalaman 41 M mata bor pdc 5x8 inch</t>
  </si>
  <si>
    <t>di siapkan pompa test</t>
  </si>
  <si>
    <t xml:space="preserve">Progres pengeboran 49,5 M mata bor triwing </t>
  </si>
  <si>
    <t xml:space="preserve">naikan stangbor </t>
  </si>
  <si>
    <t>mobilisasi compresor ke lapangan</t>
  </si>
  <si>
    <t>bikin sok dalam casing</t>
  </si>
  <si>
    <t>remin koring 4 inch</t>
  </si>
  <si>
    <t>jeting 1 setengah jam</t>
  </si>
  <si>
    <t xml:space="preserve"> pasang pompa permanen</t>
  </si>
  <si>
    <t>kunci 24 jatuh</t>
  </si>
  <si>
    <t>kedalamn 15 meter mata bor triwing 10 inch</t>
  </si>
  <si>
    <t>nunggu pompa pumping</t>
  </si>
  <si>
    <t xml:space="preserve">pesan v belt b 59 2pcs, magnet 1, </t>
  </si>
  <si>
    <t xml:space="preserve">progres kedalaman 24,2 M mata bor triwing </t>
  </si>
  <si>
    <t>pasang pumping</t>
  </si>
  <si>
    <t>mobilisasi</t>
  </si>
  <si>
    <t>bawa dari pa dayat</t>
  </si>
  <si>
    <t>siapkan trikon</t>
  </si>
  <si>
    <t>Team Pak likin</t>
  </si>
  <si>
    <t>done</t>
  </si>
  <si>
    <t>0,75hp 3"</t>
  </si>
  <si>
    <t>Pasirmae 2 Cipeucang BBWS</t>
  </si>
  <si>
    <t>Pasirmae 1 Cipeucang BBWS</t>
  </si>
  <si>
    <t>kentung</t>
  </si>
  <si>
    <t>0,5hp 3"-ganti baru</t>
  </si>
  <si>
    <t>beli dari iyeng</t>
  </si>
  <si>
    <t>tidak ada</t>
  </si>
  <si>
    <t>100 meter 3 phas</t>
  </si>
  <si>
    <t>150 meter 3 phas</t>
  </si>
  <si>
    <t>20 meter 3 phas</t>
  </si>
  <si>
    <t>50 meter 3 phas</t>
  </si>
  <si>
    <t>keluar gas</t>
  </si>
  <si>
    <t>punya pa sobirin</t>
  </si>
  <si>
    <t>dari pln</t>
  </si>
  <si>
    <t>60 meter 3 phas</t>
  </si>
  <si>
    <t>bawaan alat</t>
  </si>
  <si>
    <t>bawa dari ws</t>
  </si>
  <si>
    <t>ponpes wanayasa purwakarta</t>
  </si>
  <si>
    <t>desa sukacai</t>
  </si>
  <si>
    <t>200 meter 3 phas</t>
  </si>
  <si>
    <t>dari bandung</t>
  </si>
  <si>
    <t>30 meter 3 phas</t>
  </si>
  <si>
    <t>30 meter</t>
  </si>
  <si>
    <t>punya pt uli</t>
  </si>
  <si>
    <t>y</t>
  </si>
  <si>
    <t xml:space="preserve">nunggu hasil lab                                                                                                                                    </t>
  </si>
  <si>
    <t>DAK SWAKELOLA 12 Puser Tirtyasa t1 kantor desa</t>
  </si>
  <si>
    <t>DAK SWAKELOLA 13 puser tirtayasa t2 pondok</t>
  </si>
  <si>
    <t>punya unyil</t>
  </si>
  <si>
    <t>belum</t>
  </si>
  <si>
    <t>belum daftar</t>
  </si>
  <si>
    <t>bor samping</t>
  </si>
  <si>
    <t>dari rs</t>
  </si>
  <si>
    <t>10 meter</t>
  </si>
  <si>
    <t>dari tep</t>
  </si>
  <si>
    <t>200 meter</t>
  </si>
  <si>
    <t>dari client</t>
  </si>
  <si>
    <t>pakai alkon</t>
  </si>
  <si>
    <t>pakai DTH</t>
  </si>
  <si>
    <t>koring 4 inch</t>
  </si>
  <si>
    <t>350 meter 3 phas</t>
  </si>
  <si>
    <t>dari ws</t>
  </si>
  <si>
    <t xml:space="preserve">20 meter </t>
  </si>
  <si>
    <t>nunggu dth</t>
  </si>
  <si>
    <t xml:space="preserve">mobil truk </t>
  </si>
  <si>
    <t>%</t>
  </si>
  <si>
    <t>pumpig test</t>
  </si>
  <si>
    <t>tinggal pumping</t>
  </si>
  <si>
    <t>pasang kwh permanen</t>
  </si>
  <si>
    <t>250 meter 3 phas</t>
  </si>
  <si>
    <t>35 meter 3 phas</t>
  </si>
  <si>
    <t>80 meter 3 phas</t>
  </si>
  <si>
    <t>dari pln/oasis</t>
  </si>
  <si>
    <t xml:space="preserve"> y</t>
  </si>
  <si>
    <t>83 meter</t>
  </si>
  <si>
    <t>65 meter 3 phas</t>
  </si>
  <si>
    <t>punya pa unyil</t>
  </si>
  <si>
    <t>pakai dongfeng</t>
  </si>
  <si>
    <t>bawa dari ws/sumedang</t>
  </si>
  <si>
    <t>37 meter</t>
  </si>
  <si>
    <t>dari pln+beli</t>
  </si>
  <si>
    <t>belum ada</t>
  </si>
  <si>
    <t>pasang listrik</t>
  </si>
  <si>
    <t>perapihan tanah lmepung bekas boran lokasi titik 1</t>
  </si>
  <si>
    <t>perapihan tanah lmepung bekas boran lokasi titik 2</t>
  </si>
  <si>
    <t>perapihan tanah lmepung bekas boran lokasi titik 3</t>
  </si>
  <si>
    <t>perapihan tanah lmepung bekas boran lokasi titik 4</t>
  </si>
  <si>
    <t xml:space="preserve">progres kedalaman 24,7 M mata bor triwing </t>
  </si>
  <si>
    <t>persiapan pompa test</t>
  </si>
  <si>
    <t>demob alat hari ini</t>
  </si>
  <si>
    <t>pengentalan air sirkulasi dan buat adonan untuk nutup waterlos</t>
  </si>
  <si>
    <t>ngurug dengan di bantu beko</t>
  </si>
  <si>
    <t xml:space="preserve">Progres pengeboran 50 M mata bor triwing </t>
  </si>
  <si>
    <t>Casing Harus di angkat kembali, di konstruksi ulang</t>
  </si>
  <si>
    <t>Progress kedalaman 59 m dengan matabor ?</t>
  </si>
  <si>
    <t>PT. Alam Sutra Cikupa titik 2 (Duta Realtindo)</t>
  </si>
  <si>
    <t>perapihan tanah lempung bekas boran lokasi titik 5</t>
  </si>
  <si>
    <t>Persiapan Lokasi 2</t>
  </si>
  <si>
    <t>Ada rouble, patah water swivel</t>
  </si>
  <si>
    <t>progres pengeboran kedalaman 65 M mata bor pdc 5x8 inch</t>
  </si>
  <si>
    <t>progres pengeboran kedalaman 70 M mata bor pdc 5x8 inch</t>
  </si>
  <si>
    <t>progres pengeboran kedalaman 72 M mata bor pdc 5x8 inch</t>
  </si>
  <si>
    <t>reming 4 inch</t>
  </si>
  <si>
    <t>air tekor</t>
  </si>
  <si>
    <t>bongkar ns, masuk lagi koring 8 inch</t>
  </si>
  <si>
    <t xml:space="preserve">angkat koring 8 inch </t>
  </si>
  <si>
    <t xml:space="preserve">Progres pengeboran 51 M mata bor triwing </t>
  </si>
  <si>
    <t xml:space="preserve">Progress kedalaman 61 m mata bor pdc 6 inch </t>
  </si>
  <si>
    <t>kedalamn 16 meter mata bor triwing 10 inch</t>
  </si>
  <si>
    <t>perbaikan mata bor dan tarik kabel</t>
  </si>
  <si>
    <t>progres pengeboran kedalaman 75 M mata bor pdc 5x8 inch</t>
  </si>
  <si>
    <t>langsir alat</t>
  </si>
  <si>
    <t>tida ada</t>
  </si>
  <si>
    <t>hamer dth</t>
  </si>
  <si>
    <t>buatkan sayap koring</t>
  </si>
  <si>
    <t>angkat pompa pasang di sukalaksana</t>
  </si>
  <si>
    <t xml:space="preserve">progres kedalaman 25,7 M koring 6 inch </t>
  </si>
  <si>
    <t xml:space="preserve">progres kedalaman 26,7 M mata bor tricon 12 inch </t>
  </si>
  <si>
    <t xml:space="preserve">progres kedalaman 28,7 M mata bor tricon 12 inch </t>
  </si>
  <si>
    <t>8 meter</t>
  </si>
  <si>
    <t>cari mobil</t>
  </si>
  <si>
    <t xml:space="preserve">Progres pengeboran 52,5 M mata bor triwing </t>
  </si>
  <si>
    <t xml:space="preserve">Progres pengeboran 53,5 M mata bor triwing </t>
  </si>
  <si>
    <t>progres kedalaman baru 1 M</t>
  </si>
  <si>
    <t>progres pengeboran kedalaman 80 M mata bor pdc 5x8 inch</t>
  </si>
  <si>
    <t>progres pengeboran kedalaman 83 M mata bor pdc 5x8 inch</t>
  </si>
  <si>
    <t>reaming kedalaman baru 25 M</t>
  </si>
  <si>
    <t>reaming kedalaman baru 25,2 M</t>
  </si>
  <si>
    <t>naikan coring 8 inch karena kesumbat</t>
  </si>
  <si>
    <t>masih persiapan setting alat</t>
  </si>
  <si>
    <t>reming 4 inch dan di hamer pakai dth kedalaman 125 M</t>
  </si>
  <si>
    <t>kedalamn 17 meter mata bor triwing 10 inch</t>
  </si>
  <si>
    <t>ngakalin pipa bor yang patah sudah terangkat kembali</t>
  </si>
  <si>
    <t xml:space="preserve">Progress kedalaman 62.5 m mata bor pdc 6 inch </t>
  </si>
  <si>
    <t xml:space="preserve">Progress kedalaman 62 m mata bor pdc 6 inch </t>
  </si>
  <si>
    <t>reaming 4 inch kedalaman 128 M</t>
  </si>
  <si>
    <t>minta di krim solar</t>
  </si>
  <si>
    <t>setting alat , gali spul bak dan pasang listrik</t>
  </si>
  <si>
    <t>progres pengeboran kedalaman 87 M mata bor pdc 5x8 inch</t>
  </si>
  <si>
    <t>proses pengeboran sudah mulai namun ketemu kabel dan geser titik bor</t>
  </si>
  <si>
    <t xml:space="preserve">Progress kedalaman 63.5 m mata bor pdc 6 inch </t>
  </si>
  <si>
    <t xml:space="preserve">Progres pengeboran 55 M mata bor triwing </t>
  </si>
  <si>
    <t>baru turun lagi coring 6 ke 8 inchnya kedalam 25 M</t>
  </si>
  <si>
    <t>reaming 8 inch kedalaman 37 M</t>
  </si>
  <si>
    <t>kedalamn 19 meter mata bor triwing 8 inch</t>
  </si>
  <si>
    <t>reaming 4 inch kedalaman 130 M</t>
  </si>
  <si>
    <t>motong dan las unp buat dudukan sasis</t>
  </si>
  <si>
    <t>casing 6 inch AW, 25 btg</t>
  </si>
  <si>
    <t>progres kedalaman baru 2 M mata bor 4x6 PDC PAGODA</t>
  </si>
  <si>
    <t>reaming 8 inch kedalaman 46 M</t>
  </si>
  <si>
    <t xml:space="preserve">Progres pengeboran 56.30 M mata bor triwing </t>
  </si>
  <si>
    <t xml:space="preserve">Progress kedalaman 64.5 m mata bor pdc 6 inch </t>
  </si>
  <si>
    <t>loging tes</t>
  </si>
  <si>
    <t>seting mesin, las buat dudukan sasis</t>
  </si>
  <si>
    <t>kendala air suplay tidak maksimal</t>
  </si>
  <si>
    <t>reaming kedalaman baru 33 M mata bor tricon 8 inch</t>
  </si>
  <si>
    <t>minta di krim solar, tambang, kabel pompa-+ 50</t>
  </si>
  <si>
    <t>bering ns</t>
  </si>
  <si>
    <t>kabel hal ambil dari pasauran dan bulakan</t>
  </si>
  <si>
    <t>pompa mabil dari angsana</t>
  </si>
  <si>
    <t>pipa 200 meter</t>
  </si>
  <si>
    <t>cek pipa bekas pumping</t>
  </si>
  <si>
    <t>kasih tricon</t>
  </si>
  <si>
    <t>reaming kedalaman baru 30 M mata bor tricon 8 ich</t>
  </si>
  <si>
    <t>mati lampu sampai jam 3 sore</t>
  </si>
  <si>
    <t>keras</t>
  </si>
  <si>
    <t>masih gali</t>
  </si>
  <si>
    <t>progres kedalaman baru 3 M mata bor 4x6 PDC PAGODA</t>
  </si>
  <si>
    <t>kedalaman 7,5 meter tusuk samping</t>
  </si>
  <si>
    <t>kedalaman 2 meter tusuk samping</t>
  </si>
  <si>
    <t>service dth</t>
  </si>
  <si>
    <t>kedalaman 13 meter tusuk samping</t>
  </si>
  <si>
    <t>butuh pompa</t>
  </si>
  <si>
    <t>masuk pipa 2 batang mata bor tricon jagung 8 inch</t>
  </si>
  <si>
    <t>servis bering ns/ns</t>
  </si>
  <si>
    <t xml:space="preserve">Progres pengeboran 57.50 M mata bor triwing </t>
  </si>
  <si>
    <t>ganti bering</t>
  </si>
  <si>
    <t>reaming kedalaman baru 55 M mata bor tricon 8 inch</t>
  </si>
  <si>
    <t>pasang kesing 12 inc</t>
  </si>
  <si>
    <t>screen pipa</t>
  </si>
  <si>
    <t>kedalaman 15 meter 4 inch</t>
  </si>
  <si>
    <t>kedalaman 30 meter meter mata bor 4 inch</t>
  </si>
  <si>
    <t>progres kedalaman baru 6 M mata bor 4x6 PDC PAGODA</t>
  </si>
  <si>
    <t>progres kedalaman 15 meter 6 inch</t>
  </si>
  <si>
    <t>progres kedalaman 40 meter 6 inch</t>
  </si>
  <si>
    <t>kedalamn 19,50 meter mata bor triwing 8 inch</t>
  </si>
  <si>
    <t>angkat pipa bor, pasang pompa, pakai takel atau lainnya</t>
  </si>
  <si>
    <t>lembur sampai jam 11 malam</t>
  </si>
  <si>
    <t>angkat pompa pumping</t>
  </si>
  <si>
    <t>di tekan lagi</t>
  </si>
  <si>
    <t>coba pakai hamer</t>
  </si>
  <si>
    <t>PT. CULLET TANGERANG</t>
  </si>
  <si>
    <t>3 phas</t>
  </si>
  <si>
    <t>sudah ada</t>
  </si>
  <si>
    <t>biaya saja</t>
  </si>
  <si>
    <t>no</t>
  </si>
  <si>
    <t>bawa dari alat</t>
  </si>
  <si>
    <t>nunggu mekanik</t>
  </si>
  <si>
    <t>kedalaman 16 meter tusuk samping</t>
  </si>
  <si>
    <t>progres kedalaman 28 meter mata bor trikon jagung 8 inch</t>
  </si>
  <si>
    <t>reaming 8 inch kedalaman 50 M</t>
  </si>
  <si>
    <t xml:space="preserve">Progres pengeboran 58.50 M mata bor triwing </t>
  </si>
  <si>
    <t xml:space="preserve">Progress kedalaman 64.8 m mata bor pdc 6 inch </t>
  </si>
  <si>
    <t>kedalamn 19,65 meter mata bor triwing 8 inch</t>
  </si>
  <si>
    <t>reaming kedalaman baru 61 M mata bor tricon 8 inch</t>
  </si>
  <si>
    <t>progres kedalaman 21 meter mata bor 9 inch</t>
  </si>
  <si>
    <t>bawa gravel dan pompa pumping</t>
  </si>
  <si>
    <t>progres kedalaman baru 7 M mata bor 4x6 PDC PAGODA</t>
  </si>
  <si>
    <t>kendala air artesis</t>
  </si>
  <si>
    <t>progres kedalaman 50 meter 6 inch</t>
  </si>
  <si>
    <t>kedalaman 30,2 meter meter mata bor 4 inch</t>
  </si>
  <si>
    <t>punya unyil+ws</t>
  </si>
  <si>
    <t>minta gawangan dan takel</t>
  </si>
  <si>
    <t>kedalaman 24 meter tusuk samping</t>
  </si>
  <si>
    <t>progres kedalaman 33 meter mata bor trikon jagung 8 inch</t>
  </si>
  <si>
    <t xml:space="preserve">Progres pengeboran 59.50 M mata bor triwing </t>
  </si>
  <si>
    <t>pakai hamer tidak turun</t>
  </si>
  <si>
    <t>kedalamn 19,75 meter mata bor triwing 8 inch</t>
  </si>
  <si>
    <t>reaming kedalaman baru 74 M mata bor tricon 8 inch</t>
  </si>
  <si>
    <t>minta bering ns 80 4 biji</t>
  </si>
  <si>
    <t>progres kedalaman 39 meter mata bor 9 inch</t>
  </si>
  <si>
    <t>pasang gravel dan pumping</t>
  </si>
  <si>
    <t>progres kedalaman 65 meter 6 inch</t>
  </si>
  <si>
    <t>as puly gearbox patah, minta bantuan iyus buat bongkar</t>
  </si>
  <si>
    <t xml:space="preserve">Progress kedalaman 65 m mata bor pdc 6 inch </t>
  </si>
  <si>
    <t>siapkan koring 7 inch dan 10 inch</t>
  </si>
  <si>
    <t>ambil trikon 6 in</t>
  </si>
  <si>
    <t>Team Pak Hidayat</t>
  </si>
  <si>
    <t>progres kedalaman 85 meter 6 inch</t>
  </si>
  <si>
    <t>kedalaman 27.5 meter tusuk samping</t>
  </si>
  <si>
    <t>progres kedalaman 35 meter mata bor trikon jagung 8 inch</t>
  </si>
  <si>
    <t>reaming 8 inch kedalaman 60 M</t>
  </si>
  <si>
    <t>reaming 8 inch kedalaman 56 M</t>
  </si>
  <si>
    <t>gearbox ga bisa kebuka, as puly dilas ke puly sebelumnya</t>
  </si>
  <si>
    <t>stang bor masuk 5 batang, puly gearbox patah</t>
  </si>
  <si>
    <t xml:space="preserve">Progress kedalaman 66 m mata bor pdc 6 inch </t>
  </si>
  <si>
    <t>kedalamn 19,85 meter mata bor triwing 8 inch</t>
  </si>
  <si>
    <t>kedalamn 20.5 meter mata bor triwing 8 inch</t>
  </si>
  <si>
    <t>progres kedalaman 57 meter mata bor 9 inch</t>
  </si>
  <si>
    <t>progres kedalaman 72 meter mata bor 9 inch</t>
  </si>
  <si>
    <t>pamping tes</t>
  </si>
  <si>
    <t>angkat stang bor diganti galpanis</t>
  </si>
  <si>
    <t>progres kedalaman 2.30 Meter mata bor 4x6 PDC PAGODA pindah titik 2</t>
  </si>
  <si>
    <t>progres kedalaman 2 Meter mata bor 4x6 PDC PAGODA pindah titik 2</t>
  </si>
  <si>
    <t>progres kedalaman 1 Meter mata bor 4x6 PDC PAGODA pindah titik 2</t>
  </si>
  <si>
    <t>di cek hasil geolistrik</t>
  </si>
  <si>
    <t>minta ns yang baru</t>
  </si>
  <si>
    <t xml:space="preserve">ganti team pak epul </t>
  </si>
  <si>
    <t>mesin alat dth bawa ke kantor</t>
  </si>
  <si>
    <t>Team Pak Doni</t>
  </si>
  <si>
    <t>kedalaman 29 meter tusuk samping</t>
  </si>
  <si>
    <t>progres kedalaman 84 meter mata bor 9 inch</t>
  </si>
  <si>
    <t>progres kedalaman 39 meter mata bor trikon jagung 8 inch</t>
  </si>
  <si>
    <t>reaming 8 inch kedalaman 63 M</t>
  </si>
  <si>
    <t xml:space="preserve">Progres pengeboran 61.20M mata bor triwing </t>
  </si>
  <si>
    <t xml:space="preserve">Progress kedalaman 67 m mata bor pdc 6 inch </t>
  </si>
  <si>
    <t>kedalamn 21 meter mata bor triwing 8 inch</t>
  </si>
  <si>
    <t>progres kedalaman 5.40 Meter mata bor 4x6 PDC PAGODA pindah titik 2</t>
  </si>
  <si>
    <t xml:space="preserve">kirim tricon 6 inch </t>
  </si>
  <si>
    <t>kedalaman 32 meter tusuk samping</t>
  </si>
  <si>
    <t>bikin swipel</t>
  </si>
  <si>
    <t>kejepit di kedalaman 63 meter</t>
  </si>
  <si>
    <t>sisa di bawah 5 btg/23 meter</t>
  </si>
  <si>
    <t xml:space="preserve">Progres pengeboran 63.10M mata bor triwing </t>
  </si>
  <si>
    <t xml:space="preserve">Progress kedalaman 67,5 m mata bor pdc 6 inch </t>
  </si>
  <si>
    <t>servis ns</t>
  </si>
  <si>
    <t>kedalamn 21,20 meter mata bor triwing 8 inch</t>
  </si>
  <si>
    <t>servis menara</t>
  </si>
  <si>
    <t>reaming kedalaman baru 75 M mata bor tricon 8 inch</t>
  </si>
  <si>
    <t xml:space="preserve"> kedalaman baru 78 M mata bor triwing 4 inch</t>
  </si>
  <si>
    <t xml:space="preserve"> kedalaman baru 81 M mata bor triwing 4 inch</t>
  </si>
  <si>
    <t>progres kedalaman 90 meter mata bor 9 inch</t>
  </si>
  <si>
    <t>progres kedalaman reming 6 meter mata bor 10 inch</t>
  </si>
  <si>
    <t>RS HERMINA CIRUAS</t>
  </si>
  <si>
    <t>085711269174</t>
  </si>
  <si>
    <t>087871515004</t>
  </si>
  <si>
    <t>081290089898</t>
  </si>
  <si>
    <t>081213548544</t>
  </si>
  <si>
    <t>085219598819</t>
  </si>
  <si>
    <t>progres kedalaman 120 meter 6 inch</t>
  </si>
  <si>
    <t>kirim mata bor trikon</t>
  </si>
  <si>
    <t>kedalaman 34,5 meter tusuk samping</t>
  </si>
  <si>
    <t>libur tidak ada permit</t>
  </si>
  <si>
    <t>naik semua stang bor</t>
  </si>
  <si>
    <t xml:space="preserve">Progres pengeboran 63.60M mata bor triwing </t>
  </si>
  <si>
    <t xml:space="preserve">Progress kedalaman 68 m mata bor pdc 6 inch </t>
  </si>
  <si>
    <t>kedalamn 23 meter mata bor triwing 8 inch</t>
  </si>
  <si>
    <t xml:space="preserve"> kedalaman baru 102 M mata bor triwing 4 inch</t>
  </si>
  <si>
    <t>progres kedalaman 96 meter mata bor 9 inch</t>
  </si>
  <si>
    <t>kedalaman 25 meter meter mata bor 3 inch pdc pindah titik</t>
  </si>
  <si>
    <t>kedalaman 40 meter meter mata bor 3 inch pdc pindah titik</t>
  </si>
  <si>
    <t>kedalaman 45 meter meter mata bor 3 inch pdc pindah titik</t>
  </si>
  <si>
    <t>kedalaman 60 meter meter mata bor 3 inch pdc pindah titik</t>
  </si>
  <si>
    <t>kedalaman 65 meter meter mata bor 3 inch pdc pindah titik</t>
  </si>
  <si>
    <t>kedalaman 90 meter meter mata bor 3 inch pdc pindah titik</t>
  </si>
  <si>
    <t>progres kedalaman 6 Meter mata bor 4x6 PDC PAGODA pindah titik 2</t>
  </si>
  <si>
    <t>progres kedalaman reming 25 meter mata bor 10 inch</t>
  </si>
  <si>
    <t>geser titik, siapkan casing 10" D 5btg</t>
  </si>
  <si>
    <t>minta bentonit 2 karung</t>
  </si>
  <si>
    <t xml:space="preserve">Progres pengeboran 64.50M mata bor triwing </t>
  </si>
  <si>
    <t xml:space="preserve">Progress kedalaman 68.5 m mata bor pdc 6 inch </t>
  </si>
  <si>
    <t>kedalamn 28 meter mata bor triwing 8 inch</t>
  </si>
  <si>
    <t>progres kedalaman 105 meter mata bor 9 inch</t>
  </si>
  <si>
    <t>progres kedalaman reming 35 meter mata bor 10 inch</t>
  </si>
  <si>
    <t>minta dinamo</t>
  </si>
  <si>
    <t>minta stang bor 3 M</t>
  </si>
  <si>
    <t>bor samping belah kanan 16 M</t>
  </si>
  <si>
    <t>stang bor kejepit, minta kirim dinamo</t>
  </si>
  <si>
    <t>kedalamn 28.5 meter mata bor triwing 8 inch</t>
  </si>
  <si>
    <t>progres kedalaman 111 meter mata bor 9 inch</t>
  </si>
  <si>
    <t>progres kedalaman reming 40 meter mata bor 10 inch</t>
  </si>
  <si>
    <t>ngelas menara pada patah</t>
  </si>
  <si>
    <t>progres kedalaman 47 M Mata Bor trikon 6 inch</t>
  </si>
  <si>
    <t>kedalaman 131 meter meter mata bor 3 inch pdc pindah titik</t>
  </si>
  <si>
    <t>progres kedalaman 42 M Mata Bor pdc 8 inch</t>
  </si>
  <si>
    <t>minta mata bor 6 inch</t>
  </si>
  <si>
    <t>pakai pagoda di cikolelet 1</t>
  </si>
  <si>
    <t>opsi pakai punya pa ipul atau ambil dari tukang gulung</t>
  </si>
  <si>
    <t xml:space="preserve"> kedalaman baru 30 M Reaming mata bor trikon 12 inch</t>
  </si>
  <si>
    <t xml:space="preserve"> kedalaman baru 51 M Reaming mata bor trikon 12 inch</t>
  </si>
  <si>
    <t>Demob alat</t>
  </si>
  <si>
    <t>kedalamn 29.5 meter mata bor triwing 8 inch</t>
  </si>
  <si>
    <t>progres kedalaman 120 meter mata bor 9 inch</t>
  </si>
  <si>
    <t>progres kedalaman 55 M Mata Bor trikon 6 inch</t>
  </si>
  <si>
    <t>bor samping belah kanan 18 M</t>
  </si>
  <si>
    <t xml:space="preserve"> kedalaman baru 81 M Reaming mata bor trikon 12 inch</t>
  </si>
  <si>
    <t xml:space="preserve"> kedalaman baru 91 M Reaming mata bor trikon 12 inch</t>
  </si>
  <si>
    <t>libur bikin mata bor</t>
  </si>
  <si>
    <t>kedalamn 30 meter mata bor triwing 8 inch</t>
  </si>
  <si>
    <t>kedalaman 135 meter meter mata bor 3 inch pdc pindah titik</t>
  </si>
  <si>
    <t>ganti dengan pak waslim</t>
  </si>
  <si>
    <t>pakai chasing 6" galpanis scren stanlis</t>
  </si>
  <si>
    <t>kirim mata bor 6"</t>
  </si>
  <si>
    <t>persiapan</t>
  </si>
  <si>
    <t>proses pembuatan bak spul</t>
  </si>
  <si>
    <t>tinggal pasang dinamo penggerak</t>
  </si>
  <si>
    <t xml:space="preserve">Progress kedalaman 69.5 m mata bor pdc 6 inch </t>
  </si>
  <si>
    <t>progres kedalaman reming 50 meter mata bor 10 inch</t>
  </si>
  <si>
    <t>diliburkan oleh pabrik</t>
  </si>
  <si>
    <t>kedalamn 30.5 meter mata bor triwing 8 inch</t>
  </si>
  <si>
    <t>Libur</t>
  </si>
  <si>
    <t>progres kedalaman 129 meter mata bor 9 inch</t>
  </si>
  <si>
    <t xml:space="preserve">seting gear box atas </t>
  </si>
  <si>
    <t>persiapan/seting alat di work shop</t>
  </si>
  <si>
    <t xml:space="preserve">Progres pengeboran 65M mata bor triwing </t>
  </si>
  <si>
    <t xml:space="preserve"> kedalaman baru 102 M Reaming mata bor trikon 12 inch</t>
  </si>
  <si>
    <t>kedalaman baru 40 M Reaming mata bor 7" triwing</t>
  </si>
  <si>
    <t>nyabut stang bor kejepit</t>
  </si>
  <si>
    <t>progres kedalaman 61 M Mata Bor trikon 6 inch</t>
  </si>
  <si>
    <t>kerjaan off distop oleh kepala desa</t>
  </si>
  <si>
    <t>libur hujan</t>
  </si>
  <si>
    <t>lansir alat dari koncang</t>
  </si>
  <si>
    <t>progres kedalaman 72 M Mata Bor trikon 6 inch</t>
  </si>
  <si>
    <t xml:space="preserve">Progress kedalaman 69.9 m mata bor pdc 6 inch </t>
  </si>
  <si>
    <t>progres kedalaman 131 meter mata bor 9 inch</t>
  </si>
  <si>
    <t xml:space="preserve">Progres pengeboran 65.70M mata bor triwing </t>
  </si>
  <si>
    <t>progres kedalaman 30 meter mata bor triwing 6"</t>
  </si>
  <si>
    <t>pak epul cek lokasi</t>
  </si>
  <si>
    <t>bawain kontaktor</t>
  </si>
  <si>
    <t>kondisi hujan</t>
  </si>
  <si>
    <t>cabut stang bor</t>
  </si>
  <si>
    <t>siapkan sok matabor korrdinasi dg pak sobirin</t>
  </si>
  <si>
    <t xml:space="preserve">Progress kedalaman 70.9 m mata bor pdc 6 inch </t>
  </si>
  <si>
    <t>baru selesai pengecoran lanjut pemasangan pipa soul/nguras</t>
  </si>
  <si>
    <t xml:space="preserve">pembuatan mata bor 10" </t>
  </si>
  <si>
    <t>progres kedalaman reming 70 meter mata bor 10 inch</t>
  </si>
  <si>
    <t>progres kedalaman 82 M Mata Bor trikon 6 inch</t>
  </si>
  <si>
    <t xml:space="preserve">Progres pengeboran 67M mata bor triwing </t>
  </si>
  <si>
    <t>progres kedalaman 131.30 meter mata bor 9 inch</t>
  </si>
  <si>
    <t>pengelasan</t>
  </si>
  <si>
    <t>Team Pak Waslim</t>
  </si>
  <si>
    <t>Angkat pompa sambil nunggu menara bor</t>
  </si>
  <si>
    <t>progres kedalaman 68 meter mata bor triwing 6"</t>
  </si>
  <si>
    <t>seting alat dilokasi</t>
  </si>
  <si>
    <t>masih proses pengelasan yg rusak</t>
  </si>
  <si>
    <t xml:space="preserve">Progress kedalaman 71.9 m mata bor pdc 6 inch </t>
  </si>
  <si>
    <t>proses penyepulan</t>
  </si>
  <si>
    <t>Angkat stang bor lanjut las kuningan bikin mata bor 10"</t>
  </si>
  <si>
    <t>persiapan utntuk melanjutkan pengeboran</t>
  </si>
  <si>
    <t>progres kedalaman reming 105 meter mata bor 10 inch</t>
  </si>
  <si>
    <t>progres kedalaman 13 M Mata Bor trikon 12"</t>
  </si>
  <si>
    <t>progres kedalaman 87 M Mata Bor trikon 6 inch</t>
  </si>
  <si>
    <t xml:space="preserve">Progres pengeboran 68.80M mata bor triwing </t>
  </si>
  <si>
    <t>progres kedalaman 131.80 meter mata bor 9 inch</t>
  </si>
  <si>
    <t>fondasi batu andesit</t>
  </si>
  <si>
    <t>progres kedalaman 84.98 meter mata bor triwing 6"</t>
  </si>
  <si>
    <t>minta dongkrak, pipa 1" atau 1 1/4" 18 batang untuk tembak lumpur</t>
  </si>
  <si>
    <t>TARGET KEDALAMAN 120 M</t>
  </si>
  <si>
    <t>TARGET KEALAMAN 100 M</t>
  </si>
  <si>
    <t xml:space="preserve">TARGET KEDALAMAN </t>
  </si>
  <si>
    <t>Pemasangan pompa pumping tes</t>
  </si>
  <si>
    <t>progres kedalaman 102 M Mata Bor trikon 6 inch</t>
  </si>
  <si>
    <t>besok mulai reaming</t>
  </si>
  <si>
    <t xml:space="preserve">Progress kedalaman 73.4 m mata bor pdc 6 inch </t>
  </si>
  <si>
    <t>masih proses persiapan</t>
  </si>
  <si>
    <t>logging/sambung  menara</t>
  </si>
  <si>
    <t>masih seting alat</t>
  </si>
  <si>
    <t>lembur</t>
  </si>
  <si>
    <t>progres kedalaman 35 M Mata Bor trikon 12"</t>
  </si>
  <si>
    <t>waterloss di kedalaman 68.8 M</t>
  </si>
  <si>
    <t>ambil bambu bikin penampunan air</t>
  </si>
  <si>
    <t>progres kedalaman 132.30 meter mata bor 9 inch</t>
  </si>
  <si>
    <t>pengeboran selesai tinggal pasang chasing</t>
  </si>
  <si>
    <t>progres kedalaman 107.05 meter mata bor triwing 6"</t>
  </si>
  <si>
    <t>nunggu beres rs hermina</t>
  </si>
  <si>
    <t>minta dinamo 7,5 hp</t>
  </si>
  <si>
    <t>Llibur tenaga kerja pada sakit</t>
  </si>
  <si>
    <t>Pemasangan pompa pumping tes kedalaman 80m</t>
  </si>
  <si>
    <t>Pemasangan pompa pumping tes kedalaman 120m</t>
  </si>
  <si>
    <t>progres kedalaman 46 M Mata Bor trikon 8 inch</t>
  </si>
  <si>
    <t>ganti mata bor 8 inch</t>
  </si>
  <si>
    <t>progres kedalaman 68 M Mata Bor trikon 8"</t>
  </si>
  <si>
    <t>sipel patah</t>
  </si>
  <si>
    <t>masukin koring 10"</t>
  </si>
  <si>
    <t>progres kedalaman 133.10 meter mata bor 9 inch</t>
  </si>
  <si>
    <t>nutup yang bocor, plaster air di gorong2 ngelos</t>
  </si>
  <si>
    <t>baru selesai ngelas</t>
  </si>
  <si>
    <t>kedalaman baru 46 M Reaming mata bor 7" triwing</t>
  </si>
  <si>
    <t>pemasangan chaing selesai</t>
  </si>
  <si>
    <t xml:space="preserve"> kedalaman baru 24 M mata bor triwing 10 inch</t>
  </si>
  <si>
    <t>progres kedalaman 118meter mata bor triwing 6"</t>
  </si>
  <si>
    <t>kedalaman baru 90 M Reaming mata bor 7" triwing</t>
  </si>
  <si>
    <t>team geser k neglasari</t>
  </si>
  <si>
    <t>siapkan grapel</t>
  </si>
  <si>
    <t>seting alat menara</t>
  </si>
  <si>
    <t>progres kedalaman 85 M Mata Bor trikon 8"</t>
  </si>
  <si>
    <t>ambil terpal, baud+ring, poli NS di workshop</t>
  </si>
  <si>
    <t>mulai masikin mata bor</t>
  </si>
  <si>
    <t xml:space="preserve">Progress kedalaman 74.1 m mata bor pdc 6 inch </t>
  </si>
  <si>
    <t>siapkan panbel B58</t>
  </si>
  <si>
    <t>mulai  proses reaming</t>
  </si>
  <si>
    <t>Pemasangan pompa pumping tes kedalaman 133m</t>
  </si>
  <si>
    <t>menunggu langkah selanjutnya</t>
  </si>
  <si>
    <t>reaming kedalaman 76 M mata bor tricon 8"</t>
  </si>
  <si>
    <t>progres kedalaman 103 M Mata Bor trikon 8"</t>
  </si>
  <si>
    <t>stang bor masuk, puly gearbox patah</t>
  </si>
  <si>
    <t>angkat stang bor yang patah</t>
  </si>
  <si>
    <t xml:space="preserve">Progress kedalaman 76.1 m mata bor pdc 6 inch </t>
  </si>
  <si>
    <t>pelurusan mata koring 10"</t>
  </si>
  <si>
    <t>selesai nutup yang bocor, plaster air di gorong2 ngelos</t>
  </si>
  <si>
    <t>reaming kedalaman 66 M</t>
  </si>
  <si>
    <t>pembuatan bak spul</t>
  </si>
  <si>
    <t>batu kapur dan sling</t>
  </si>
  <si>
    <t>tinggal tunggu air jernih</t>
  </si>
  <si>
    <t>reaming kedalaman 102 M mata bor tricon 8"</t>
  </si>
  <si>
    <t>progres kedalaman 125 M Mata Bor trikon 8"</t>
  </si>
  <si>
    <t>butuh pipa galvanis 11 btg, mata grinda cuting 1 pak, kawat las 1pak</t>
  </si>
  <si>
    <t>perbaikan penampungan air</t>
  </si>
  <si>
    <t>tgl 27 mulai pengeboran</t>
  </si>
  <si>
    <t>langsir kesing</t>
  </si>
  <si>
    <t>progres kedalaman 139 meter mata bor 9 inch</t>
  </si>
  <si>
    <t>kedalaman baru 105 M Reaming mata bor 7" triwing</t>
  </si>
  <si>
    <t>reaming kedalaman 78 M</t>
  </si>
  <si>
    <t>progres kedalaman 36 meter mata bor trikon 6"</t>
  </si>
  <si>
    <t>progres kedalaman 52 meter mata bor trikon 6"</t>
  </si>
  <si>
    <t>proses pengurugan samping casing</t>
  </si>
  <si>
    <t>besok team ke neglasari</t>
  </si>
  <si>
    <t xml:space="preserve">Progress kedalaman 76.6 m mata bor pdc 6 inch </t>
  </si>
  <si>
    <t>air masih keruh sedotan terlalu besar, dikecilin baru bening lagi</t>
  </si>
  <si>
    <t>kontruksi 5" kedalaman 100 M</t>
  </si>
  <si>
    <t>menurunkan pipa galpanis 50 M</t>
  </si>
  <si>
    <t>tinggal menunggu keputusan pimpinan</t>
  </si>
  <si>
    <t>hari ini sudah bisa dijalankan</t>
  </si>
  <si>
    <t>progres kedalaman 144 meter mata bor 9 inch</t>
  </si>
  <si>
    <t>kedalaman baru 106 M Reaming mata bor 7" triwing</t>
  </si>
  <si>
    <t>reaming kedalaman 84 M</t>
  </si>
  <si>
    <t>minta kirim stang bor ukuran 73"</t>
  </si>
  <si>
    <t>progres kedalaman 87 meter mata bor trikon 6"</t>
  </si>
  <si>
    <t>siapkan pompa 3-33</t>
  </si>
  <si>
    <t>kirim pipa 9 mtr</t>
  </si>
  <si>
    <t>sceen josnon</t>
  </si>
  <si>
    <t>progres kedalaman 145 M Mata Bor trikon 8"</t>
  </si>
  <si>
    <t>tiba dilokasi</t>
  </si>
  <si>
    <t xml:space="preserve">Progress kedalaman 76.7 m mata bor pdc 6 inch </t>
  </si>
  <si>
    <t>masih tunngu alat lengkap, mau pasang casing</t>
  </si>
  <si>
    <t>nunggu scren</t>
  </si>
  <si>
    <t>pergantian pompa</t>
  </si>
  <si>
    <t>progres kedalaman 160 M Mata Bor trikon 8"</t>
  </si>
  <si>
    <t>masih spuling</t>
  </si>
  <si>
    <t>masih nunggu scren</t>
  </si>
  <si>
    <t>progres kedalaman 147 meter mata bor 9 inch</t>
  </si>
  <si>
    <t>reaming kedalaman 102 M</t>
  </si>
  <si>
    <t>bikin alat untuk persiapan kontruksi</t>
  </si>
  <si>
    <t>ambil mata bor pagoda dari ciko 1</t>
  </si>
  <si>
    <t>kedalaman baru 112 M Reaming mata bor 7" triwing</t>
  </si>
  <si>
    <t>kedalaman baru 110 M Reaming mata bor 7" triwing</t>
  </si>
  <si>
    <t>masikin pipa hisah buat spuling &amp; masukun grepel</t>
  </si>
  <si>
    <t>minta kirim bor tangan, mesin gurinda</t>
  </si>
  <si>
    <t>awal bulan september scren datang</t>
  </si>
  <si>
    <t>progres kedalaman 100 meter mata bor trikon 6"</t>
  </si>
  <si>
    <t>angkut gravel</t>
  </si>
  <si>
    <t>air sudah mulai bening</t>
  </si>
  <si>
    <t>proses spuling kedalaman 60 M</t>
  </si>
  <si>
    <t>proses spuling angkat stang bor</t>
  </si>
  <si>
    <t>butuh bantuan, minta kirim orang</t>
  </si>
  <si>
    <t>progres kedalaman 150 meter mata bor 9 inch</t>
  </si>
  <si>
    <t>proses loging</t>
  </si>
  <si>
    <t>progres kedalaman 23 meter</t>
  </si>
  <si>
    <t>reaming kedalaman 120 M</t>
  </si>
  <si>
    <t>proses kontruksi</t>
  </si>
  <si>
    <t>minta kirim elbow ukuran 11/2 lem sama T dan bor tangan</t>
  </si>
  <si>
    <t>nyabut stang bor</t>
  </si>
  <si>
    <t>bobok coran instalasi saluaran air</t>
  </si>
  <si>
    <t>puter ulang dr kedalaman 90 M untuk bersihin lumpur</t>
  </si>
  <si>
    <t>alat sudah diambi, simpan di work shop</t>
  </si>
  <si>
    <t>pumping tes, beres beres alat</t>
  </si>
  <si>
    <t>cabut dan pasang pipa mastiin lubang dari 0-80 M</t>
  </si>
  <si>
    <t>reaming mata coring 8" dari kedalaman (80-151 M)</t>
  </si>
  <si>
    <t>reaming mata coring 8" dari kedalaman (151-160 M)</t>
  </si>
  <si>
    <t>las sok penambahan behel</t>
  </si>
  <si>
    <t>minta kirim scren</t>
  </si>
  <si>
    <t>progres kedalaman 152 meter mata bor 9 inch</t>
  </si>
  <si>
    <t>progres kedalaman 154 meter mata bor 9 inch</t>
  </si>
  <si>
    <t>proses reaming kedalaman 40 M</t>
  </si>
  <si>
    <t>progres kedalaman 45 meter</t>
  </si>
  <si>
    <t>proses reaming kedalaman 95 M mata bor 7"</t>
  </si>
  <si>
    <t>proses reaming kedalaman 86 M mata bor 7"</t>
  </si>
  <si>
    <t>pasang pipa 6"</t>
  </si>
  <si>
    <t>besok kirim orang doni/jainal</t>
  </si>
  <si>
    <t>pergantian mata bor, ngelas sok dikasih behel</t>
  </si>
  <si>
    <t>perjaan Done</t>
  </si>
  <si>
    <t>kirim matabor tricon 8" dari pak kentung</t>
  </si>
  <si>
    <t>Team Pak Amin/Nandi</t>
  </si>
  <si>
    <t>spul pinggir baru kedalaman 54 M</t>
  </si>
  <si>
    <t>spul pinggir baru kedalaman 53.5 M</t>
  </si>
  <si>
    <t>spul pinggir baru kedalaman 58 M</t>
  </si>
  <si>
    <t>angkat mata bor, kuras bak lanjut spuling</t>
  </si>
  <si>
    <t>angkat pompa pumping, tunggu pasang pipa permanen</t>
  </si>
  <si>
    <t>scren pipa pvc</t>
  </si>
  <si>
    <t>pasang batu garvel dan grouting</t>
  </si>
  <si>
    <t>koncang sudah selesai</t>
  </si>
  <si>
    <t>progres kedalaman 155 meter mata bor 9 inch</t>
  </si>
  <si>
    <t>pemasangan kontruksi, puping tes sudah bening</t>
  </si>
  <si>
    <t>libur alat rusak</t>
  </si>
  <si>
    <t>kleman casing ambil dari hermina</t>
  </si>
  <si>
    <t>turunin mata bor sisa 7 batang</t>
  </si>
  <si>
    <t>pakai mata bor apa dan brp inch?</t>
  </si>
  <si>
    <t>kamis kontruksi</t>
  </si>
  <si>
    <t>tunggu mata bor</t>
  </si>
  <si>
    <t>siapkan demob</t>
  </si>
  <si>
    <t xml:space="preserve">Progress kedalaman 76.9 m mata bor pdc 6 inch </t>
  </si>
  <si>
    <t>jet pump tekor</t>
  </si>
  <si>
    <t>spul pinggir baru kedalaman 60 M</t>
  </si>
  <si>
    <t>minta baud ukuran K 24 panjang 12 cn 4 biji</t>
  </si>
  <si>
    <t>spuling bersihkan lubang bor</t>
  </si>
  <si>
    <t>spuling + pemasangan garvel</t>
  </si>
  <si>
    <t>garvel masih kurang</t>
  </si>
  <si>
    <t>ganti pompa permanen pemasangan dikedalaman 72 M</t>
  </si>
  <si>
    <t>kedalaman  30 M</t>
  </si>
  <si>
    <t>di siapkan coring</t>
  </si>
  <si>
    <t>kontruksi pvc 6" 0-160 M</t>
  </si>
  <si>
    <t>SUDAH SELESAI</t>
  </si>
  <si>
    <t>langsir air, kirim pipa 4" 11 batang</t>
  </si>
  <si>
    <t>tinggal tunggu pompa+pipa permanen</t>
  </si>
  <si>
    <t>persiapan pumping tes</t>
  </si>
  <si>
    <t>persiapan spuling untuk menguras lumpur</t>
  </si>
  <si>
    <t>progres kedalaman 110 meter</t>
  </si>
  <si>
    <t>pasang pompa permanen dan pengurasan</t>
  </si>
  <si>
    <t>gagal kontruksi dan logging di pending</t>
  </si>
  <si>
    <t>progres kedalaman 0,5 Meter</t>
  </si>
  <si>
    <t>masih spul pinggir , mata bor masih terjepit</t>
  </si>
  <si>
    <t>pemasangan pompa permanent</t>
  </si>
  <si>
    <t>pekerjaan selesai</t>
  </si>
  <si>
    <t>pasang casing</t>
  </si>
  <si>
    <t>neunggu air jernih</t>
  </si>
  <si>
    <t>kedalaman baru 40 M Reaming mata bor 8" tricon</t>
  </si>
  <si>
    <t>pembuatan mata bor 11 inch</t>
  </si>
  <si>
    <t>servis NS</t>
  </si>
  <si>
    <t>pekerja disuruh pulang</t>
  </si>
  <si>
    <t>masih cari orang</t>
  </si>
  <si>
    <t>hari ini rencana angkat satng bor</t>
  </si>
  <si>
    <t>cabut pipa pvc 1 1/2" lepas</t>
  </si>
  <si>
    <t>bawa mesin dth</t>
  </si>
  <si>
    <t>grothing</t>
  </si>
  <si>
    <t>bawa casing</t>
  </si>
  <si>
    <t>tinggal jetting</t>
  </si>
  <si>
    <t>minta kirim takel 10 ton, dongkrak, kleman 2"</t>
  </si>
  <si>
    <t>selesai</t>
  </si>
  <si>
    <t>tinggal 1 M proses kedalaman, stang bor kejepit</t>
  </si>
  <si>
    <t>angkat pipa yang lepasa</t>
  </si>
  <si>
    <t>pumping tes kedalaman 32 M air bertahan 10 menit</t>
  </si>
  <si>
    <t>hari ini turunin pompa kedalaman 48 M</t>
  </si>
  <si>
    <t>pumping tes kedalaman 64 M</t>
  </si>
  <si>
    <t>servis kleman</t>
  </si>
  <si>
    <t>reaming kedalaman 15 M mata bor 11"</t>
  </si>
  <si>
    <t>nurunin stang bor kedalaman 60 Mata bor pdc 4 inch</t>
  </si>
  <si>
    <t>nurunin stang bor kedalaman 62 M Mata bor pdc 4 inch</t>
  </si>
  <si>
    <t>nurunin stang bor kedalaman 66 M Mata bor pdc 4 inch</t>
  </si>
  <si>
    <t>nurunin stang bor kedalaman 72 M Mata bor pdc 4 inch</t>
  </si>
  <si>
    <t>nurunin stang bor kedalaman 75 M Mata bor pdc 4 inch</t>
  </si>
  <si>
    <t>nurunin stang bor kedalaman 82 M Mata bor pdc 4 inch</t>
  </si>
  <si>
    <t>nurunin stang bor kedalaman 91 M Mata bor pdc 4 inch</t>
  </si>
  <si>
    <t>nurunin stang bor kedalaman 95 M Mata bor pdc 4 inch</t>
  </si>
  <si>
    <t>reaming kedalaman 102 M Mata bor pdc 4 inch</t>
  </si>
  <si>
    <t>reaming kedalaman 97 M ganti mta mata bor trikon 5 inch</t>
  </si>
  <si>
    <t>meeting ke rs jannah</t>
  </si>
  <si>
    <t>pulang</t>
  </si>
  <si>
    <t>kedalaman baru 60 M Reaming mata bor 8" tricon</t>
  </si>
  <si>
    <t>kedalaman baru 61 M Reaming mata bor 8" tricon</t>
  </si>
  <si>
    <t>minta tambang ukuran 12 mm panjang 110 M</t>
  </si>
  <si>
    <t>dinamo penggerak kebakar</t>
  </si>
  <si>
    <t>las scren untuk besok kontruksi</t>
  </si>
  <si>
    <t>ambil tambang di workshop</t>
  </si>
  <si>
    <t>pumping tes kedalaman 92 M</t>
  </si>
  <si>
    <t>pergantian pompa 3 hp ke 2 hp kedalaman 50 M</t>
  </si>
  <si>
    <t>pengeboran selesai tinggal kontruksi</t>
  </si>
  <si>
    <t>reaming kedalaman 60 M mata bor 11"</t>
  </si>
  <si>
    <t>cabut stang bor tinggal 15 batang</t>
  </si>
  <si>
    <t>pengeboran selesai</t>
  </si>
  <si>
    <t>kedalaman  30.5 M mata bor PDC 8 inch</t>
  </si>
  <si>
    <t>bekas dari sayar epul</t>
  </si>
  <si>
    <t>di bawa ke hermina</t>
  </si>
  <si>
    <t>persiapan alat/seting alat</t>
  </si>
  <si>
    <t>mati lampu dari pagi ada perbaikan gardu listrik</t>
  </si>
  <si>
    <t>stang bor sudah dicabut, turunin mata bor</t>
  </si>
  <si>
    <t>hujan</t>
  </si>
  <si>
    <t>kedalaman  31 M mata bor PDC 8 inch</t>
  </si>
  <si>
    <t>titk air ada dikedalaman 20 M</t>
  </si>
  <si>
    <t>pumping tes 8 jam air masih aman</t>
  </si>
  <si>
    <t>kontruksi gagal</t>
  </si>
  <si>
    <t>minta kirim takel, dobgkrak, bentonik, kikir behel panjang</t>
  </si>
  <si>
    <t>reaming kedalaman 80 M mata bor 11"</t>
  </si>
  <si>
    <t>pemassangan pompa coba dikedalaman 56 M kuat 4 menit 4 detik</t>
  </si>
  <si>
    <t>pemassangan pompa coba dikedalaman 76 M kuat 3 menit 44 detik</t>
  </si>
  <si>
    <t>kedalaman baru 71 M Reaming mata bor 8" tricon</t>
  </si>
  <si>
    <t>pipa galpanis sudh terangkat semua</t>
  </si>
  <si>
    <t>posisi masih los</t>
  </si>
  <si>
    <t>pemasangan pipa permanen kedalaman 126 M</t>
  </si>
  <si>
    <t>pekerjaan selesai pindah lokasi ke tanjungsari</t>
  </si>
  <si>
    <t>lanjut spuling kedalaman 65 M</t>
  </si>
  <si>
    <t>pompa diangkat lagi kejepit</t>
  </si>
  <si>
    <t>kontruksi ulang</t>
  </si>
  <si>
    <t>reaming kedalaman 121 M mata bor 11"</t>
  </si>
  <si>
    <t>hari selasa ajukan ulang k BKAT utk kontruksi</t>
  </si>
  <si>
    <t>kontrol debit air</t>
  </si>
  <si>
    <t>sckern pipa pvc 6"</t>
  </si>
  <si>
    <t>pekerjaan sudah selesai</t>
  </si>
  <si>
    <t xml:space="preserve">persiapan </t>
  </si>
  <si>
    <t>angkat stang bor lanjut scren sama loging</t>
  </si>
  <si>
    <t>hari ini lanjut kontruksi</t>
  </si>
  <si>
    <t>kontruksi dikedalaman 102 M</t>
  </si>
  <si>
    <t>kedalaman  31.15 M mata bor PDC 8 inch</t>
  </si>
  <si>
    <t>reaming kedalaman 121.40 M mata bor 11"</t>
  </si>
  <si>
    <t>kondisi sudah mulai keras</t>
  </si>
  <si>
    <t>reaming kedalaman 128 M mata bor 11"</t>
  </si>
  <si>
    <t>kedalaman baru 90 M Reaming mata bor 8" tricon</t>
  </si>
  <si>
    <t>sambil tungu pembayaran sama spk</t>
  </si>
  <si>
    <t>ambil koring k psm 2</t>
  </si>
  <si>
    <t>LIBUR</t>
  </si>
  <si>
    <t>mita kirim balok sama air 1 tengki</t>
  </si>
  <si>
    <t>persiapan dan seting alat</t>
  </si>
  <si>
    <t>kontruksi kedalaman 62 M dengan kedalaman sumur 68 M</t>
  </si>
  <si>
    <t>turunin pompa kedalaman 52 M</t>
  </si>
  <si>
    <t>kedalaman  31.40 M mata bor PDC 8 inch</t>
  </si>
  <si>
    <t>reaming kedalaman 142 M mata bor 11"</t>
  </si>
  <si>
    <t>reaming kedalaman 149 M mata bor 11"</t>
  </si>
  <si>
    <t>kedalaman baru 101 M Reaming mata bor 8" tricon</t>
  </si>
  <si>
    <t>reaming dari 12" ke 10" kedalaman 94 M</t>
  </si>
  <si>
    <t>matabor harus dikasih sayap atau pipa yg 12"</t>
  </si>
  <si>
    <t>pompa diganti ke bu lita</t>
  </si>
  <si>
    <t>pastikan jenis mata bor</t>
  </si>
  <si>
    <t>reaming kedalaman 52 M mata bor PDC 8 inch</t>
  </si>
  <si>
    <t>reaming kedalaman 55 M mata bor PDC 8 inch</t>
  </si>
  <si>
    <t>reaming kedalaman 58 M mata bor PDC 8 inch</t>
  </si>
  <si>
    <t>reaming kedalaman 60 M mata bor PDC 8 inch</t>
  </si>
  <si>
    <t>reaming kedalaman 62 M mata bor PDC 8 inch</t>
  </si>
  <si>
    <t xml:space="preserve">turuning batang bor 17 batang 51 M untuk cek casing </t>
  </si>
  <si>
    <t>kedalaman  31.25 M mata bor pdc 8 inch</t>
  </si>
  <si>
    <t>ngelos pakai mata bor TRICON  8"</t>
  </si>
  <si>
    <t>minta mata bor PDC yang bagus</t>
  </si>
  <si>
    <t>proses coring belum tembus</t>
  </si>
  <si>
    <t>reaming kedalaman 155 M mata bor 11"</t>
  </si>
  <si>
    <t>reaming kedalaman 63,5 M mata bor PDC 8 inch</t>
  </si>
  <si>
    <t>angkat pompa pumping dan turun stangbor untuk spull</t>
  </si>
  <si>
    <t xml:space="preserve">pasang ganjalan compresor , dan turun reaming masuk 17 btg </t>
  </si>
  <si>
    <t>proses kedalaman 60 M mata bor hemmer 5"</t>
  </si>
  <si>
    <t>kontuksi msh gagal</t>
  </si>
  <si>
    <t>loging langsng kontruksi</t>
  </si>
  <si>
    <t>kedalaman  31.50 M mata bor PDC 8 inch</t>
  </si>
  <si>
    <t>pemasangan pompa permanen baru masuk 10 batang</t>
  </si>
  <si>
    <t>turunin stang bor untuk spuling kedaaman 68 M</t>
  </si>
  <si>
    <t>SUDAH KIRIM SOLAR 500 L</t>
  </si>
  <si>
    <t>reaming kedalaman 64 M mata bor PDC 8 inch</t>
  </si>
  <si>
    <t>proses kedalaman 75 M mata bor hemmer 5"</t>
  </si>
  <si>
    <t>reaming kedalaman 68 M mata bor PDC 8 inch</t>
  </si>
  <si>
    <t>garvel masih kurang 15 karung</t>
  </si>
  <si>
    <t>proses garvel dikedalaman 28 M</t>
  </si>
  <si>
    <t>kedalaman  31.70 M mata bor PDC 8 inch</t>
  </si>
  <si>
    <t>tunggu matabor tricon 14"</t>
  </si>
  <si>
    <t>proses spuling</t>
  </si>
  <si>
    <t>mata bor masih proses di workshope</t>
  </si>
  <si>
    <t>reaming kedalaman 70 M mata bor PDC 8 inch</t>
  </si>
  <si>
    <t>drop alat pak unyil team</t>
  </si>
  <si>
    <t>sudah off</t>
  </si>
  <si>
    <t>pasang batu grevel</t>
  </si>
  <si>
    <t>masih nunggu mata bor</t>
  </si>
  <si>
    <t>pasang gravel dan grouting</t>
  </si>
  <si>
    <t>pumping test masih tekor</t>
  </si>
  <si>
    <t>perlu pompa dll</t>
  </si>
  <si>
    <t>beres beres alat</t>
  </si>
  <si>
    <t>pa amin dan nandi</t>
  </si>
  <si>
    <t>kirim v belt dll</t>
  </si>
  <si>
    <t>minta kirim batu grevel 100 karung</t>
  </si>
  <si>
    <t>lanjut cor permukaan, tutunin pompa dikedalaman 60 M mentok pasir</t>
  </si>
  <si>
    <t>setting menara</t>
  </si>
  <si>
    <t>reaming kedalaman 24 M pake coring 12"</t>
  </si>
  <si>
    <t>jeting kompresor ke koncang skalian bawa hamer</t>
  </si>
  <si>
    <t>demob diundur besok geser cikolelet 1</t>
  </si>
  <si>
    <t>gati team doni</t>
  </si>
  <si>
    <t>pergantian team pak likin</t>
  </si>
  <si>
    <t>pasang batu grevel sudah pas</t>
  </si>
  <si>
    <t>besok pumping tes</t>
  </si>
  <si>
    <t>pemasangan pompa permanen selsai air sudah naik ketoren</t>
  </si>
  <si>
    <t>demobilisasi</t>
  </si>
  <si>
    <t>kirim gear box 100/120</t>
  </si>
  <si>
    <t>pemasangan gear box 100</t>
  </si>
  <si>
    <t>reaming kedalaman 72 M mata bor PDC 8 inch</t>
  </si>
  <si>
    <t>penggalian sumur</t>
  </si>
  <si>
    <t>hari senin muali pengeboran</t>
  </si>
  <si>
    <t>alat bor pindah kekoncang</t>
  </si>
  <si>
    <t>demob habis dzuhur</t>
  </si>
  <si>
    <t>turunin pompa pumping tes kedalaman 59 M</t>
  </si>
  <si>
    <t>reaming kedalaman 72.10 M mata bor PDC 8 inch</t>
  </si>
  <si>
    <t>selesai reaming</t>
  </si>
  <si>
    <t>team doni</t>
  </si>
  <si>
    <t>koordinasikan dg pak irfan</t>
  </si>
  <si>
    <t>dipastikan utuk pemasangan pompa</t>
  </si>
  <si>
    <t>alat kembali k workshop</t>
  </si>
  <si>
    <t>air masih keruh</t>
  </si>
  <si>
    <t>lanjut besok</t>
  </si>
  <si>
    <t>bantu pak adul angkat pompa ke pulosari</t>
  </si>
  <si>
    <t>Team Pak Amin &amp; Nandi</t>
  </si>
  <si>
    <t>reaming kedalaman 70.50 M mata bor TRICON 8 inch</t>
  </si>
  <si>
    <t>tunggu mesin DTH</t>
  </si>
  <si>
    <t>minta gear box 100 yang baru</t>
  </si>
  <si>
    <t>air sudah jernih, sudah selaesai pengecoran</t>
  </si>
  <si>
    <t>jadwalkan pasasng pompa permanen</t>
  </si>
  <si>
    <t>siapkan pipa untuk nyembur kebawah</t>
  </si>
  <si>
    <t>mobilisai alat kelokasi</t>
  </si>
  <si>
    <t>proses pengeboran kedalaman 25 m mata bor triwing 6"</t>
  </si>
  <si>
    <t>proses pengeboran kedalaman 35 m mata bor triwing 6"</t>
  </si>
  <si>
    <t>pasang pompa permaen dijadwalkan  hari senin</t>
  </si>
  <si>
    <t>reaming kedalaman 75.40 M mata bor PDC 8 inch</t>
  </si>
  <si>
    <t>masih nunggu mesin DTH</t>
  </si>
  <si>
    <t>masukin lumpur</t>
  </si>
  <si>
    <t>persiapan alat/seting alat di workshop</t>
  </si>
  <si>
    <t>reaming kedalaman 78 M mata bor PDC 8 inch</t>
  </si>
  <si>
    <t>angkut alat dari jalan ke titik pengeboran</t>
  </si>
  <si>
    <t>proses pengeboran kedalaman 40 m mata bor triwing 6"</t>
  </si>
  <si>
    <t>angkt mata bor, kontur tanah keras</t>
  </si>
  <si>
    <t>kalau perkembangan lambat langsung kontruksi</t>
  </si>
  <si>
    <t>betulin kabel PLN untuk biaya bagi 2 dg team pak ano</t>
  </si>
  <si>
    <t>sabtu minta terpal buat tampung air</t>
  </si>
  <si>
    <t>perisiapan buat loging hari jum'at</t>
  </si>
  <si>
    <t>muat mesin DTH dari tanjung sari</t>
  </si>
  <si>
    <t>masukin lumpur kekarung, cabut pompa tes pengecoram k 2</t>
  </si>
  <si>
    <t>koordinasikan sama p.irvan bsok kt mw jetting</t>
  </si>
  <si>
    <t>reaming 12 inch kedalaman 70 M mata bor tricon jagung</t>
  </si>
  <si>
    <t>reaming 12 inch kedalaman 50 M mata bor tricon jagung</t>
  </si>
  <si>
    <t>besok rencana kontuksi ulang</t>
  </si>
  <si>
    <t>proses pengeboran kedalaman 60 m mata bor triwing 6"</t>
  </si>
  <si>
    <t>stang bor kejepit/minta kirim lempung 20 karung</t>
  </si>
  <si>
    <t>reaming 12 inch kedalaman 103 M mata bor tricon jagung</t>
  </si>
  <si>
    <t>sore kontuksi</t>
  </si>
  <si>
    <t>hari sabtu jetting</t>
  </si>
  <si>
    <t>loging habis dzuhur</t>
  </si>
  <si>
    <t>kondisi tanah batu &amp; pasiran</t>
  </si>
  <si>
    <t>loging</t>
  </si>
  <si>
    <t>lanjut besok kontruksi</t>
  </si>
  <si>
    <t>turunin alat DTH</t>
  </si>
  <si>
    <t>masuikin tanah lempung ke sumur</t>
  </si>
  <si>
    <t>seting menara, cabut pompa</t>
  </si>
  <si>
    <t>turununin pompa tes baru 15 batang</t>
  </si>
  <si>
    <t>proses pengeboran kedalaman 81 m mata bor triwing 6"</t>
  </si>
  <si>
    <t>naikin pompa, buat penampungan air</t>
  </si>
  <si>
    <t>turunin mata bor triwing 2"</t>
  </si>
  <si>
    <t>jetting</t>
  </si>
  <si>
    <t>bantu jetting dilokasi koncang</t>
  </si>
  <si>
    <t>mobilisasi alat ke psm 1</t>
  </si>
  <si>
    <t>rol sling patah</t>
  </si>
  <si>
    <t>minta kirim as 38 sama tabung oksigen</t>
  </si>
  <si>
    <t>cabut pompa</t>
  </si>
  <si>
    <t>bersihkan lumpur masukin dikarung</t>
  </si>
  <si>
    <t>proses pengeboran kedalaman 90 m mata bor triwing 6"</t>
  </si>
  <si>
    <t>sekalian ke bulakan</t>
  </si>
  <si>
    <t>kirim gravel dan pompa pumping</t>
  </si>
  <si>
    <t>pasang pompa pumping bawa genset</t>
  </si>
  <si>
    <t>Team pak doel</t>
  </si>
  <si>
    <t>Team doni</t>
  </si>
  <si>
    <t>sambil las stang bor</t>
  </si>
  <si>
    <t>pasng grevel</t>
  </si>
  <si>
    <t>nguruk lubang sumur, watterlos</t>
  </si>
  <si>
    <t>bongkar menara</t>
  </si>
  <si>
    <t>masih bersihkan lumpur masukin dikarung</t>
  </si>
  <si>
    <t>masih baru sebagian</t>
  </si>
  <si>
    <t>kedalaman 33 meter</t>
  </si>
  <si>
    <t>permukaan tanh sudah batuan lunak</t>
  </si>
  <si>
    <t>lanjut mesin elektro</t>
  </si>
  <si>
    <t>berangkat team</t>
  </si>
  <si>
    <t>mobilisai alat</t>
  </si>
  <si>
    <t>proses pengeboran kedalaman 105 m mata bor triwing 6"</t>
  </si>
  <si>
    <t>Target kedalaman</t>
  </si>
  <si>
    <t>180 M</t>
  </si>
  <si>
    <t>155 M</t>
  </si>
  <si>
    <t>tunggu air, perbaikan menara, bantu pemasangan pompa karangsuraga</t>
  </si>
  <si>
    <t>lanjut pasang grevel sama cabut stang bor</t>
  </si>
  <si>
    <t>sambung menara</t>
  </si>
  <si>
    <t>air masih ada sedikit pasir</t>
  </si>
  <si>
    <t>pemberian label untuk alat yang dibawa</t>
  </si>
  <si>
    <t>Team Hidayat</t>
  </si>
  <si>
    <t>ganti team pak dayat</t>
  </si>
  <si>
    <t>mobilisasi alat ke 2</t>
  </si>
  <si>
    <t>prosese spulung kedalaman 86 M mata bor triwing 2"</t>
  </si>
  <si>
    <t>prosese spulung kedalaman 102 M mata bor triwing 2"</t>
  </si>
  <si>
    <t>air sudah dites 24 jam kondisi normal</t>
  </si>
  <si>
    <t>minta dijadwalkan pemasangan poma permanen</t>
  </si>
  <si>
    <t>nunggu mesin NS 80 sama Dinamo</t>
  </si>
  <si>
    <t>masukin kchasing</t>
  </si>
  <si>
    <t>mobilisasi alat lokasi sobang</t>
  </si>
  <si>
    <t>dikedalaman 100 m atau lebih</t>
  </si>
  <si>
    <t>proses pengeboran kedalaman 120 m mata bor triwing 6"</t>
  </si>
  <si>
    <t>ditambah kedalaman dikonfirmasi lumpur atau pasiran</t>
  </si>
  <si>
    <t>harus disaksikan minimal orang pokmas/pak saeni</t>
  </si>
  <si>
    <t>sudah di lokasi</t>
  </si>
  <si>
    <t>pembelian solar k marga silima</t>
  </si>
  <si>
    <t>dapat 36 meter, watterlos</t>
  </si>
  <si>
    <t>bantu pak adul angkat pompa lok koncaang</t>
  </si>
  <si>
    <t>minta kirim widiya belah sama borax</t>
  </si>
  <si>
    <t>masih masukin chasing kedalaman 90 metar</t>
  </si>
  <si>
    <t>sakalian ganti pompa dr sp 3 ke sp 5/8 dan pmpa -</t>
  </si>
  <si>
    <t>sudah dikonfirmasi kedalaman 102 batu cadas</t>
  </si>
  <si>
    <t>beres2 alat</t>
  </si>
  <si>
    <t>minta box alat sama mesin gurinda</t>
  </si>
  <si>
    <t>mobilisasi alat ke workshop</t>
  </si>
  <si>
    <t>naikin stang bor baru 30 batang</t>
  </si>
  <si>
    <t>nutup lokasi pengeboran, belanja selang hidrolik</t>
  </si>
  <si>
    <t>mcu team di rs jannah</t>
  </si>
  <si>
    <t xml:space="preserve"> pompa pumpingtes</t>
  </si>
  <si>
    <t>jika masih keruh pakai pompa kecil</t>
  </si>
  <si>
    <t>daftar listrik permanen</t>
  </si>
  <si>
    <t>pakai dexlite</t>
  </si>
  <si>
    <t>dapat 15 meter mata bor pagoda 3 - 5 inch</t>
  </si>
  <si>
    <t>naikin stang bor semua tinggal pumping tes</t>
  </si>
  <si>
    <t>lebarin lubang bor baru 33.30 M</t>
  </si>
  <si>
    <t>rencana mau danti mata bor</t>
  </si>
  <si>
    <t>pindahin mesin bor ke atas</t>
  </si>
  <si>
    <t>seting alat sama teknisi listrik</t>
  </si>
  <si>
    <t>pengisian air, dilokasi air tekor</t>
  </si>
  <si>
    <t>besok mulai pengeboran</t>
  </si>
  <si>
    <t>mulai pengeboran pakai hammer 5" mata bor 8" baru masuk 1 batang</t>
  </si>
  <si>
    <t>batuan lepas</t>
  </si>
  <si>
    <t>turunin pompa kedalaman 88 meter</t>
  </si>
  <si>
    <t>pindah ke bulakan</t>
  </si>
  <si>
    <t>jeting pumping tes tunggu doni senggang</t>
  </si>
  <si>
    <t>seting mata bor coring 10" di workshop</t>
  </si>
  <si>
    <t>beresin alat bor lengkap</t>
  </si>
  <si>
    <t>turunin stang bor kedalaman 29 M reaming dpt 1 M mata bor tricon 8"</t>
  </si>
  <si>
    <t>minta matabor pagoda 8"</t>
  </si>
  <si>
    <t>tgl 6 ganti mata bor tricon 8"</t>
  </si>
  <si>
    <t>nyambung saluran air ke penampungan &amp; bongkar alat</t>
  </si>
  <si>
    <t>masih ada pasiran</t>
  </si>
  <si>
    <t>kedalaman 24 meter</t>
  </si>
  <si>
    <t>kedalaman 26 meter waterlos</t>
  </si>
  <si>
    <t>mobilisasi alat ipan</t>
  </si>
  <si>
    <t>menindaklanjuti keluhan warga sekitar fu Adul</t>
  </si>
  <si>
    <t>dijadwalkan daftar pemasangan listrik peermanen</t>
  </si>
  <si>
    <t>antar trikon gigi 6 inch, cleman pipa 2"</t>
  </si>
  <si>
    <t>progres kedalaman 35 M, mata bor triwing 5" - 7"</t>
  </si>
  <si>
    <t>turunin stang bor kedalaman 30 M reaming dpt 1 M mata bor tricon 8"</t>
  </si>
  <si>
    <t>pasang pompa permaen dijadwalkan hari rabu</t>
  </si>
  <si>
    <t>angkutin alat ke atas, besok pindah lokasi</t>
  </si>
  <si>
    <t>minta vanbel B41 sama isolatif</t>
  </si>
  <si>
    <t>progres kedalaman 57 M, mata bor triwing 5" - 7"</t>
  </si>
  <si>
    <t xml:space="preserve">proses kedalaman 2 M </t>
  </si>
  <si>
    <t>minta pasir, batu split &amp; semen</t>
  </si>
  <si>
    <t>sambung listik &amp; buat kubangan air kedalaman 10 meter</t>
  </si>
  <si>
    <t>usg abdomen</t>
  </si>
  <si>
    <t>ganti kipas pompa</t>
  </si>
  <si>
    <t>perlu team</t>
  </si>
  <si>
    <t>pindah kelokasi bulakan</t>
  </si>
  <si>
    <t>pemasnagan pompa permanen</t>
  </si>
  <si>
    <t>kedalaman 31.25 mata bor tricon 6"</t>
  </si>
  <si>
    <t>spulcop patah</t>
  </si>
  <si>
    <t>cabut stang bor, turynin tanah merah, trs bor ulang</t>
  </si>
  <si>
    <t>mati lampu</t>
  </si>
  <si>
    <t>minta kirim solar</t>
  </si>
  <si>
    <t>tinggal pasang otomatis torn</t>
  </si>
  <si>
    <t>pengurugan samping chaseing</t>
  </si>
  <si>
    <t xml:space="preserve">proses kedalaman 12 M </t>
  </si>
  <si>
    <t>butuh pipa 8" AW sama coring 6"</t>
  </si>
  <si>
    <t>progres kedalaman 74 M, mata bor triwing 5" - 7"</t>
  </si>
  <si>
    <t>langsir alat ke titik bor</t>
  </si>
  <si>
    <t>seting menara dilanjut gali kolam buat spuling</t>
  </si>
  <si>
    <t>kedalaman 33 mata bor tricon 6"</t>
  </si>
  <si>
    <t>kedalaman 33.50 mata bor tricon 6"</t>
  </si>
  <si>
    <t>minta air buat sirkulasi, air dari solokan habis</t>
  </si>
  <si>
    <t>progres kedalaman 89 M, mata bor triwing 5" - 7"</t>
  </si>
  <si>
    <t>pemasangan pipa chasing 8" masuk 1 batang, 1 meter</t>
  </si>
  <si>
    <t>hari ini libur</t>
  </si>
  <si>
    <t>induction</t>
  </si>
  <si>
    <t>kedalaman 27 meter waterlos</t>
  </si>
  <si>
    <t>nunggu tanda tangan dari konsultan</t>
  </si>
  <si>
    <t>naikin pompa, las mata bor triwing 4"</t>
  </si>
  <si>
    <t>proses kedalaman 40 M mata bor triwing 4"</t>
  </si>
  <si>
    <t>kedalaman 32.50 mata bor tricon 6"</t>
  </si>
  <si>
    <t>angkat stang bor kejepit</t>
  </si>
  <si>
    <t>masih traening</t>
  </si>
  <si>
    <t>cek alat2 ada yang sebagian rusak</t>
  </si>
  <si>
    <t>progres kedalaman 97 M, mata bor triwing 5" - 7"</t>
  </si>
  <si>
    <t>progres kedalaman 110 M, mata bor triwing 5" - 7"</t>
  </si>
  <si>
    <t>proses kedalaman 87 M mata bor triwing 4"</t>
  </si>
  <si>
    <t>ganti wahidin jika doel mundur</t>
  </si>
  <si>
    <t>proes spuling kedalaman 75 M</t>
  </si>
  <si>
    <t>kedalaman 32.70 mata bor tricon 6"</t>
  </si>
  <si>
    <t>moving alat ke lokasi bor</t>
  </si>
  <si>
    <t>progres kedalaman 118 M, mata bor triwing 5" - 7"</t>
  </si>
  <si>
    <t>bawa pipa 1 1/4 vinilon 4 btg</t>
  </si>
  <si>
    <t>pindah titik 1.5 meter</t>
  </si>
  <si>
    <t>loging + reaming kedalaman 25 M mata bor 6,5 inch</t>
  </si>
  <si>
    <t>pasang pompa untuk ambil dari kali</t>
  </si>
  <si>
    <t>kedalaman 34 mata bor pagoda 5"</t>
  </si>
  <si>
    <t>ngumpulin alat ke titik lokasi bor</t>
  </si>
  <si>
    <t>progres kedalaman 120 M, mata bor triwing 5" - 7"</t>
  </si>
  <si>
    <t>proses kedalaman 28 M, mata bor hammer 6" mata bit DTH 8"</t>
  </si>
  <si>
    <t>proses kedalaman 34 M, mata bor hammer 6" mata bit DTH 8"</t>
  </si>
  <si>
    <t>reaming kedalaman 45 M mata bor 6,5 inch</t>
  </si>
  <si>
    <t>kedalaman 37  mata bor 4 inch</t>
  </si>
  <si>
    <t>galian ceker ayam, perakitan besi</t>
  </si>
  <si>
    <t>Team Tono</t>
  </si>
  <si>
    <t>spuling kedalaman 91 M mata bor triwing 4"</t>
  </si>
  <si>
    <t>kedalaman 34.85 mata bor pagoda 5"</t>
  </si>
  <si>
    <t>ratakan tanah buat rakit dudukan menara</t>
  </si>
  <si>
    <t>pasang pompa</t>
  </si>
  <si>
    <t>proses kedalaman 45 M, mata bor hammer 6" mata bit DTH 8"</t>
  </si>
  <si>
    <t>minta stok solar/dex lite</t>
  </si>
  <si>
    <t>rapih2 alat</t>
  </si>
  <si>
    <t>reaming kedalaman 65 M mata bor 6,5 inch</t>
  </si>
  <si>
    <t>masih gali ceker ayam</t>
  </si>
  <si>
    <t>seting kompresor persiapan jetting lok psm2</t>
  </si>
  <si>
    <t>reaming kedalaman 85 M mata bor 6,5 inch</t>
  </si>
  <si>
    <t>besok kontuksi</t>
  </si>
  <si>
    <t>spuling kedalaman 95 M mata bor triwing 4"</t>
  </si>
  <si>
    <t>kedalaman 35.25 mata bor pagoda 5"</t>
  </si>
  <si>
    <t>persiapan demob/rapihin alat</t>
  </si>
  <si>
    <t>jetting lok psm2</t>
  </si>
  <si>
    <t>langsung pumping</t>
  </si>
  <si>
    <t>seting alat baru bagian bawah</t>
  </si>
  <si>
    <t>gali lubang ceker ayam selesai, tinggal pengecoran</t>
  </si>
  <si>
    <t>spuling kedalaman 96 M mata bor triwing 4"</t>
  </si>
  <si>
    <t>naikin stang bor</t>
  </si>
  <si>
    <t xml:space="preserve">                                          </t>
  </si>
  <si>
    <t xml:space="preserve">                                                              </t>
  </si>
  <si>
    <t>kedalaman 36.45 mata bor coring 5"</t>
  </si>
  <si>
    <t>cabut stang bor, turunin pompa kedalaman 75 M</t>
  </si>
  <si>
    <t>pengecoran ceker ayam</t>
  </si>
  <si>
    <t>pengecoran sloop</t>
  </si>
  <si>
    <t>kedalaman 37.45 mata bor coring 5"</t>
  </si>
  <si>
    <t xml:space="preserve">tanah terlalu encer, minta lempung </t>
  </si>
  <si>
    <t>baru selesai naikin menara</t>
  </si>
  <si>
    <t>baru selesai seting alat</t>
  </si>
  <si>
    <t>beli drigen lagsng diisi pertamina dex, lanjut dalamin</t>
  </si>
  <si>
    <t>proses kedalaman 57 M, mata bor hammer 6" mata bit DTH 8"</t>
  </si>
  <si>
    <t>baruselesai seting alat</t>
  </si>
  <si>
    <t>pembuatan spul bak utk sirkulasi air</t>
  </si>
  <si>
    <t>minta pipa chasing 6" jis</t>
  </si>
  <si>
    <t>prose kedalaman 4 M mata bor tricon 8"</t>
  </si>
  <si>
    <t>dinamo rusak</t>
  </si>
  <si>
    <t>proses kedalaman 67 M, mata bor hammer 6" mata bit DTH 8"</t>
  </si>
  <si>
    <t>bebatuan runtuh terus</t>
  </si>
  <si>
    <t>pompa permanen</t>
  </si>
  <si>
    <t>kedalaman 36.20 mata bor coring 5"</t>
  </si>
  <si>
    <t>air msh ada pasiran</t>
  </si>
  <si>
    <t>air sudah bening</t>
  </si>
  <si>
    <t>peamsangan bata merah</t>
  </si>
  <si>
    <t>bikin dudukan poly</t>
  </si>
  <si>
    <t>kedalaman 40 meter mata bor 3 inch</t>
  </si>
  <si>
    <t>kontruksi 4 inch kedalaman 28 meter</t>
  </si>
  <si>
    <t>kedalaman 33 meter mata bor 3 inch</t>
  </si>
  <si>
    <t>tinggal nunggu pasang panel listrik baru</t>
  </si>
  <si>
    <t>cabut stang bor sisa 3 batang</t>
  </si>
  <si>
    <t>peamsangan bata merah sudah 2.5 meter</t>
  </si>
  <si>
    <t>pemasangan pipa chasing 6" 17 btng</t>
  </si>
  <si>
    <t>AGINCOURT BATANG TORU</t>
  </si>
  <si>
    <t>08116207202</t>
  </si>
  <si>
    <t>bawa dari workshop</t>
  </si>
  <si>
    <t>dari pabrik</t>
  </si>
  <si>
    <t>dari pt</t>
  </si>
  <si>
    <t>DESA CITASUK</t>
  </si>
  <si>
    <t>kedalaman 41 meter mata bor 3 inch</t>
  </si>
  <si>
    <t>baru survay dari PLN</t>
  </si>
  <si>
    <t>panel dipasang setelah pembayaran selesai</t>
  </si>
  <si>
    <t>proses kedalaman 16 M, mata bor porwing 6"</t>
  </si>
  <si>
    <t>peamsangan bata merah sudah 3 meter</t>
  </si>
  <si>
    <t>kedalaman 37.25 mata bor tricon 6"</t>
  </si>
  <si>
    <t>kirim oli hidrolik</t>
  </si>
  <si>
    <t>minta kirim lempung, air masih encer</t>
  </si>
  <si>
    <t>pengecoran kolom</t>
  </si>
  <si>
    <t>beres2 merepihkan tempat</t>
  </si>
  <si>
    <t>nunggu pemasangan panel dari PLN</t>
  </si>
  <si>
    <t>proses kedalaman 70 M, mata bor hammer 6" mata bit DTH 8"</t>
  </si>
  <si>
    <t>mulai pekerjaan sipil pasang polisline</t>
  </si>
  <si>
    <t>pelurusan lubang baru kedalaman 8 M mata bor PDC 8"</t>
  </si>
  <si>
    <t>gati mata bor PDC 8"</t>
  </si>
  <si>
    <t>pemasngan begisting buat cor atap</t>
  </si>
  <si>
    <t>buat galian ceker ayam</t>
  </si>
  <si>
    <t>kedalaman 37.50 mata bor tricon 6"</t>
  </si>
  <si>
    <t>ngelas gardan</t>
  </si>
  <si>
    <t>pelurusan lubang baru kedalaman 10 M mata bor PDC 8"</t>
  </si>
  <si>
    <t>minta mata bor tricon 6" atau 8"</t>
  </si>
  <si>
    <t>lubang bor dikedalaman 70 M kebawah nutup lagi</t>
  </si>
  <si>
    <t>pekerjaan sementara di stop dulu</t>
  </si>
  <si>
    <t>hujan, pln tidak bisa pasang</t>
  </si>
  <si>
    <t>angkun alat</t>
  </si>
  <si>
    <t>081213189192</t>
  </si>
  <si>
    <t>asep</t>
  </si>
  <si>
    <t>50 meter</t>
  </si>
  <si>
    <t>masih proses begisting</t>
  </si>
  <si>
    <t>proses kedalaman 22 M, mata bor tricon 6"</t>
  </si>
  <si>
    <t>kedalaman 38 mata bor tricon 6"</t>
  </si>
  <si>
    <t>prose kedalaman 7 M mata bor tricon 8"</t>
  </si>
  <si>
    <t>beres galian</t>
  </si>
  <si>
    <t>kirim matabor pdc 5" dan tricon gigi 8"</t>
  </si>
  <si>
    <t>stop baikin DP</t>
  </si>
  <si>
    <t>demobilisasi dari citasuk</t>
  </si>
  <si>
    <t>demobilisasi alat ke kedungsoka</t>
  </si>
  <si>
    <t>prose kedalaman 9 M mata bor tricon 8"</t>
  </si>
  <si>
    <t>langsir material</t>
  </si>
  <si>
    <t>proses kedalaman 18 M, mata bor fourwing 6"</t>
  </si>
  <si>
    <t>kedalaman 38.80 mata bor tricon 6"</t>
  </si>
  <si>
    <t>proses kedalaman 28 M, mata bor tricon 6"</t>
  </si>
  <si>
    <t>Team Pak Kentung/Tono</t>
  </si>
  <si>
    <t>jika kedalaman 100 meter langsung logging</t>
  </si>
  <si>
    <t>langsung mulai sipil</t>
  </si>
  <si>
    <t>bawa slang oxigen, pipa 12 inch, alat buat cor</t>
  </si>
  <si>
    <t>pengecoran water los</t>
  </si>
  <si>
    <t>proses kedalaman 29.50 M, mata bor tricon 6"</t>
  </si>
  <si>
    <t>perakitan besi ceker ayam</t>
  </si>
  <si>
    <t>kedalaman 39.40 mata bor tricon 6"</t>
  </si>
  <si>
    <t>masih proses begisting buat cor atap</t>
  </si>
  <si>
    <t>perakitan besi atap</t>
  </si>
  <si>
    <t>kedalaman 41.50 mata bor tricon 6"</t>
  </si>
  <si>
    <t>perakitan besi ceker ayam tinggal pegecoran</t>
  </si>
  <si>
    <t>prose kedalaman 12 M mata bor tricon 8"</t>
  </si>
  <si>
    <t>prose kedalaman 16 M mata bor tricon 8"</t>
  </si>
  <si>
    <t>prose kedalaman 18 M mata bor tricon 8"</t>
  </si>
  <si>
    <t>pemasngan gardan</t>
  </si>
  <si>
    <t>perakitan besi ceker ayam sama besi slop dan kolom</t>
  </si>
  <si>
    <t>kedalaman 42.45 mata bor tricon 6"</t>
  </si>
  <si>
    <t>proses kedalaman 32.50 M, mata bor tricon gigi 6"</t>
  </si>
  <si>
    <t>proses kedalaman 35 M, mata bor tricon gigi 6"</t>
  </si>
  <si>
    <t>prose kedalaman 21 M mata bor tricon 8"</t>
  </si>
  <si>
    <t>schedule pasang pompa</t>
  </si>
  <si>
    <t>siapkan team untuk buat bak control</t>
  </si>
  <si>
    <t>alat sudah dilokasi pengeboran</t>
  </si>
  <si>
    <t>minta mata bor tricon 6"</t>
  </si>
  <si>
    <t>kedalaman 42.80 mata bor tricon 6"</t>
  </si>
  <si>
    <t>pengecoran atap</t>
  </si>
  <si>
    <t>karyawan ditarik semua bantu pengecoran lokasi koncang</t>
  </si>
  <si>
    <t>proses kedalaman 39.50 M, mata bor tricon gigi 6"</t>
  </si>
  <si>
    <t>prose kedalaman 22 M mata bor tricon 8"</t>
  </si>
  <si>
    <t>siapkan penampungan solar</t>
  </si>
  <si>
    <t xml:space="preserve">pasang pompa permanent di kedalaman </t>
  </si>
  <si>
    <t>mulai melester</t>
  </si>
  <si>
    <t>mulai finising</t>
  </si>
  <si>
    <t>proses kedalaman 46 M, mata bor tricon gigi 6"</t>
  </si>
  <si>
    <t>proses kedalaman 47 M, mata bor tricon gigi 6"</t>
  </si>
  <si>
    <t>waterlos dikedalaman 45 M</t>
  </si>
  <si>
    <t>pembuatan bak kontrol</t>
  </si>
  <si>
    <t>prose kedalaman 23 M mata bor tricon 8"</t>
  </si>
  <si>
    <t>prose kedalaman 24 M mata bor tricon 8"</t>
  </si>
  <si>
    <t>butuh helper 1 orang</t>
  </si>
  <si>
    <t>kedalaman 43 mata bor pdc pagoda 6"</t>
  </si>
  <si>
    <t>kedalaman 43.20 mata bor pdc pagoda 6"</t>
  </si>
  <si>
    <t>masih plester dinding</t>
  </si>
  <si>
    <t>proses kedalaman 49.50 M, mata bor tricon gigi 6"</t>
  </si>
  <si>
    <t>kedalaman 19 meter mata bit DTH 8"</t>
  </si>
  <si>
    <t>kedalaman 40 meter mata bit DTH 8"</t>
  </si>
  <si>
    <t>kedalaman 44.15 mata bor pdc pagoda 6"</t>
  </si>
  <si>
    <t>prose kedalaman 25.5 M mata bor tricon 8"</t>
  </si>
  <si>
    <t>turunin alat ke lokasi pengeboran &amp; pembuatan spul bak</t>
  </si>
  <si>
    <t>prose kedalaman 28 M mata bor tricon 8"</t>
  </si>
  <si>
    <t>proses kedalaman 50 M, mata bor tricon gigi 6"</t>
  </si>
  <si>
    <t>stang bor patah dikedalaman 15 M</t>
  </si>
  <si>
    <t>kedalaman 73 meter mata bit DTH 8"</t>
  </si>
  <si>
    <t>tanah lumpur</t>
  </si>
  <si>
    <t>mulai pengacian</t>
  </si>
  <si>
    <t>pemasngan batu bata</t>
  </si>
  <si>
    <t>nunggu power listrik biar bisa naik menara</t>
  </si>
  <si>
    <t>ngakalin stang bor yang patah</t>
  </si>
  <si>
    <t>kedalaman 80 meter mata bit DTH 8"</t>
  </si>
  <si>
    <t>batuan keras</t>
  </si>
  <si>
    <t>masih pemasngan batu bata</t>
  </si>
  <si>
    <t>tahap finishing</t>
  </si>
  <si>
    <t>pasang power listrik, naikan menara</t>
  </si>
  <si>
    <t>prose kedalaman 30.50 M mata bor tricon 8"</t>
  </si>
  <si>
    <t>tambahan 50 cm lembur, mata bor PDC 8"</t>
  </si>
  <si>
    <t>masih nyabut stang bor kejepit</t>
  </si>
  <si>
    <t>benerin mesin compresor sama bersihin lubang pengeboran</t>
  </si>
  <si>
    <t>prose kedalaman 31 M mata bor PDC 8"</t>
  </si>
  <si>
    <t>pekerjaan disetop sementara</t>
  </si>
  <si>
    <t>stang bor patah dikedalaman 22 M</t>
  </si>
  <si>
    <t xml:space="preserve">masih nyabut stang bor kejepit </t>
  </si>
  <si>
    <t>stang bor nempel dibatuan runtuh dikedalaman 15 M</t>
  </si>
  <si>
    <t>stang bor sudah tercabut</t>
  </si>
  <si>
    <t>bikin screen pipa chasing</t>
  </si>
  <si>
    <t>masih tahap finishing pengacian</t>
  </si>
  <si>
    <t>besarain lubang baru di kedalaman 35 m  mata bor 8 inch</t>
  </si>
  <si>
    <t>masih ngakalin stang bor yang patah dikedalaman 32 m terhalang batu mata bor 8 inch</t>
  </si>
  <si>
    <t>akalin stang bor patah di kedalaman 31 m</t>
  </si>
  <si>
    <t>proses kedalaman 33 M pilot hole 7"</t>
  </si>
  <si>
    <t>proses kedalaman 11 M pilot hole 7"</t>
  </si>
  <si>
    <t>prose kedalaman 34 M mata bor PDC 8"</t>
  </si>
  <si>
    <t>pemasangan casing baru 18 batang</t>
  </si>
  <si>
    <t>compresor rusak</t>
  </si>
  <si>
    <t>nunggu mekanik utuk betulin compresor</t>
  </si>
  <si>
    <t>seting alat buat ngakalin stang bor yang patah</t>
  </si>
  <si>
    <t>sambil nunggu alat, proses spuling pakai pvc 3/4 untuk naikin kotoran</t>
  </si>
  <si>
    <t>masih proses spuling</t>
  </si>
  <si>
    <t>pindah titik kedalaman 5 M untuk pasang pipa 10"</t>
  </si>
  <si>
    <t>proses kedalaman 5 M, mata bor tricon gigi 8"</t>
  </si>
  <si>
    <t>proses kedalaman 42 M pilot hole 7"</t>
  </si>
  <si>
    <t>proses kedalaman 72 M pilot hole 7"</t>
  </si>
  <si>
    <t>proses kedalaman 93 M pilot hole 7"</t>
  </si>
  <si>
    <t>pasnang panel,  cek se koncang</t>
  </si>
  <si>
    <t>t 10" x 4" pastikan k toko</t>
  </si>
  <si>
    <t>minta bentonic 4 sak + kasbon</t>
  </si>
  <si>
    <t>mindahin stang bor dan mes karena ada galian buat coran</t>
  </si>
  <si>
    <t>service mesin compresor, nyari pompa solar</t>
  </si>
  <si>
    <t>stang bor kejepit sudah terangkat</t>
  </si>
  <si>
    <t>proses kedalaman 8 M, mata bor PDC 8"</t>
  </si>
  <si>
    <t>kirim pipa yang 2 1/2" + SDD SDL yang baru 10 batang  mata bor tricon jagung 8"</t>
  </si>
  <si>
    <t>hari ini pasngang kondukto yang 10"</t>
  </si>
  <si>
    <t>proses kedalaman 114 M pilot hole 7"</t>
  </si>
  <si>
    <t>pergantian stang bor</t>
  </si>
  <si>
    <t>pengeboran distop sementara  kareana ada galian utk pengecoran</t>
  </si>
  <si>
    <t>angkat stang bor sambil nunggu chasing</t>
  </si>
  <si>
    <t>pasang konduktor yang 10" dikedalaman 4 M</t>
  </si>
  <si>
    <t>pemasangan struktur &amp; batu bata</t>
  </si>
  <si>
    <t>mesin compresor sudah nyala tapi tekanannya masih drop</t>
  </si>
  <si>
    <t>hr ini mekanik ke lokasi lagi utk betulin mesin</t>
  </si>
  <si>
    <t>besok sudah mulai kegiatan</t>
  </si>
  <si>
    <t>mulai pengecoran colom</t>
  </si>
  <si>
    <t>masih nunggu mekanik</t>
  </si>
  <si>
    <t>proses kedalaman 15.50 M, mata bor tricon gigi 8"</t>
  </si>
  <si>
    <t>perbaikan NS, ganti AS, pasang SDL &amp; buat saringan</t>
  </si>
  <si>
    <t>bawa compressor ke ws</t>
  </si>
  <si>
    <t>pindah kwh, pasang pompa</t>
  </si>
  <si>
    <t>kirim stang bor, pipa, sdd sdl uk 2,5"</t>
  </si>
  <si>
    <t>proses kedalaman 16 M, mata bor tricon gigi 8"</t>
  </si>
  <si>
    <t>as patah</t>
  </si>
  <si>
    <t>masih tahap finishing pengacian, proses pengecatan dalam</t>
  </si>
  <si>
    <t>pemasnagan batu bata merah</t>
  </si>
  <si>
    <t>pembuatan jalur sirkulasi &amp; penampungan</t>
  </si>
  <si>
    <t>buat screen, pasang SDL cassing 10"</t>
  </si>
  <si>
    <t>kedalaman 45.70 mata bor tricon 6"</t>
  </si>
  <si>
    <t>kedalaman 45.15 mata bor tricon 6"</t>
  </si>
  <si>
    <t>Team sobirin</t>
  </si>
  <si>
    <t>mulai pengeboran hari senin</t>
  </si>
  <si>
    <t>baru selesai perbaikan as</t>
  </si>
  <si>
    <t>masih pemasnagan batu bata merah</t>
  </si>
  <si>
    <t>pemasangan paping blok</t>
  </si>
  <si>
    <t>tinggal pengecatan dan pembuatan pintu</t>
  </si>
  <si>
    <t>kedalaman 46.20 mata bor tricon 6"</t>
  </si>
  <si>
    <t>kedalaman 46.65 mata bor tricon 6"</t>
  </si>
  <si>
    <t>geser mesin kompresor &amp; beres2 alat</t>
  </si>
  <si>
    <t>nunggu PLN pindah meteran utk persiapan pumping</t>
  </si>
  <si>
    <t>proses kedalaman 16 M, mata bor PDC 8"</t>
  </si>
  <si>
    <t>AS gardan patah</t>
  </si>
  <si>
    <t>pemasangan pipa konduktor, timbun bekas longsoran</t>
  </si>
  <si>
    <t>gati matabor coring atau PDC</t>
  </si>
  <si>
    <t>matabor tricon gigi 8" habis batuan keras</t>
  </si>
  <si>
    <t>bor ulang pilot hole 7" kedalaman 60 M</t>
  </si>
  <si>
    <t>timbun longsoran</t>
  </si>
  <si>
    <t>Team Sobirin</t>
  </si>
  <si>
    <t>survai ke lokasi,</t>
  </si>
  <si>
    <t>pendaftaran listrik ke PLN</t>
  </si>
  <si>
    <t>prose kedalaman 37 M mata bor TRICON 8"</t>
  </si>
  <si>
    <t>prose kedalaman 39 M mata bor TRICON 8"</t>
  </si>
  <si>
    <t>prose kedalaman 39.50 M mata bor TRICON jagung 8"</t>
  </si>
  <si>
    <t>prose kedalaman 40 M mata bor TRICON jagung 8"</t>
  </si>
  <si>
    <t>pastikan matabor tricon apa</t>
  </si>
  <si>
    <t>prose kedalaman 40,70 M mata bor TRICON jagung 8"</t>
  </si>
  <si>
    <t>bor ulang pilot hole 7" kedalaman 96 M</t>
  </si>
  <si>
    <t>bor ulang pilot hole 7" kedalaman 30 M</t>
  </si>
  <si>
    <t>kedalaman 47.10 mata bor tricon 6"</t>
  </si>
  <si>
    <t>mulai pengecatan luar</t>
  </si>
  <si>
    <t>pemasangan poma permanen</t>
  </si>
  <si>
    <t>pergantian mata bor tricon gigi 5"</t>
  </si>
  <si>
    <t>proses kedalaman 40 M mata bor PDC 8"</t>
  </si>
  <si>
    <t>pumping tes dan mobilisasi</t>
  </si>
  <si>
    <t>proses kedalaman 80 M mata bor PDC 8"</t>
  </si>
  <si>
    <t>turunin compesor, bikin claman 4"</t>
  </si>
  <si>
    <t>cabut stang bor kejepit, baru 17 batang</t>
  </si>
  <si>
    <t>kedalaman 47.45 mata bor tricon 6"</t>
  </si>
  <si>
    <t>prose kedalaman 41 M mata bor TRICON jagung 8"</t>
  </si>
  <si>
    <t>besok loging &amp; pasang chasing</t>
  </si>
  <si>
    <t>waterlos, minta lempung</t>
  </si>
  <si>
    <t>masih pengecatan</t>
  </si>
  <si>
    <t>sift malam pergantian PDC pagoda</t>
  </si>
  <si>
    <t>mulai pasang bodemen buat atap</t>
  </si>
  <si>
    <t>sudah pasang bodemen</t>
  </si>
  <si>
    <t>pemasangan batu bata plus begiting</t>
  </si>
  <si>
    <t>masih cabut stang bor kejepit sama timbung longsoran</t>
  </si>
  <si>
    <t>bsk lanjut timbun longsoran</t>
  </si>
  <si>
    <t>air waterlos, nunggu tanah lempung</t>
  </si>
  <si>
    <t>libur hujan terus</t>
  </si>
  <si>
    <t>kedalaman 48.40 mata pdc paoda 5"</t>
  </si>
  <si>
    <t>pilot hole kedalaman 10 M, mata bor PDC 8"</t>
  </si>
  <si>
    <t>pekerjaan distop sementara, saefty induction belum lengkap</t>
  </si>
  <si>
    <t>order saefty induction</t>
  </si>
  <si>
    <t>perbaikan mesin compresor</t>
  </si>
  <si>
    <t>bangunan sudah 90% tinggal pasang pintu &amp; prasasti</t>
  </si>
  <si>
    <t>masih pemasangan batu bata</t>
  </si>
  <si>
    <t>loging &amp; kontruksi</t>
  </si>
  <si>
    <t>kedalaman 49.25 mata pdc paoda 5"</t>
  </si>
  <si>
    <t>ganti mata bor PDC 8" ke PDC 6"</t>
  </si>
  <si>
    <t>minta kunci L ukuran 10 mm buat buka baut L compersor</t>
  </si>
  <si>
    <t>sift malam stang bor patah kedalaman 10 M</t>
  </si>
  <si>
    <t>masih waterlos, nunggu tanah lempung</t>
  </si>
  <si>
    <t>proses kedalaman 35 M</t>
  </si>
  <si>
    <t>pompa hasil mager rendah, harus ganti pompa</t>
  </si>
  <si>
    <t>cabut stang bor sisa yang patah</t>
  </si>
  <si>
    <t>penggalian saluran pipa</t>
  </si>
  <si>
    <t>tahap begisting dan perataan batu bata</t>
  </si>
  <si>
    <t>besok bisa dikirim</t>
  </si>
  <si>
    <t>kwh induk ncbnya meleleh kebakar</t>
  </si>
  <si>
    <t>nutup pipa dibawah tanah</t>
  </si>
  <si>
    <t>pasang balok gantung buat atap</t>
  </si>
  <si>
    <t>perbaikan libang bor</t>
  </si>
  <si>
    <t>proses kedalaman 111 M</t>
  </si>
  <si>
    <t>pemasangan ulang pompa</t>
  </si>
  <si>
    <t>proses kedalaman 10 M, mata bor susun 8" ke 6"</t>
  </si>
  <si>
    <t>batuan keras, kondisi hujan</t>
  </si>
  <si>
    <t>masih nutup pipa dibawah tanah</t>
  </si>
  <si>
    <t>begisting atap</t>
  </si>
  <si>
    <t>kedalaman 50.75 mata pdc paoda 5"</t>
  </si>
  <si>
    <t>kedalaman 51.45 mata pdc paoda 5"</t>
  </si>
  <si>
    <t>pak likin libur</t>
  </si>
  <si>
    <t>proses kedalaman 10 M, mata bor PDC 8"</t>
  </si>
  <si>
    <t>batuan keras &amp; licin</t>
  </si>
  <si>
    <t>prose kedalaman 41.60 M mata bor TRICON jagung 8"</t>
  </si>
  <si>
    <t>cek kesehatan</t>
  </si>
  <si>
    <t>nunggu hasil tes kesehatan</t>
  </si>
  <si>
    <t>masih nunggu hasil tes kesehatan</t>
  </si>
  <si>
    <t>pengeboran sudah selaesai tinggal loging &amp; kontruksi</t>
  </si>
  <si>
    <t>hujan deres dari tadi pagi</t>
  </si>
  <si>
    <t>proses ulang kedalaman 81 M pilot hole 7"</t>
  </si>
  <si>
    <t>prose kedalaman 42.10 M mata bor TRICON gigi 6"</t>
  </si>
  <si>
    <t>tinggal proses pembersihan</t>
  </si>
  <si>
    <t>masih proses pipanisasi</t>
  </si>
  <si>
    <t>kedalaman 53.65 mata pdc paoda 5"</t>
  </si>
  <si>
    <t>stang bor patah, mlm dpt 20 cm</t>
  </si>
  <si>
    <t>endapkan dulu 1 minggu</t>
  </si>
  <si>
    <t>Team DOEL</t>
  </si>
  <si>
    <t>kedalaman 58 meter mata bor 6 inch</t>
  </si>
  <si>
    <t>kedalaman 40 meter mata bor 6 inch</t>
  </si>
  <si>
    <t>begisting atap tinggal tunggu matrial</t>
  </si>
  <si>
    <t>hujan dari pagi sampai sore</t>
  </si>
  <si>
    <t>prose kedalaman 43.10 M mata bor TRICON gigi 6"</t>
  </si>
  <si>
    <t>proses ulang kedalaman 111 M pilot hole 7"</t>
  </si>
  <si>
    <t>kedalaman 66 meter mata bor 6 inch</t>
  </si>
  <si>
    <t>pembuatan bak pembagi sama pipanisasi</t>
  </si>
  <si>
    <t>proses kedalaman 11 M, mata bor PDC 5"</t>
  </si>
  <si>
    <t>lapisan masih keras</t>
  </si>
  <si>
    <t>kedalaman 72 meter mata bor 6 inch</t>
  </si>
  <si>
    <t>masih begisting atap kehambat matrial</t>
  </si>
  <si>
    <t>pembuatan t 10x4"</t>
  </si>
  <si>
    <t>proses ulang kedalaman 120 M pilot hole 7"</t>
  </si>
  <si>
    <t>siapkan pipa yang 4"</t>
  </si>
  <si>
    <t>memperbesar lubang utk chasing atas</t>
  </si>
  <si>
    <t>tinggal gelar besi coran</t>
  </si>
  <si>
    <t>finising pipa pembagi dan tanam pipa saluran</t>
  </si>
  <si>
    <t>buat alat coring</t>
  </si>
  <si>
    <t>pemasangan pipa untuk aliran air ke pembuangan</t>
  </si>
  <si>
    <t>cabut stang bor utk ganti mata bor 8 inch</t>
  </si>
  <si>
    <t>prose kedalaman 44.10 M mata bor TRICON gigi 6"</t>
  </si>
  <si>
    <t>pimping tes</t>
  </si>
  <si>
    <t>lapisan atas terkendala ambruk pasiran halus</t>
  </si>
  <si>
    <t>lubang bor ketutup longsoran d bawah casing dikedalaman 12 M</t>
  </si>
  <si>
    <t>rakit jebakan tap kanan utntuk cabut stang bor yang patah</t>
  </si>
  <si>
    <t>mulai gelar besi</t>
  </si>
  <si>
    <t>kontrol lubang bor dikedalaman 99 M</t>
  </si>
  <si>
    <t>kedalaman 60 meter mata bor 8 inch</t>
  </si>
  <si>
    <t>buat alat coring 6" baru dapat 3 unit</t>
  </si>
  <si>
    <t>tinggal tunggu material</t>
  </si>
  <si>
    <t>harga panel 110, harga tiang 100</t>
  </si>
  <si>
    <t>pumping sementara</t>
  </si>
  <si>
    <t>Team dede cianjur</t>
  </si>
  <si>
    <t>pak likin libur sdr'y ada yang meninggal</t>
  </si>
  <si>
    <t>proses kedalaman 11.50 M, mata bor PDC susun 8x6"</t>
  </si>
  <si>
    <t>kedalaman 30 mata bor tricon 8"</t>
  </si>
  <si>
    <t>kedalaman 81 meter mata bor 8 inch</t>
  </si>
  <si>
    <t>service pompa</t>
  </si>
  <si>
    <t>cor lubang luar chasing</t>
  </si>
  <si>
    <t>perbaikan jalur air stop kran hancur</t>
  </si>
  <si>
    <t>ambil batu yang ambruk dari lubang pengeboran</t>
  </si>
  <si>
    <t>bikin galian sumur untuk stok air</t>
  </si>
  <si>
    <t>proses kedalaman 11.50 M, mata bor coring 6"</t>
  </si>
  <si>
    <t>tinggal cor atap</t>
  </si>
  <si>
    <t>langsir bahan material</t>
  </si>
  <si>
    <t>pemasangan tiang pintu dan toron</t>
  </si>
  <si>
    <t>pebuatan jalur stop kran luar</t>
  </si>
  <si>
    <t>kedalaman 35 mata bor tricon 8"</t>
  </si>
  <si>
    <t>libur personil pada sakit</t>
  </si>
  <si>
    <t>kedalaman 4.5 meter mata bor tricon 8"</t>
  </si>
  <si>
    <t>baru mulai jam 3 sore</t>
  </si>
  <si>
    <t>proses kedalaman 12 M, mata bor coring 6"</t>
  </si>
  <si>
    <t>betulin motor penggerak</t>
  </si>
  <si>
    <t>masih bikin galian sumur untuk stok air</t>
  </si>
  <si>
    <t>pemeasngan pintu dan penutup bak pembagi</t>
  </si>
  <si>
    <t>pengecoran atas</t>
  </si>
  <si>
    <t>kedalaman 36 mata bor tricon 8"</t>
  </si>
  <si>
    <t>pimping tes sementara</t>
  </si>
  <si>
    <t>nunggu compresor yang baru datang/sperpart</t>
  </si>
  <si>
    <t>pemasangan kabael</t>
  </si>
  <si>
    <t>finishing pembuatan pintu &amp; tiang toren</t>
  </si>
  <si>
    <t>finishing dak atap</t>
  </si>
  <si>
    <t>pindah titik pengeboran</t>
  </si>
  <si>
    <t>proses ulang kedalaman 117 M pilot hole 7"</t>
  </si>
  <si>
    <t>beres2 alat untuk pindah lokasi</t>
  </si>
  <si>
    <t>stang bor patah di kedalaman 81 M</t>
  </si>
  <si>
    <t>ngebor ulang baru kedalaman 30 M bekas longsoran atas</t>
  </si>
  <si>
    <t>rubah jadwal</t>
  </si>
  <si>
    <t>finishing dak atap dan langsir alat</t>
  </si>
  <si>
    <t>ngebor ulang baru kedalaman 35 M bekas longsoran atas</t>
  </si>
  <si>
    <t>finising tinggal pipanisasi</t>
  </si>
  <si>
    <t>geser lagi menara/mesin ke samping</t>
  </si>
  <si>
    <t>persiapan pindah lokasi besok</t>
  </si>
  <si>
    <t>perbaikan shipel</t>
  </si>
  <si>
    <t>bikin jebakan untuk narik stang bor yang patah</t>
  </si>
  <si>
    <t>kedalaman 27 meter mata bor tricon 8"</t>
  </si>
  <si>
    <t>kedalaman 36 meter mata bor tricon 8"</t>
  </si>
  <si>
    <t>kedalaman 49.5 meter mata bor tricon 8"</t>
  </si>
  <si>
    <t>masih persiapan pindah lokasi besok</t>
  </si>
  <si>
    <t>tinggal pipanisasi dan pintu gerbang</t>
  </si>
  <si>
    <t>sudah koordinasi dg mang tono</t>
  </si>
  <si>
    <t>kedalaman 12 M mata bor tricon 8"</t>
  </si>
  <si>
    <t>ngebor ulang baru kedalaman 39 M bekas longsoran atas</t>
  </si>
  <si>
    <t>proses ulang kedalaman 126 M pilot hole 7"</t>
  </si>
  <si>
    <t>masih akalin stang bor yang patah</t>
  </si>
  <si>
    <t>proses ulang kedalaman 135 M pilot hole 7"</t>
  </si>
  <si>
    <t>prose kedalaman 60 M mata bor TRICON gigi 6"</t>
  </si>
  <si>
    <t>kedalaman 16 M mata bor tricon 8"</t>
  </si>
  <si>
    <t>plesteran tembok</t>
  </si>
  <si>
    <t>masih plesteran tembok</t>
  </si>
  <si>
    <t>kedalaman 65 meter mata bor tricon 8"</t>
  </si>
  <si>
    <t>masih akalin stang bor yang patah belum kena</t>
  </si>
  <si>
    <t>selesai seting alat tinggal nunggu elektrikal listrik</t>
  </si>
  <si>
    <t>prose kedalaman 61 M mata bor TRICON gigi 6"</t>
  </si>
  <si>
    <t>kedalaman 69.5 meter mata bor tricon 8"</t>
  </si>
  <si>
    <t>kedalaman 17 M mata bor tricon 8"</t>
  </si>
  <si>
    <t>kedalaman 85.5 meter mata bor tricon 8"</t>
  </si>
  <si>
    <t>kontrol lubang bor dikedalaman 102 M</t>
  </si>
  <si>
    <t>prose kedalaman 61.20 M mata bor TRICON gigi 6"</t>
  </si>
  <si>
    <t>ketemu batuan keras lagi</t>
  </si>
  <si>
    <t>pemasangan listrik dg team elrktickal</t>
  </si>
  <si>
    <t>mulai acan dan pembuatan tiang toren</t>
  </si>
  <si>
    <t>masih mulai acan dan pembuatan tiang toren</t>
  </si>
  <si>
    <t>kedalaman 19 M mata bor tricon 8"</t>
  </si>
  <si>
    <t>prose kedalaman 61.70 M mata bor TRICON gigi 6"</t>
  </si>
  <si>
    <t>kedalaman 95 meter mata bor tricon 8"</t>
  </si>
  <si>
    <t>besok loging</t>
  </si>
  <si>
    <t>kerja 1/2 hari</t>
  </si>
  <si>
    <t>proses ulang kedalaman 138 M pilot hole 7"</t>
  </si>
  <si>
    <t>tunggu material datang</t>
  </si>
  <si>
    <t>ganti mata bor yg baru</t>
  </si>
  <si>
    <t>mulai finishing acian dan pembuatan tiang toren</t>
  </si>
  <si>
    <t>nunggu acesment pengeboran titik baru</t>
  </si>
  <si>
    <t>tutunin jebakan dan pengecoran lubang atas</t>
  </si>
  <si>
    <t>proses ulang kedalaman 147 M pilot hole 7"</t>
  </si>
  <si>
    <t>baru selesai asesmenet</t>
  </si>
  <si>
    <t>besok kirim pipa chasing</t>
  </si>
  <si>
    <t>kedalaman 21 M mata bor tricon 8"</t>
  </si>
  <si>
    <t>prose kedalaman 62.20 M mata bor TRICON gigi 6"</t>
  </si>
  <si>
    <t>masih tahap finishing</t>
  </si>
  <si>
    <t>reaming</t>
  </si>
  <si>
    <t>besok kontruksi</t>
  </si>
  <si>
    <t>proses kedalaman 9 M, mata bor tricon gigi 6"</t>
  </si>
  <si>
    <t>kedalaman 22 M mata bor tricon 8"</t>
  </si>
  <si>
    <t>Team Mang Tono</t>
  </si>
  <si>
    <t>datang barang material</t>
  </si>
  <si>
    <t>prose kedalaman 62.70 M mata bor TRICON gigi 6"</t>
  </si>
  <si>
    <t>pasnag pompa permanen</t>
  </si>
  <si>
    <t xml:space="preserve">beres2 alat  </t>
  </si>
  <si>
    <t>kedalaman 23 M mata bor tricon 8"</t>
  </si>
  <si>
    <t>tahap pengcian</t>
  </si>
  <si>
    <t>prose kedalaman 63 M mata bor TRICON gigi 6"</t>
  </si>
  <si>
    <t>pengukuran lokasi tanah</t>
  </si>
  <si>
    <t>butuh tricon 8"</t>
  </si>
  <si>
    <t>masih reaming</t>
  </si>
  <si>
    <t>akalin stang bor kejepit, baru 24 batang yang tercabaut</t>
  </si>
  <si>
    <t>galian ceker ayam</t>
  </si>
  <si>
    <t>mesin penggerak rusak</t>
  </si>
  <si>
    <t>tahap finishing pengacian</t>
  </si>
  <si>
    <t>stang bor patah di 8 batang</t>
  </si>
  <si>
    <t>kontrol lubang baru di kedalaman 80 M</t>
  </si>
  <si>
    <t>buat alat jebakan untuk akalin stang bor yang patah di kedalaman 32 M</t>
  </si>
  <si>
    <t>pekerjan sipil sdh selesai, tinggal pintu gerbang, toren sama pompa</t>
  </si>
  <si>
    <t>kedalaman 24 M mata bor tricon 8"</t>
  </si>
  <si>
    <t>masih galian ceker ayam dan pengukuran galian</t>
  </si>
  <si>
    <t>tahap finishing pengacian &amp; tiang menara tower</t>
  </si>
  <si>
    <t>timbun tanah longsor, betulin menara yg miring</t>
  </si>
  <si>
    <t>kedalaman 25 M mata bor tricon 8"</t>
  </si>
  <si>
    <t>masih ngakalin stang bor yang patah</t>
  </si>
  <si>
    <t>cor galian ceker ayam</t>
  </si>
  <si>
    <t>finishing pengacian &amp; tiang menara tower</t>
  </si>
  <si>
    <t>rescheduling</t>
  </si>
  <si>
    <t>mobilisasi kompersor ke lokasi</t>
  </si>
  <si>
    <t>minta waktu sampai selasa, klo belum kena mau pindah titik</t>
  </si>
  <si>
    <t>perbaikan mesin penggerak</t>
  </si>
  <si>
    <t>pipanisasi dan finishing dak atas</t>
  </si>
  <si>
    <t>pemasangan besi sloop</t>
  </si>
  <si>
    <t>persiapan pulang</t>
  </si>
  <si>
    <t>pemesanan tiket pesawat</t>
  </si>
  <si>
    <t>sudah dibandara medan berangkat jam 6.30</t>
  </si>
  <si>
    <t>kedalaman 118 meter mata bit DTH 8"</t>
  </si>
  <si>
    <t>proses bor ulang kedalaman 90 M pilot hole 7"</t>
  </si>
  <si>
    <t>kondisi hujan, tambah longsoran pasiran halus</t>
  </si>
  <si>
    <t>kedalaman 26 M mata bor tricon 8"</t>
  </si>
  <si>
    <t>bor samping untuk akalin stang bor yang patah</t>
  </si>
  <si>
    <t>banyak tanah ambrukan</t>
  </si>
  <si>
    <t>masih pipanisasi dan finishing dak atas</t>
  </si>
  <si>
    <t>kedalaman 136 meter mata bit DTH 8"</t>
  </si>
  <si>
    <t>masih pemasangan besi sloop</t>
  </si>
  <si>
    <t>penyambungan kabel yang ketabrak</t>
  </si>
  <si>
    <t>ngurus sertifikan lewat p.heri atau pak niko</t>
  </si>
  <si>
    <t>jadwalkan pemasangan pompa permanen</t>
  </si>
  <si>
    <t>belum pasng kwh</t>
  </si>
  <si>
    <t>rencana hari ini</t>
  </si>
  <si>
    <t>kedalaman 82 meter mata bor 8 inch</t>
  </si>
  <si>
    <t>finishing pengecatan</t>
  </si>
  <si>
    <t>satng bor yang patah sdah tercabut</t>
  </si>
  <si>
    <t>kedalaman 27 M mata bor tricon 8"</t>
  </si>
  <si>
    <t>kedalaman 145 meter mata bit DTH 8"</t>
  </si>
  <si>
    <t>sumber air msh kecil</t>
  </si>
  <si>
    <t>mobilisasi alat DTH</t>
  </si>
  <si>
    <t>kedalaman 27.30 M mata bor tricon 8"</t>
  </si>
  <si>
    <t>lubang bor ketutup longsoran dikedalaman 40 M</t>
  </si>
  <si>
    <t>finishing pengecatan dan pipanisasi</t>
  </si>
  <si>
    <t>resecheduling pemasngan kwa</t>
  </si>
  <si>
    <t>hujan seharian</t>
  </si>
  <si>
    <t>seting alat DTH &amp; kirim stang bor ke lokasi</t>
  </si>
  <si>
    <t>Uji Coba Pumping Test</t>
  </si>
  <si>
    <t>Pake motor 2 hp hcl pompa 2-33 kedalaman 140 meter</t>
  </si>
  <si>
    <t>minta matabor tricon Jagung lurus  8"</t>
  </si>
  <si>
    <t>kedalaman 28.30 M mata bor tricon 8"</t>
  </si>
  <si>
    <t>prmasangan kwh dr pln done</t>
  </si>
  <si>
    <t>pasang pagar panel dan jaringan pipa</t>
  </si>
  <si>
    <t>masih diliburkan kondisi hujan terus</t>
  </si>
  <si>
    <t>ngebersihin lubang bor karna runtuhan batuan</t>
  </si>
  <si>
    <t>masih perbaikan yang ambrukan sekitar lubang bor</t>
  </si>
  <si>
    <t>masih seting alat DTH</t>
  </si>
  <si>
    <t>masih pasang pagar panel dan jaringan pipa</t>
  </si>
  <si>
    <t>mulai pasang baut bata</t>
  </si>
  <si>
    <t>kedalaman 28.80 M mata bor tricon 8"</t>
  </si>
  <si>
    <t>mobilisasi alat k calincing</t>
  </si>
  <si>
    <t>jeting</t>
  </si>
  <si>
    <t>nunggu keutusan pimpinan utk pumping</t>
  </si>
  <si>
    <t>team balik kanan dikarnakan blm ada beberapa kesepakatan</t>
  </si>
  <si>
    <t>kedalaman 29.10 M mata bor tricon 8"</t>
  </si>
  <si>
    <t>masih mulai pasang baut bata</t>
  </si>
  <si>
    <t>pasang kwh oleh pln</t>
  </si>
  <si>
    <t>baru selesai bersihin lubang karena runtuhan</t>
  </si>
  <si>
    <t>bsk mulai pengeboran</t>
  </si>
  <si>
    <t>kontrol lubang sdh dikedalaman 70 M</t>
  </si>
  <si>
    <t>pemasangan panel dan instalasi kabel</t>
  </si>
  <si>
    <t>kedalaman 83 meter mata bor 8 inch</t>
  </si>
  <si>
    <t>mobilisasi alat dari kedung soka</t>
  </si>
  <si>
    <t>masih mobilisasi alat dari kedung soka</t>
  </si>
  <si>
    <t>kedalaman 95 meter mata bor 8 inch</t>
  </si>
  <si>
    <t>kontrol lubang sdh dikedalaman 120 M</t>
  </si>
  <si>
    <t>masih ngebersihin lubang bor karna runtuhan batuan</t>
  </si>
  <si>
    <t>prose kedalaman 63.30 M mata bor TRICON jagung 8"</t>
  </si>
  <si>
    <t>mulai pasang paping blok</t>
  </si>
  <si>
    <t>pasang baut bata dan cor tiang</t>
  </si>
  <si>
    <t>kedalaman 30 M mata bor tricon 8"</t>
  </si>
  <si>
    <t>pasang baut bata dan galian pipa</t>
  </si>
  <si>
    <t>pembuatan bak pembagi da langsir barang</t>
  </si>
  <si>
    <t>reparasi mesin penggerak atas</t>
  </si>
  <si>
    <t>mcb sudah dkuatin pompa dpasang di kedalaman 139 M air msh tekor</t>
  </si>
  <si>
    <t>prose kedalaman 63.50 M mata bor TRICON jagung 8"</t>
  </si>
  <si>
    <t>watersipel patah</t>
  </si>
  <si>
    <t>pengecoran kolam dan galian pipanisasi</t>
  </si>
  <si>
    <t>finishing bak pembagi, finishing pengecatan rumah pompa &amp; pemasangan paving blok</t>
  </si>
  <si>
    <t>masih reparasi mesin penggerak atas</t>
  </si>
  <si>
    <t>baru dikirim dari WS</t>
  </si>
  <si>
    <t>sanping lubang bor ambruk lagi</t>
  </si>
  <si>
    <t>prose kedalaman 63.80 M mata bor TRICON jagung 8"</t>
  </si>
  <si>
    <t>kontrol lubang sdh dikedalaman 141 M</t>
  </si>
  <si>
    <t>seting alat DTH</t>
  </si>
  <si>
    <t>proses kedalaman 24 M, mata bor hammer 6" mata bit DTH 8"</t>
  </si>
  <si>
    <t>stang bor kejepit sudah teratasi, kontrol lubang bor di kedalaman 80 M</t>
  </si>
  <si>
    <t>kontrol lubang bor sdh dikedalaman 84 M</t>
  </si>
  <si>
    <t>membuat dudukan menara semalam ambas karena hujan</t>
  </si>
  <si>
    <t>masih membuat dudukan menara tambah balok, sama buat adukan semen</t>
  </si>
  <si>
    <t>kedalaman 33 M mata bor tricon 8"</t>
  </si>
  <si>
    <t>pemasangan begisting atas dan materialnya</t>
  </si>
  <si>
    <t>pemasangan paving blok sama finishing pengecatan</t>
  </si>
  <si>
    <t>perbaikan dudukan mesin dan rakit kombinasi mata bor</t>
  </si>
  <si>
    <t>proses kedalaman 35 M, mata bor hammer 6" mata bit DTH 8"</t>
  </si>
  <si>
    <t>prose kedalaman 64.10 M mata bor TRICON jagung 8"</t>
  </si>
  <si>
    <t>kedalaman 34 M mata bor tricon 8"</t>
  </si>
  <si>
    <t>masih pemasangan begisting atas</t>
  </si>
  <si>
    <t>pemasangan kramik depan</t>
  </si>
  <si>
    <t>prose kedalaman 66 M mata bor TRICON jagung 8"</t>
  </si>
  <si>
    <t>cabut stang bor kejepit, baru 16 batang</t>
  </si>
  <si>
    <t>finising pengectan, tinggal pasang pintu pagar</t>
  </si>
  <si>
    <t>kedalaman 35 M mata bor tricon 8"</t>
  </si>
  <si>
    <t>kedalaman 36 M mata bor tricon 8"</t>
  </si>
  <si>
    <t>finishing, tinggal pasang pintu dan instalasi Listrik</t>
  </si>
  <si>
    <t>prose kedalaman 66.30 M mata bor TRICON jagung 8"</t>
  </si>
  <si>
    <t>prose kedalaman 66.60 M mata bor TRICON jagung 8"</t>
  </si>
  <si>
    <t>baru selesai perbaikan yg ambruk</t>
  </si>
  <si>
    <t>Team Doni</t>
  </si>
  <si>
    <t>siapkan popmpa untuk pumping</t>
  </si>
  <si>
    <t>kedalaman 37 M mata bor tricon 8"</t>
  </si>
  <si>
    <t>cabut stang bor sisa 14 batang keburu hujan</t>
  </si>
  <si>
    <t>tinggal pasang pintu dan instalasi listrik</t>
  </si>
  <si>
    <t>persiapan pengecoran dak atas</t>
  </si>
  <si>
    <t>masih persiapan pengecoran dak atas</t>
  </si>
  <si>
    <t>finishing tinggal pasang pompa</t>
  </si>
  <si>
    <t>finishing pemasangan pintu gerbang tinggal pasang popa</t>
  </si>
  <si>
    <t>prose kedalaman 66.90 M mata bor coring 6"</t>
  </si>
  <si>
    <t>prose kedalaman 67.20 M mata bor coring 6"</t>
  </si>
  <si>
    <t>kontruksi kedalaman 57</t>
  </si>
  <si>
    <t>dipastikan ukuran matabornya</t>
  </si>
  <si>
    <t>stang bor patah dikedalaman 35 M</t>
  </si>
  <si>
    <t>proses kedalaman 124 M, mata bor hammer 5" mata bit DTH 5"</t>
  </si>
  <si>
    <t>proses kedalaman 106 M, mata bor hammer 5" mata bit DTH 5"</t>
  </si>
  <si>
    <t>proses kedalaman 94 M, mata bor hammer 5" mata bit DTH 5"</t>
  </si>
  <si>
    <t>nambal air yang bocor dari samping</t>
  </si>
  <si>
    <t>baru selesai nambal air yang bocor dari samping</t>
  </si>
  <si>
    <t>prose kedalaman 67.70 M mata bor coring 6"</t>
  </si>
  <si>
    <t>pemasangan besi cor dan triplek utk cor dak atas</t>
  </si>
  <si>
    <t>cabut stang bor yang patah</t>
  </si>
  <si>
    <t>kedalaman 37.30 M mata bor tricon 8"</t>
  </si>
  <si>
    <t>kedalaman 37.60 M mata bor tricon 8"</t>
  </si>
  <si>
    <t>kondisi hujan terus</t>
  </si>
  <si>
    <t>persiapan instalasi pemasngan pipa ke penampungan</t>
  </si>
  <si>
    <t>masih persiapan instalasi pemasngan pipa ke penampungan</t>
  </si>
  <si>
    <t>kontruksi baru 9 batang</t>
  </si>
  <si>
    <t>proses kedalaman 135 M, mata bor hammer 5" mata bit DTH 5"</t>
  </si>
  <si>
    <t>kedalaman 39 M mata bor tricon 8"</t>
  </si>
  <si>
    <t>kedalaman 39.20 M mata bor tricon 8"</t>
  </si>
  <si>
    <t>pemasangan mesi cor atap</t>
  </si>
  <si>
    <t>pembuatan bak pembagi</t>
  </si>
  <si>
    <t>kontruksi baru 11 batang</t>
  </si>
  <si>
    <t>air encer, aduk lempung</t>
  </si>
  <si>
    <t>kontruksi baru 12 batang</t>
  </si>
  <si>
    <t xml:space="preserve">mesin NS rusak, </t>
  </si>
  <si>
    <t xml:space="preserve">perbaikan mesin NS </t>
  </si>
  <si>
    <t>proses kedalaman 157 M, mata bor hammer 5" mata bit DTH 5"</t>
  </si>
  <si>
    <t>lubang yang di bor mampet lg</t>
  </si>
  <si>
    <t>mulai pengecoran dak atas</t>
  </si>
  <si>
    <t xml:space="preserve">longsoran dinding atas longsor lg di kedalaman 12 M </t>
  </si>
  <si>
    <t>pemasangan pipa ke penampungan sudah selesai</t>
  </si>
  <si>
    <t>masang mesin dinamo</t>
  </si>
  <si>
    <t>mulai pengecoran dak atas dan pembuatan pagar panel</t>
  </si>
  <si>
    <t>masih akalin longsoran dinding atas</t>
  </si>
  <si>
    <t>kedalaman 40 M mata bor tricon 8"</t>
  </si>
  <si>
    <t>pembuatan screen dan shock dalam pipa</t>
  </si>
  <si>
    <t>perakiatan alat</t>
  </si>
  <si>
    <t>proses kedalaman 163 M, mata bor hammer 5" mata bit DTH 5"</t>
  </si>
  <si>
    <t>mat 125 M di lod besi 140 M</t>
  </si>
  <si>
    <t>pemasangan pagar rumah pompa</t>
  </si>
  <si>
    <t>minta stang bor 73 utk kedalaman 10 M</t>
  </si>
  <si>
    <t>kedalaman 41 M mata bor tricon gigi 6"</t>
  </si>
  <si>
    <t>kedalaman 44 M mata bor tricon gigi 6"</t>
  </si>
  <si>
    <t>pemasangan watermeter</t>
  </si>
  <si>
    <t>perbaikan gear box</t>
  </si>
  <si>
    <t>cabut satng bor dan chasing 6" sisa 6 batang</t>
  </si>
  <si>
    <t xml:space="preserve">kontruksi pipa 5" </t>
  </si>
  <si>
    <t>kedalaman 47 M mata bor tricon gigi 6"</t>
  </si>
  <si>
    <t>prose kedalaman 68.20 M mata bor TRICON jagung 8"</t>
  </si>
  <si>
    <t>prose kedalaman 68.60 M mata bor TRICON jagung 8"</t>
  </si>
  <si>
    <t>prose kedalaman 69 M mata bor TRICON jagung 8"</t>
  </si>
  <si>
    <t>prose kedalaman 69,40 M mata bor TRICON jagung 8"</t>
  </si>
  <si>
    <t>prose kedalaman 69,70 M mata bor TRICON jagung 8"</t>
  </si>
  <si>
    <t>prose kedalaman 71,30 M mata bor TRICON jagung 8"</t>
  </si>
  <si>
    <t>prose kedalaman 71,70 M mata bor TRICON jagung 8"</t>
  </si>
  <si>
    <t>langsir alat dari psm 2</t>
  </si>
  <si>
    <t>persiapan pemberangkatan team</t>
  </si>
  <si>
    <t>permberangkatan team</t>
  </si>
  <si>
    <t>pindah titik lokasi pengeboran</t>
  </si>
  <si>
    <t>kuras air sumur bor</t>
  </si>
  <si>
    <t>pemasangan pompa permanen team pak eko BBWS belum terpasang</t>
  </si>
  <si>
    <t>kedalaman 47.50 M mata bor tricon gigi 6"</t>
  </si>
  <si>
    <t>mati lampu dr jam 1</t>
  </si>
  <si>
    <t>pengacian tembok luar &amp; dalam</t>
  </si>
  <si>
    <t>lansir alat ke koncang</t>
  </si>
  <si>
    <t>prose kedalaman 72.10 M mata bor TRICON jagung 8"</t>
  </si>
  <si>
    <t>baru selesai pindah mesin bor</t>
  </si>
  <si>
    <t>persiapan pemasangan pompa permanen</t>
  </si>
  <si>
    <t>persiapan pemasangan instalasi atas</t>
  </si>
  <si>
    <t>penyambungan pipa bagian bawah</t>
  </si>
  <si>
    <t>stang bor sudah tercabut sore</t>
  </si>
  <si>
    <t>pengacian tembok, penguruguan dalam &amp; pemasangan pagar</t>
  </si>
  <si>
    <t>prose kedalaman 72.40 M mata bor TRICON jagung 8"</t>
  </si>
  <si>
    <t>perapihan alat alat</t>
  </si>
  <si>
    <t>pemasangan pompa pending</t>
  </si>
  <si>
    <t>instalasi pipa ke penampungan</t>
  </si>
  <si>
    <t>tinggal nunggu konfirmasi dr pihak agin</t>
  </si>
  <si>
    <t>prose kedalaman 72.90 M mata bor TRICON jagung 8"</t>
  </si>
  <si>
    <t>kedalaman 47.65 M mata bor tricon gigi 6"</t>
  </si>
  <si>
    <t>perbaikan instalasi pipa pnampungan ke pompa</t>
  </si>
  <si>
    <t>pengacian tembok, penguruguan dalam</t>
  </si>
  <si>
    <t>pemasangan pompa permanen bru dikedalaman 110 M</t>
  </si>
  <si>
    <t>kedalaman 47.85 M mata bor tricon gigi 6"</t>
  </si>
  <si>
    <t>pemasangan kramik dalam, perataan tanah halaman &amp; pengacian bak pembagi</t>
  </si>
  <si>
    <t>pemindahan water meter ke pompa</t>
  </si>
  <si>
    <t>masih nunggu konfirmasi dr pihak agin</t>
  </si>
  <si>
    <t>prose kedalaman 73.30 M mata bor TRICON jagung 8"</t>
  </si>
  <si>
    <t>plester lubang bor baru 4 meter</t>
  </si>
  <si>
    <t>air sudah jernih</t>
  </si>
  <si>
    <t>melajutkan instalasi pipa ke penampungan</t>
  </si>
  <si>
    <t>kedalaman 48.05 M mata bor tricon gigi 6"</t>
  </si>
  <si>
    <t>finishing buat bak pembagi &amp; perataan tanah halaman</t>
  </si>
  <si>
    <t>prose kedalaman 73.70 M mata bor TRICON jagung 8"</t>
  </si>
  <si>
    <t>finishing</t>
  </si>
  <si>
    <t>bor kering</t>
  </si>
  <si>
    <t>aduk lumpur, bor kering kedalaman 4 M</t>
  </si>
  <si>
    <t>prose kedalaman 73.80 M mata bor TRICON jagung 8"</t>
  </si>
  <si>
    <t>persiapan demob</t>
  </si>
  <si>
    <t>pekerjaan sudah 97%</t>
  </si>
  <si>
    <t>insatalasi pipa kepenampunagan selesai</t>
  </si>
  <si>
    <t>kedalaman 48.35 M mata bor tricon gigi 6"</t>
  </si>
  <si>
    <t>kedalaman 50 M mata bor tricon gigi 6"</t>
  </si>
  <si>
    <t>masih ratakan tanah buat rakit dudukan menara</t>
  </si>
  <si>
    <t>baru selesai bikin landasan &amp; spul bak</t>
  </si>
  <si>
    <t>perbaikan mesin/alat</t>
  </si>
  <si>
    <t>masih lansir mesin kompresor</t>
  </si>
  <si>
    <t>lansir mesin kompresor jalan becek ga bs jalan</t>
  </si>
  <si>
    <t>kedalaman 12 M pilot hole 11"</t>
  </si>
  <si>
    <t>kedalaman 22 M pilot hole 11"</t>
  </si>
  <si>
    <t>ganti mata bor yg 9"</t>
  </si>
  <si>
    <t>lepas begisting, pengacian bak pembagi &amp; perataan tanah halaman</t>
  </si>
  <si>
    <t>kedalaman 50.50 M mata bor tricon gigi 6"</t>
  </si>
  <si>
    <t>kedalaman 51 M mata bor tricon gigi 6"</t>
  </si>
  <si>
    <t>proses pengacian</t>
  </si>
  <si>
    <t>masih langsir alat</t>
  </si>
  <si>
    <t>prose kedalaman 74.10 M mata bor TRICON jagung 8"</t>
  </si>
  <si>
    <t>prose kedalaman 74.40 M mata bor TRICON jagung 8"</t>
  </si>
  <si>
    <t>kedalaman 24 M pilot hole 9"</t>
  </si>
  <si>
    <t>kedalaman 30 M pilot hole 9"</t>
  </si>
  <si>
    <t>kedalaman 52 M mata bor tricon gigi 6"</t>
  </si>
  <si>
    <t>seting alat, tinggal naikin menara</t>
  </si>
  <si>
    <t>tinggal tunggu team electrikal</t>
  </si>
  <si>
    <t>prose kedalaman 74.60 M mata bor TRICON jagung 8"</t>
  </si>
  <si>
    <t>kedalaman 35 M pilot hole 9"</t>
  </si>
  <si>
    <t>masih seting alat, tinggal naikin menara</t>
  </si>
  <si>
    <t>mati lampu dari semalam</t>
  </si>
  <si>
    <t>stang bor patah dikedalaman +/- 30 M</t>
  </si>
  <si>
    <t>masih atasi stang bor yang patah</t>
  </si>
  <si>
    <t>pengecoran dak atas &amp; pengacian</t>
  </si>
  <si>
    <t>masih pengacian dinding</t>
  </si>
  <si>
    <t>kedalaman 39 M pilot hole 9"</t>
  </si>
  <si>
    <t>mobilisasi DTH</t>
  </si>
  <si>
    <t>team akbar sudah pulang ke bandung</t>
  </si>
  <si>
    <t>baru pasnag menara ada kendala dibawah ada pipa HDPE</t>
  </si>
  <si>
    <t>sedang dimetingkan dahulu</t>
  </si>
  <si>
    <t>pebaikan puli dinamo ke NS</t>
  </si>
  <si>
    <t>kedalaman 43 M pilot hole 9"</t>
  </si>
  <si>
    <t>besok pasang chasing 10"</t>
  </si>
  <si>
    <t>mobilisasi mesin compresor</t>
  </si>
  <si>
    <t>pebaikan puli dinamo ke NS baru beres</t>
  </si>
  <si>
    <t>baru selesai galian untuk buat dudukan menara</t>
  </si>
  <si>
    <t>kedalaman 48 M pilot hole 9"</t>
  </si>
  <si>
    <t>pemasngan pipa 10" bru 3 btg</t>
  </si>
  <si>
    <t>pengacian tiang dan balokan</t>
  </si>
  <si>
    <t>tinggal pasang pompa</t>
  </si>
  <si>
    <t>kedalaman 53 M pilot hole 9"</t>
  </si>
  <si>
    <t>stang bor patah lagi</t>
  </si>
  <si>
    <t>minta bantu 2 orang</t>
  </si>
  <si>
    <t>seting alat sudah selesai, pengeboran ditunda samapai hari rabu</t>
  </si>
  <si>
    <t>ada kunjungan dari KLH hr selasa</t>
  </si>
  <si>
    <t xml:space="preserve">mesin compresor belum bsa digerakan kondisi hujan terus tanah gembur </t>
  </si>
  <si>
    <t>perbaikan instalasi jaringan pipa</t>
  </si>
  <si>
    <t>kedalaman 60 M pilot hole 9"</t>
  </si>
  <si>
    <t>minta kirim chasing secepatnya</t>
  </si>
  <si>
    <t>masih menunggu sampai hari rabu mulai pengeboran</t>
  </si>
  <si>
    <t>stang bor sudah terangkat</t>
  </si>
  <si>
    <t>perbiakan gear box</t>
  </si>
  <si>
    <t>prose kedalaman 74.80 M mata bor TRICON gigi 6"</t>
  </si>
  <si>
    <t>kedalaman 70 M pilot hole 9"</t>
  </si>
  <si>
    <t>kedalaman 12 M mata bit DTH 12"</t>
  </si>
  <si>
    <t>kedalaman 16 M mata bit DTH 12"</t>
  </si>
  <si>
    <t>kedalaman 31 M mata bit DTH 12"</t>
  </si>
  <si>
    <t>hari selasa ada kunjungan KLH</t>
  </si>
  <si>
    <t>pasang pompa bulan februari</t>
  </si>
  <si>
    <t>kedalaman 37 M mata bit DTH 12"</t>
  </si>
  <si>
    <t>angkutin lempung</t>
  </si>
  <si>
    <t>besok mulai ngebor</t>
  </si>
  <si>
    <t>waterlos 4x tampung air habis, minta lempung</t>
  </si>
  <si>
    <t>kedalaman 87 M pilot hole 9"</t>
  </si>
  <si>
    <t>AS copel gardan patah</t>
  </si>
  <si>
    <t>kedalaman 46 M mata bit DTH 12"</t>
  </si>
  <si>
    <t>prose kedalaman 75 M mata bor TRICON gigi 6"</t>
  </si>
  <si>
    <t>kedalaman 96 M pilot hole 9"</t>
  </si>
  <si>
    <t>AS copel gardan patah team blm bs las sendiri</t>
  </si>
  <si>
    <t>proses kedalaman 2 M mata bor corong 6"</t>
  </si>
  <si>
    <t>proses kedalaman 3 M mata bor corong 6"</t>
  </si>
  <si>
    <t>kedalaman 114 M pilot hole 9"</t>
  </si>
  <si>
    <t>angkat pasiran dr spul bak</t>
  </si>
  <si>
    <t>angkat matabor 2X sirkulasi mampet terus</t>
  </si>
  <si>
    <t>baru lancar sore</t>
  </si>
  <si>
    <t>bor hole</t>
  </si>
  <si>
    <t>prose kedalaman 75.3 M mata bor TRICON Jagung 8"</t>
  </si>
  <si>
    <t>kedalaman 126 M pilot hole 9"</t>
  </si>
  <si>
    <t>bru selesai service as sopel</t>
  </si>
  <si>
    <t>kedalaman 54 M mata bit DTH 12"</t>
  </si>
  <si>
    <t>jeting buat angkat catingan yg belum k angkat</t>
  </si>
  <si>
    <t>proses kedalaman 15 M mata bor Tricon 8"</t>
  </si>
  <si>
    <t>prose kedalaman 50 M mata bor PDC 8"</t>
  </si>
  <si>
    <t>mata bor mentok dikedalaman 40 M</t>
  </si>
  <si>
    <t>kedalaman 135 M pilot hole 9"</t>
  </si>
  <si>
    <t>kedalaman 129 M pilot hole 9"</t>
  </si>
  <si>
    <t>service AS suipel</t>
  </si>
  <si>
    <t>prose kedalaman 59 M mata bor PDC 8"</t>
  </si>
  <si>
    <t>kedalaman 57 M mata bit DTH 10"</t>
  </si>
  <si>
    <t>lempung cadas, butuh swivel buat air</t>
  </si>
  <si>
    <t>proses kedalaman 8 M mata bor Tricon 8"</t>
  </si>
  <si>
    <t>proses kedalaman 20 M mata bor Tricon 8"</t>
  </si>
  <si>
    <t>prose kedalaman 75.5 M mata bor TRICON Jagung 8"</t>
  </si>
  <si>
    <t>butuh lempung, waterlos</t>
  </si>
  <si>
    <t>kedalaman 144 M pilot hole 9"</t>
  </si>
  <si>
    <t>kedalaman 159 M pilot hole 9"</t>
  </si>
  <si>
    <t>prose kedalaman 76 M mata bor PDC 8"</t>
  </si>
  <si>
    <t>proses kedalaman 21 M mata bor Tricon 8"</t>
  </si>
  <si>
    <t>pergantian matabor PDC pagoda</t>
  </si>
  <si>
    <t>rakit swivel di worshop</t>
  </si>
  <si>
    <t>prose kedalaman 76.10 M mata bor PDC 8"</t>
  </si>
  <si>
    <t>matabor PDC kurng maksimal</t>
  </si>
  <si>
    <t>kedalaman 153 M pilot hole 9"</t>
  </si>
  <si>
    <t>aduk lumpur air bening terus</t>
  </si>
  <si>
    <t>Team</t>
  </si>
  <si>
    <t>Volume</t>
  </si>
  <si>
    <t>Nominal</t>
  </si>
  <si>
    <t>Joko Pranowo</t>
  </si>
  <si>
    <t>Mahesa</t>
  </si>
  <si>
    <t>Internal</t>
  </si>
  <si>
    <t>Pembersihan dengan mata bor</t>
  </si>
  <si>
    <t>Compressor</t>
  </si>
  <si>
    <t>Bongkar Pasang Pompa untuk pumping test</t>
  </si>
  <si>
    <t>angkut lumpur, aduk lumpur, spuling utk bersikan lubang bor</t>
  </si>
  <si>
    <t>seting water swivel &amp; persapan ngebor besok</t>
  </si>
  <si>
    <t>proses kedalaman 26 M mata bor PDC Pagoda 8"</t>
  </si>
  <si>
    <t>proses kedalaman 31 M mata bor PDC Pagoda 8"</t>
  </si>
  <si>
    <t>prose kedalaman 76.30 M mata bor PDC 8"</t>
  </si>
  <si>
    <t>angkat &amp; bersihin lumpur di lubang bor</t>
  </si>
  <si>
    <t>minta kirim lempung &amp; dinamo rpm tinggi</t>
  </si>
  <si>
    <t>proses kedalaman 36 M mata bor PDC Pagoda 8"</t>
  </si>
  <si>
    <t>prose kedalaman 76.50 M mata bor PDC 8"</t>
  </si>
  <si>
    <t>kedalaman 156 M pilot hole 9"</t>
  </si>
  <si>
    <t>pasang grevel</t>
  </si>
  <si>
    <t>prose kedalaman 76.70 M mata bor PDC 8"</t>
  </si>
  <si>
    <t>prose kedalaman 77 M mata bor PDC 8"</t>
  </si>
  <si>
    <t>proses kedalaman 38.5 M mata bor PDC Pagoda 8"</t>
  </si>
  <si>
    <t>proses kedalaman 39.5 M mata bor PDC Pagoda 8"</t>
  </si>
  <si>
    <t>bering gi2 nanas patah</t>
  </si>
  <si>
    <t>kedalaman 58 M mata bit DTH 10"</t>
  </si>
  <si>
    <t>jeting lok darunnajah pabuaran</t>
  </si>
  <si>
    <t>prose kedalaman 77.15 M mata bor PDC 8"</t>
  </si>
  <si>
    <t>masih pasng grevel</t>
  </si>
  <si>
    <t>buat coring</t>
  </si>
  <si>
    <t>buat galian tinggal tunggu material</t>
  </si>
  <si>
    <t>masih tunggu material</t>
  </si>
  <si>
    <t>tinggal tunggu beskos utuk pengecoran</t>
  </si>
  <si>
    <t>material datngnya lambat</t>
  </si>
  <si>
    <t>gelaran sudah beres tinggang pembersihan,</t>
  </si>
  <si>
    <t>pengecoran hari selasa</t>
  </si>
  <si>
    <t>gelaran sudah beres tinggal pengecoran</t>
  </si>
  <si>
    <t>masih buat coring dan urug lempung</t>
  </si>
  <si>
    <t>proses kedalaman 40 M mata bor PDC Pagoda 8"</t>
  </si>
  <si>
    <t>prose kedalaman 77.40 M mata bor PDC 8"</t>
  </si>
  <si>
    <t>pasang pompa dikedalaman 52 M</t>
  </si>
  <si>
    <t>air mash keruh</t>
  </si>
  <si>
    <t>cor sebelah jalan sudah selesai</t>
  </si>
  <si>
    <t>baru selesai ngelas AS yg patah tinggal dipasang</t>
  </si>
  <si>
    <t>kedalaman 52 M mata Bor Tricon Jagung 8"</t>
  </si>
  <si>
    <t>prose kedalaman 77.60 M mata bor PDC 8"</t>
  </si>
  <si>
    <t>pasang pompa dikedalaman 60 M</t>
  </si>
  <si>
    <t>persiapan pindah titik pengeborang sumur 2</t>
  </si>
  <si>
    <t>peneboran libur operator sama helper sakit</t>
  </si>
  <si>
    <t>masih rakit coring (p.likin &amp; dapung)</t>
  </si>
  <si>
    <t>akalin stang bor patah</t>
  </si>
  <si>
    <t>pasang pompa dikedalaman 76 M</t>
  </si>
  <si>
    <t>proses kedalaman 41 M mata bor PDC Pagoda 8"</t>
  </si>
  <si>
    <t>stang bor kejepit stngah hari</t>
  </si>
  <si>
    <t>proses kedalaman 42 M mata bor PDC Pagoda 8"</t>
  </si>
  <si>
    <t>AS pinyon patah lagi, mw diservice lagi</t>
  </si>
  <si>
    <t>nyambung pipa, lubang stop kontak mentok &amp; slot kinci ga bisa ngunci</t>
  </si>
  <si>
    <t>dijadwalkan hari senin team pak jenal</t>
  </si>
  <si>
    <t>minta kirim tricon belah, borak &amp; kawat las kuningan</t>
  </si>
  <si>
    <t>kuras air &amp; beresin alat utk pindah titik</t>
  </si>
  <si>
    <t>baru selesai pasang KWH</t>
  </si>
  <si>
    <t>proses kedalaman 18 M</t>
  </si>
  <si>
    <t>nunggu pengecoran kering</t>
  </si>
  <si>
    <t>Team Mg Tono</t>
  </si>
  <si>
    <t>bongkar pasang pintu, pengecoran spiteng &amp; pemasangan bata kamar mandi</t>
  </si>
  <si>
    <t>Beresin galian sama buang puing bekas bobokan</t>
  </si>
  <si>
    <t>Pembersihan lapangan kerja,galian septiktenk,jembol tembok /bobok tembok</t>
  </si>
  <si>
    <t>kedalaman 60 M mata Bor triwing 6"</t>
  </si>
  <si>
    <t>kedalaman 70 M mata Bor triwing 6"</t>
  </si>
  <si>
    <t>proses kedalaman 43 M mata bor PDC Pagoda 8"</t>
  </si>
  <si>
    <t>proses kedalaman 47 M mata bor PDC Pagoda 8"</t>
  </si>
  <si>
    <t>prose kedalaman 77.80 M mata bor PDC 8"</t>
  </si>
  <si>
    <t>prose kedalaman 80 M mata bor PDC 8"</t>
  </si>
  <si>
    <t>prose kedalaman 80.20 M mata bor PDC 8"</t>
  </si>
  <si>
    <t>ngecor bikin kombinasian, tutup sumur, bikin spul bak titik 2</t>
  </si>
  <si>
    <t>masih nguras, bikin spul bak titik 2</t>
  </si>
  <si>
    <t>proses kedalaman 45 M</t>
  </si>
  <si>
    <t>proses kedalaman 75 M</t>
  </si>
  <si>
    <t>proses kedalaman 30 M</t>
  </si>
  <si>
    <t>Melester,sama pengacian kmr mandi</t>
  </si>
  <si>
    <t>kedalaman 77 M mata Bor triwing 6"</t>
  </si>
  <si>
    <t>proses kedalaman 47.50 M mata bor PDC Pagoda 8"</t>
  </si>
  <si>
    <t>prose kedalaman 80.35 M mata bor PDC 8"</t>
  </si>
  <si>
    <t>rapihin alat, pindah titik ke lokasi pengeboran 2</t>
  </si>
  <si>
    <t>proses kedalaman 93 M</t>
  </si>
  <si>
    <t>proses kedalaman 77 M</t>
  </si>
  <si>
    <t>Baru beres pengacian sama beresin plafon yg rusak rusak</t>
  </si>
  <si>
    <t>kedalaman 96 M mata Bor triwing 6"</t>
  </si>
  <si>
    <t>masih nunggu mobil utk demob ke lokasi titik yg ke 2</t>
  </si>
  <si>
    <t>spul samping utk akalin stang bor patah</t>
  </si>
  <si>
    <t>proses kedalaman 102 M</t>
  </si>
  <si>
    <t>Udah mulai pengecatan, bagian tengah sama kamar mandi</t>
  </si>
  <si>
    <t>proses kedalaman 86 M</t>
  </si>
  <si>
    <t>proses kedalaman 110 M</t>
  </si>
  <si>
    <t>rapihkan spul bak titik lokasi ke 2</t>
  </si>
  <si>
    <t>mobilisasi alat baru stengah</t>
  </si>
  <si>
    <t>mw ganti mata bor terkendla stang bor macet naik keatas</t>
  </si>
  <si>
    <t>proses kedalaman 49.50 M mata bor PDC Pagoda 8"</t>
  </si>
  <si>
    <t>proses kedalaman 48.50 M mata bor PDC Pagoda 8"</t>
  </si>
  <si>
    <t>proses kedalaman 58 M mata bor PDC Pagoda 8"</t>
  </si>
  <si>
    <t>kedalaman 108 M mata Bor triwing 6"</t>
  </si>
  <si>
    <t>buat mata bor triwing 8" hampir ke 9"</t>
  </si>
  <si>
    <t>proses reaming kedalaman 60 M mata bor 9"</t>
  </si>
  <si>
    <t>proses kedalaman 59 M mata bor PDC Pagoda 8"</t>
  </si>
  <si>
    <t>masih kendala hujan</t>
  </si>
  <si>
    <t>masih mobilisasi alat</t>
  </si>
  <si>
    <t>proses kedalaman 116 M</t>
  </si>
  <si>
    <t>angkat pompa dari sumur sebelumnya.</t>
  </si>
  <si>
    <t>proses reaming kedalaman 108 M mata bor 9"</t>
  </si>
  <si>
    <t>loging &amp; buat mata bor coring 12"</t>
  </si>
  <si>
    <t>proses kedalaman 60 M mata bor PDC 5 x 8"</t>
  </si>
  <si>
    <t>proses kedalaman 61 M mata bor PDC 5 x 8"</t>
  </si>
  <si>
    <t>prose kedalaman 80.50 M mata bor PDC 8"</t>
  </si>
  <si>
    <t>prose kedalaman 80.65 M mata bor PDC 8"</t>
  </si>
  <si>
    <t>prose kedalaman 80.80 M mata bor PDC 8"</t>
  </si>
  <si>
    <t>persiapan, seting alat</t>
  </si>
  <si>
    <t>selesai mobilisasi ke lokasi titik 2</t>
  </si>
  <si>
    <t>proses kedalaman 125 M</t>
  </si>
  <si>
    <t>blm ada report</t>
  </si>
  <si>
    <t>pumping tes dg pompa sumur sbelumnya</t>
  </si>
  <si>
    <t>air msh keruh</t>
  </si>
  <si>
    <t>team sudah dilokasi dinggal nunggu material</t>
  </si>
  <si>
    <t>mulai penggalian sumur resapan</t>
  </si>
  <si>
    <t>mulai gelar beksos</t>
  </si>
  <si>
    <t>persiapan, team sudah dilokasi</t>
  </si>
  <si>
    <t>selesai penggalian sumur resapan</t>
  </si>
  <si>
    <t>baut mata bor coring 12"</t>
  </si>
  <si>
    <t>proses kedalaman 63 M mata bor PDC 5 x 8"</t>
  </si>
  <si>
    <t>stang bor patah, sore sudah teratasi tp stang bor blm tercabut semua</t>
  </si>
  <si>
    <t>bongkar terpal lokasi titik 1</t>
  </si>
  <si>
    <t>kendala hujan dr pagi sampai sore</t>
  </si>
  <si>
    <t>proses kedalaman 133 M</t>
  </si>
  <si>
    <t>pengeboran sudah selesai team pindah lokasi ke PT BUN</t>
  </si>
  <si>
    <t>gelaran sudah selesai, bobokan baru separuh</t>
  </si>
  <si>
    <t>kuras air galian &amp; buang puing</t>
  </si>
  <si>
    <t>proses kedalaman 65 M mata bor PDC 5 x 8"</t>
  </si>
  <si>
    <t>masih buat mata bor coring 12"</t>
  </si>
  <si>
    <t>prose kedalaman 80.95 M mata bor PDC 8"</t>
  </si>
  <si>
    <t>seting alat selesai, tinggal tunggu konek listrik</t>
  </si>
  <si>
    <t>proses kedalaman 138 M</t>
  </si>
  <si>
    <t>rencana besok konruksi</t>
  </si>
  <si>
    <t>Gelaran besi wermes beres blakang tinggal depan</t>
  </si>
  <si>
    <t>masih buat mata bor coring 12" tinggal pasang widia</t>
  </si>
  <si>
    <t>proses kedalaman 66. 5 M mata bor PDC 5 x 8"</t>
  </si>
  <si>
    <t>prose kedalaman 81.05 M mata bor PDC 8"</t>
  </si>
  <si>
    <t>izin pulang 3 hari</t>
  </si>
  <si>
    <t>pemasangan kabel power</t>
  </si>
  <si>
    <t>tinggal pengecoran</t>
  </si>
  <si>
    <t>sumur resapan sudah selesai tinggal pasang tutup menhool</t>
  </si>
  <si>
    <t>bersihkan sampah sisa pembutan sumur resapan</t>
  </si>
  <si>
    <t>persiapan pengecoran besok</t>
  </si>
  <si>
    <t>pilot hole 11" 2 M, pilot hole 9" 12 M rencana pemasangan pipa konduktor 28 M</t>
  </si>
  <si>
    <t>libur (operator izin ada keperluan pribadi)</t>
  </si>
  <si>
    <t>ganti sementara team kentung</t>
  </si>
  <si>
    <t>masih las widia</t>
  </si>
  <si>
    <t>minta oxygen dll kebutuhan pengelasan</t>
  </si>
  <si>
    <t>baru selesai pembuatan mata bor coring 12"</t>
  </si>
  <si>
    <t>bsk rencana sudah bisa ngebor</t>
  </si>
  <si>
    <t>proses kedalaman 70 M mata bor PDC 5 x 8"</t>
  </si>
  <si>
    <t>betulin bedengan, lanjut angkat stang bor</t>
  </si>
  <si>
    <t>proses kedalaman 24 M pilot hole 9"</t>
  </si>
  <si>
    <t>besok rencana ganti mata bor 11"</t>
  </si>
  <si>
    <t>pengecoran seslsai (finish)</t>
  </si>
  <si>
    <t>Deskripsi</t>
  </si>
  <si>
    <t>Satus</t>
  </si>
  <si>
    <t>Oasis</t>
  </si>
  <si>
    <t>Turunkan Alat</t>
  </si>
  <si>
    <t>Lokal</t>
  </si>
  <si>
    <t>Setting Alat rig</t>
  </si>
  <si>
    <t>Megger Motor sebelum di sambung</t>
  </si>
  <si>
    <t>Rulli</t>
  </si>
  <si>
    <t>Sambung Kabel Powe dan Elektroda</t>
  </si>
  <si>
    <t>Megger motor setelah di sambung</t>
  </si>
  <si>
    <t>Pasang pompa di kedalaman 60 meter</t>
  </si>
  <si>
    <t>Pasang pipa piezometer</t>
  </si>
  <si>
    <t>Megger motor setelah di turunkan</t>
  </si>
  <si>
    <t>harus di atas 50 Mega</t>
  </si>
  <si>
    <t>Siapkan Bak V Noth</t>
  </si>
  <si>
    <t>Pumping test</t>
  </si>
  <si>
    <t>Ukur SW</t>
  </si>
  <si>
    <t>Ukur PWL</t>
  </si>
  <si>
    <t>Ukur Debit</t>
  </si>
  <si>
    <t>Tgu minimal 3 jam sampai 24 jam</t>
  </si>
  <si>
    <t>Onggoing</t>
  </si>
  <si>
    <t>Holil</t>
  </si>
  <si>
    <t>PDAM</t>
  </si>
  <si>
    <t>Budi Pompa</t>
  </si>
  <si>
    <t>Kordinator</t>
  </si>
  <si>
    <t>PDAM, Wahyu rizal, Budi, ruli, team internal, mahesa</t>
  </si>
  <si>
    <t>proses reaming kedlaman 37 M mata bor coring 12"</t>
  </si>
  <si>
    <t>proses reaming kedlaman 29 M mata bor coring 12"</t>
  </si>
  <si>
    <t>proses kedalaman 68.5 M mata bor PDC 5 x 8"</t>
  </si>
  <si>
    <t>proses kedalaman 72.5 M mata bor PDC 5 x 8"</t>
  </si>
  <si>
    <t>proses kedalaman 73.5 M mata bor PDC 5 x 8"</t>
  </si>
  <si>
    <t>angkat stang bor yg kejepit baru 1 batang</t>
  </si>
  <si>
    <t>angkat stang bor yg kejepit baru 2 batang</t>
  </si>
  <si>
    <t>tersisa pancingan yg belum terangkat</t>
  </si>
  <si>
    <t>lansir cesing 10", remeng 11" kedalaman 24 M</t>
  </si>
  <si>
    <t>cabut mata bor 11", pasang pipa konduktor, pasang mata bor 9", ngebor kedalaman 27 M</t>
  </si>
  <si>
    <t>tingga bersih2 bekas coran &amp; pengecatan</t>
  </si>
  <si>
    <t>pembuatan rumah pompa selesai dan pengukuran tutup menhole</t>
  </si>
  <si>
    <t>proses reaming kedlaman 54 M mata bor coring 12"</t>
  </si>
  <si>
    <t>proses reaming kedlaman 97 M mata bor coring 12"</t>
  </si>
  <si>
    <t>reaming sudah selesai, reming ulang utk bersihin lubang bor</t>
  </si>
  <si>
    <t>proses kedalaman 75 M mata bor PDC 5 x 8"</t>
  </si>
  <si>
    <t>proses kedalaman 76.50 M mata bor PDC 5 x 8"</t>
  </si>
  <si>
    <t>proses kedalaman 78.50 M mata bor PDC 8"</t>
  </si>
  <si>
    <t>pancingan tap blm terangkat ada batuan jatuh</t>
  </si>
  <si>
    <t>besok rencana spuling</t>
  </si>
  <si>
    <t>spuling pake air mata bor pdc 8" macet</t>
  </si>
  <si>
    <t>service dudukan dinamo</t>
  </si>
  <si>
    <t>tambah pipa konduktor jadi 7 btng, proses kedalaman 30 M pilot hole 9"</t>
  </si>
  <si>
    <t>proses kedalaman 33 M pilot hole 9"</t>
  </si>
  <si>
    <t>lapisan pasir halus, ngelos terus</t>
  </si>
  <si>
    <t>proses kedalaman 45 M pilot hole 9"</t>
  </si>
  <si>
    <t>masih lapisan pasir halus</t>
  </si>
  <si>
    <t>persiapan kontuksi</t>
  </si>
  <si>
    <t>proses kedalaman 80.50 M mata bor PDC 8"</t>
  </si>
  <si>
    <t>angkat stang bor baru 2 batang</t>
  </si>
  <si>
    <t>proses kedalaman 48 M pilot hole 9"</t>
  </si>
  <si>
    <t>bobok tembok, sama pemasangan bata nutup bekas pintu</t>
  </si>
  <si>
    <t>kontuksi baru masuk 5 batang jalan ke 6 batang</t>
  </si>
  <si>
    <t>proses kedalaman 82 M mata bor PDC 8"</t>
  </si>
  <si>
    <t>rencana besok pumping tes</t>
  </si>
  <si>
    <t>proses kedalaman 51 M pilot hole 9"</t>
  </si>
  <si>
    <t>mulai penutupan bekas bongkaran roling</t>
  </si>
  <si>
    <t>masih kontruksi</t>
  </si>
  <si>
    <t>kontruksi selesai</t>
  </si>
  <si>
    <t>angkat stang bor persiapan mw libur</t>
  </si>
  <si>
    <t>beres2 dan rapihkan alat</t>
  </si>
  <si>
    <t>las stang bor biar lbih kuat</t>
  </si>
  <si>
    <t>water los, ditambah hujan dari pagi sampe siang</t>
  </si>
  <si>
    <t>proses kedalaman 54 M pilot hole 9"</t>
  </si>
  <si>
    <t>perbaikan spul bak, longsor cama cor samping -</t>
  </si>
  <si>
    <t>pipa konduktor 10"</t>
  </si>
  <si>
    <t>Penutupan bekas roling Sama pemasangan roling</t>
  </si>
  <si>
    <t>Mulai pengecatan bagian pinggir luar</t>
  </si>
  <si>
    <t>finising yang kecil kecil</t>
  </si>
  <si>
    <t>cabut stang bor, ngecor luar pipa konduktor, yg water Los, perapihan alat</t>
  </si>
  <si>
    <t>bor ulang ambrukan udh 16 M, total smentara kedalaman 78 M dr 81 M</t>
  </si>
  <si>
    <t>pasang bak kontrol</t>
  </si>
  <si>
    <t>team sudah ada di WS</t>
  </si>
  <si>
    <t>team libur istirahat</t>
  </si>
  <si>
    <t>bor ulang ambrukan udh 30 M, total smentara kedalaman 78 M dr 81 M</t>
  </si>
  <si>
    <t>persiapan pulang liburan</t>
  </si>
  <si>
    <t>Beresin pengacian jalan, pasang plapon depan, sama kamar</t>
  </si>
  <si>
    <t>bor ulang ambrukan udh 32 M, total smentara kedalaman 78 M dr 81 M</t>
  </si>
  <si>
    <t>penebalan/cat ulang bangunan rumah pompa</t>
  </si>
  <si>
    <t>Team Dodi</t>
  </si>
  <si>
    <t>mobilisasi mesin dth</t>
  </si>
  <si>
    <t>perbaikan as gardan</t>
  </si>
  <si>
    <t>proses pengeboran kedalaman 40 M</t>
  </si>
  <si>
    <t>proses pengeboran kedalaman 88 M</t>
  </si>
  <si>
    <t>proses pengeboran kedalaman 118 M</t>
  </si>
  <si>
    <t>penebalan cat/cat ulang bangunan rumah pompa</t>
  </si>
  <si>
    <t>persiapan pulang libur lebaran</t>
  </si>
  <si>
    <t>team pulang alat dititipkan di keamanan pt jemla</t>
  </si>
  <si>
    <t>reaming 8" kedalaman 30 M</t>
  </si>
  <si>
    <t>penambahan tulang rangka menara penempungan selesai</t>
  </si>
  <si>
    <t xml:space="preserve"> kontrol lobang baru 36 meter</t>
  </si>
  <si>
    <t>reaming 8" kedalaman 95 M</t>
  </si>
  <si>
    <t xml:space="preserve">reaming hole mencapai kedalaman 108 </t>
  </si>
  <si>
    <t xml:space="preserve">Pasang mesin pompa submersibel </t>
  </si>
  <si>
    <t>hasil 0,9 liter/detik, 54 liter/menit =3,2 kubik/jam</t>
  </si>
  <si>
    <t>Finis</t>
  </si>
  <si>
    <t>Finising/Rapih-rapih</t>
  </si>
  <si>
    <t>Berangkat  team dari serang-medan</t>
  </si>
  <si>
    <t xml:space="preserve">posisi hujan terus panel listrik bermasalah </t>
  </si>
  <si>
    <t>Sedang Di perbaiki pihak Agincount</t>
  </si>
  <si>
    <t xml:space="preserve">Kontrol Lubang Kedalaman 48 Meter </t>
  </si>
  <si>
    <t>Team Asep/kentung-Merak</t>
  </si>
  <si>
    <t>Team Hidayat-Medan</t>
  </si>
  <si>
    <t>Kontrol Lubang Kedalaman 42 Meter ,pipa konduktor longsor</t>
  </si>
  <si>
    <t>Team Pak Epul Kaltim</t>
  </si>
  <si>
    <t>Proses Pemasangan Pompa</t>
  </si>
  <si>
    <t>Pemberangkatan alat Dan Team ke PT.SIN YUEN Lampung</t>
  </si>
  <si>
    <t>Telah Tiba alat bor dan team doni PT.SIN YUEN Lampung</t>
  </si>
  <si>
    <t>PT.SIN YUEN LAMPUNG</t>
  </si>
  <si>
    <t>081287187586</t>
  </si>
  <si>
    <t>Ternak Ayam Munjul-Paneglang</t>
  </si>
  <si>
    <t>Team Doni 140</t>
  </si>
  <si>
    <t>Team Jenal 140</t>
  </si>
  <si>
    <t xml:space="preserve">Baru masuk 2 batang </t>
  </si>
  <si>
    <t>alat bor sudah sampai di lokasi ternak ayam munjul-paneglang</t>
  </si>
  <si>
    <t xml:space="preserve">Masih nunggu pipa 10 inch </t>
  </si>
  <si>
    <t>katrol / kerekan ukuran 5 ton,Minta Cekin Panel</t>
  </si>
  <si>
    <t>Mulai nembak/eksekusi jam 3.kedaleman dpt 1 mtr.kendala di mata bor</t>
  </si>
  <si>
    <t>mata bor sumur (well drilling bit)</t>
  </si>
  <si>
    <t xml:space="preserve">Beli pipa 10 inch D </t>
  </si>
  <si>
    <t>Bor baru 28 meter. Hemmer 8 inch pakai mata bit dth 10 inch</t>
  </si>
  <si>
    <t xml:space="preserve">Kedalaman 7 Meter </t>
  </si>
  <si>
    <t>Kedalaman 7 Meter Batu keras</t>
  </si>
  <si>
    <t>koringan 4 in dan mata koringan daimen 4 in</t>
  </si>
  <si>
    <t xml:space="preserve">kedalaman 34 meter </t>
  </si>
  <si>
    <t>kedalaman 38meter.</t>
  </si>
  <si>
    <t>kedalaman 36meter.</t>
  </si>
  <si>
    <t xml:space="preserve"> kedalaman 38meter. Ada kendala kesing 8 inch pecah kena serpihan batu</t>
  </si>
  <si>
    <t>ganti pipa yang 8 inch</t>
  </si>
  <si>
    <t>nunggu kiriman mata bor dan koringan tambahan</t>
  </si>
  <si>
    <t>gopung mengatarkan</t>
  </si>
  <si>
    <t xml:space="preserve">kedalaman 12 meter </t>
  </si>
  <si>
    <t>kedalaman 38 meter</t>
  </si>
  <si>
    <t>Alat Bor Satu Set Tiba Lokasi</t>
  </si>
  <si>
    <t xml:space="preserve">Seting Alat Bor </t>
  </si>
  <si>
    <t>Team Jaman 100.M, Casing 6.in</t>
  </si>
  <si>
    <t>Team  Pak.Iyus 130.M, Casing 5.in</t>
  </si>
  <si>
    <t>Team  Pak.Nasrullah 130.M, Casing 5.in</t>
  </si>
  <si>
    <t>Sampai Di Lokasi</t>
  </si>
  <si>
    <t>Kedalaman botm 83 mata bor pdc 8'</t>
  </si>
  <si>
    <t xml:space="preserve">kedalaman 85 matabor 8' masih keras </t>
  </si>
  <si>
    <t>Kdlmn baru 86 matabor pdc 8" kras trus</t>
  </si>
  <si>
    <t xml:space="preserve">Kedalaman 48 Meter Patah </t>
  </si>
  <si>
    <t>D perbaiki</t>
  </si>
  <si>
    <t>lubangnya ga ada tertimbun total yg ada cuma 12 MTR</t>
  </si>
  <si>
    <t>Ambruk / Longsor</t>
  </si>
  <si>
    <t>via PT.Agicourt metingkan oasis</t>
  </si>
  <si>
    <t>Menunggu keputusan dri prusahaan</t>
  </si>
  <si>
    <t>Hujan Deras</t>
  </si>
  <si>
    <t>Kedalaman 57,Pilot hole 9 in</t>
  </si>
  <si>
    <t>kedalaman 63 M pilot hole 9''</t>
  </si>
  <si>
    <t>kedalaman 65 meter, pilot hole 9 in formasi tufaan</t>
  </si>
  <si>
    <t>kedalaman 69 meter pilot hole 9 in</t>
  </si>
  <si>
    <t>Kedalaman 72 Meter pilot hole 9 in</t>
  </si>
  <si>
    <t>kedalaman 74 meter pilot hole 9 in formasi tufaan batu bara</t>
  </si>
  <si>
    <t>kedalaman 74 meter pilot hole 9 in</t>
  </si>
  <si>
    <t>kedalaman 75 meter pilot hole 9 in formasi batu bara</t>
  </si>
  <si>
    <t xml:space="preserve"> kedalaman 79 meter pilot hole 9 in</t>
  </si>
  <si>
    <t>Las Peralatan</t>
  </si>
  <si>
    <t>betulin ns. Sama sepul kop</t>
  </si>
  <si>
    <t>Bersihin Bak</t>
  </si>
  <si>
    <t>Baru turunin bor</t>
  </si>
  <si>
    <t>kedalaman 16 meter ambruk</t>
  </si>
  <si>
    <t>masuk 30 cm. Mata bor terikon 6 inc</t>
  </si>
  <si>
    <t>Ganti Saringan</t>
  </si>
  <si>
    <t xml:space="preserve">finising </t>
  </si>
  <si>
    <t>finising /Done</t>
  </si>
  <si>
    <t>Tidak ada progres karena perbaikan NS</t>
  </si>
  <si>
    <t>Persiapan alat di WS</t>
  </si>
  <si>
    <t>Mobilisasi alat ke lokasi</t>
  </si>
  <si>
    <t>Kendala Longsor</t>
  </si>
  <si>
    <t>Persiapan Pindah Titik (geser 5.1/2m)</t>
  </si>
  <si>
    <t>baru beres betulin Ns</t>
  </si>
  <si>
    <t>Kedalaman Bor 3 meter</t>
  </si>
  <si>
    <t>Kedalaman Bor 20 meter</t>
  </si>
  <si>
    <t>Alat Bor tiba lokasi</t>
  </si>
  <si>
    <t xml:space="preserve">lokasi </t>
  </si>
  <si>
    <t>titik baru</t>
  </si>
  <si>
    <t xml:space="preserve">hemer 6.in </t>
  </si>
  <si>
    <t>as patah satu blok</t>
  </si>
  <si>
    <t>ganti</t>
  </si>
  <si>
    <t xml:space="preserve">alat bor telah tiba di lokasi </t>
  </si>
  <si>
    <t xml:space="preserve">gardan kedala </t>
  </si>
  <si>
    <t>servic gardan</t>
  </si>
  <si>
    <t>gigi nanas rontok</t>
  </si>
  <si>
    <t xml:space="preserve">kedalaman 27 meter </t>
  </si>
  <si>
    <t>50 cm keras</t>
  </si>
  <si>
    <t>kedalaman 81 meter</t>
  </si>
  <si>
    <t xml:space="preserve"> kedalaman 84 meter </t>
  </si>
  <si>
    <t>Perlu Lacak progress</t>
  </si>
  <si>
    <t xml:space="preserve">baru seting alat bor </t>
  </si>
  <si>
    <t>Support Team Curug Manis</t>
  </si>
  <si>
    <t>Alat bor berangkat dari whokhsop</t>
  </si>
  <si>
    <t>Proses Pengeboran</t>
  </si>
  <si>
    <t>Proses pengeboran , pada jam 20,00 pipa lepas dari drat, di kedalaman 15-20 meter (13 btg pjg btng 3,8m)</t>
  </si>
  <si>
    <t>Persiapan Pekcing alat-alat bor</t>
  </si>
  <si>
    <t>Perbaikan Ns</t>
  </si>
  <si>
    <t>kedalaman Bor 32 Meter</t>
  </si>
  <si>
    <t>kedalaman Bor 37 Meter</t>
  </si>
  <si>
    <t>kedalaman bor 42 meter</t>
  </si>
  <si>
    <t>tidak ada air</t>
  </si>
  <si>
    <t>mencari air</t>
  </si>
  <si>
    <t>pemasangan listrik</t>
  </si>
  <si>
    <t>kedalaman 32</t>
  </si>
  <si>
    <t>angkat batu</t>
  </si>
  <si>
    <t>lokasi</t>
  </si>
  <si>
    <t>kedalaman 86</t>
  </si>
  <si>
    <t>kedalaman 89</t>
  </si>
  <si>
    <t>Feedback dari lapangn</t>
  </si>
  <si>
    <t>Kedalaman/Progress</t>
  </si>
  <si>
    <t>Diameter berapa</t>
  </si>
  <si>
    <t>Jenis mata bor yang di gunakan</t>
  </si>
  <si>
    <t>Kendala2 apa?</t>
  </si>
  <si>
    <t>kedalaman 92 mata bor ??</t>
  </si>
  <si>
    <t>DAK PUPR Kota Serang Kel.Sukawana</t>
  </si>
  <si>
    <t xml:space="preserve">DAK PUPR Kota Serang Kel.Tinggar </t>
  </si>
  <si>
    <t>DAK PUPR Kota Serang Kel.Curug Manis</t>
  </si>
  <si>
    <t xml:space="preserve">Jaman </t>
  </si>
  <si>
    <t>085714791932</t>
  </si>
  <si>
    <t>turunun serbuk kayu</t>
  </si>
  <si>
    <t>Pekcing alat-alat bor</t>
  </si>
  <si>
    <t>sling,bok dari triplek 3,mm</t>
  </si>
  <si>
    <t>kedalaman 95</t>
  </si>
  <si>
    <t>kedalaman bor 47 meter</t>
  </si>
  <si>
    <t>2 helper dari tinggar ke curug manis</t>
  </si>
  <si>
    <t>Pengeboran pake mata bor trikon gigi 3.in</t>
  </si>
  <si>
    <t>Team  Pak.muhidin 110.M</t>
  </si>
  <si>
    <t>butuh keperluan untuk bor pakai air</t>
  </si>
  <si>
    <t>kedalaman 13,7 mata bor tricon gigi 3 inch</t>
  </si>
  <si>
    <t>panel rusak dan butuh keperluan lainnya</t>
  </si>
  <si>
    <t>reming</t>
  </si>
  <si>
    <t>kedalaman 96 M pilot hole 9 inch</t>
  </si>
  <si>
    <t>nunggu stop kran giv 2 inch sekalian bongkar ulang paping blok yg ambruk</t>
  </si>
  <si>
    <t>seting alat bor</t>
  </si>
  <si>
    <t>kedalaman bor 52 meter pake mata bor triwing kombinasi 5 ke 8 inch</t>
  </si>
  <si>
    <t xml:space="preserve">kedalaman 37 mata bor triwing 8 inch </t>
  </si>
  <si>
    <t xml:space="preserve">kedalaman 50 mata bor triwing 8 inch </t>
  </si>
  <si>
    <t>kedalaman 115 mata bor 5 inch,triwing</t>
  </si>
  <si>
    <t>mata bor patah/sambil reming</t>
  </si>
  <si>
    <t>Proses pemesanan alat2 instalasi lampu</t>
  </si>
  <si>
    <t>pemasangan instalasi lampu dan listrik</t>
  </si>
  <si>
    <t>kedalaman 17 meter mata bor pdc 8 inch</t>
  </si>
  <si>
    <t>pake koring 4 in baru 36 meter./pake 6 in baru 17 m</t>
  </si>
  <si>
    <t xml:space="preserve"> kedalaman 98 meter, pilot hole 9 in, </t>
  </si>
  <si>
    <t>pasang kesing temporary 10in.</t>
  </si>
  <si>
    <t xml:space="preserve">tidak ada progres </t>
  </si>
  <si>
    <t>pak jenal sakit</t>
  </si>
  <si>
    <t xml:space="preserve">persiapan mata bor triwing </t>
  </si>
  <si>
    <t>PT. CEP Kalimantan sipa 2</t>
  </si>
  <si>
    <t>PT. CEP Kalimantan sipa 3</t>
  </si>
  <si>
    <t>PT. CEP Kalimantan sipa 4</t>
  </si>
  <si>
    <t>kedalaman 115 mata bor 5 inch,triwing (Mata Bor saja patah di kedalaman 115m, akan di ambil setelah reaming</t>
  </si>
  <si>
    <t>Team Hidayat-Kalimatan (Target 130M)</t>
  </si>
  <si>
    <t>Kedalaman Sekarang</t>
  </si>
  <si>
    <t>Sisa</t>
  </si>
  <si>
    <t>Kecepatan /Hari</t>
  </si>
  <si>
    <t>Sisah Hari</t>
  </si>
  <si>
    <t>Buat sok drat 2 inch 15 biji</t>
  </si>
  <si>
    <t>pemberangkatan kebutuhan mata bor triwing</t>
  </si>
  <si>
    <t>pake koring 3,in</t>
  </si>
  <si>
    <t>kedalaman bor 91 meter pake mata bor triwing kombinasi 5 ke 8 inch</t>
  </si>
  <si>
    <t>ganti kepala babi as ns 80</t>
  </si>
  <si>
    <t>mata bor koring 6,in</t>
  </si>
  <si>
    <t>nunggu kordinasi tim alat pak juliuandi</t>
  </si>
  <si>
    <t xml:space="preserve">kedalaman 99 meter pilot hole 9,in </t>
  </si>
  <si>
    <t>kedalaman 14,20 koring 3 inch</t>
  </si>
  <si>
    <t>kedalaman bor 100 meter pake mata bor triwing kombinasi 5 ke 8 inch</t>
  </si>
  <si>
    <t>lanjut reming 8 inch mata bor 8 inch pdc</t>
  </si>
  <si>
    <t>service swipel</t>
  </si>
  <si>
    <t>kedalaman 21 meter koring 6 inch</t>
  </si>
  <si>
    <t>angkut alat ke lahan parkir kontener</t>
  </si>
  <si>
    <t xml:space="preserve">kedalaman 99,5 meter pilot hole 9,in </t>
  </si>
  <si>
    <t>perlengkapan toolkit, tangga, dll belum siap semua</t>
  </si>
  <si>
    <t>kedalaman 50 mmeter mata bor 6 inch triwing</t>
  </si>
  <si>
    <t>kedalaman 85 mmeter mata bor 6 inch triwing</t>
  </si>
  <si>
    <t>GB Carry tidak mutar,GB WPA seal bocor</t>
  </si>
  <si>
    <t>Servis Swivel sampai jam 3</t>
  </si>
  <si>
    <t xml:space="preserve">peralatan bor mata bor trwing </t>
  </si>
  <si>
    <t>telah samapai di pt.sinyuen lampung</t>
  </si>
  <si>
    <t>persiapan bor air</t>
  </si>
  <si>
    <t xml:space="preserve">ngambil lempung </t>
  </si>
  <si>
    <t>buat ngetelin air</t>
  </si>
  <si>
    <t xml:space="preserve">rontok mata koringan </t>
  </si>
  <si>
    <t xml:space="preserve">las </t>
  </si>
  <si>
    <t>kedalaman 14,50 cm</t>
  </si>
  <si>
    <t>pengiriman lubang 38,poly 38</t>
  </si>
  <si>
    <t>reaming 46 meter 8,in</t>
  </si>
  <si>
    <t>reaming 90 meter 8,in</t>
  </si>
  <si>
    <t>kedala gir bok</t>
  </si>
  <si>
    <t>nunggu sill dan kunci 8, l</t>
  </si>
  <si>
    <t>nunggu perbaiakan gb carry tidak mutar</t>
  </si>
  <si>
    <t xml:space="preserve">reaming </t>
  </si>
  <si>
    <t xml:space="preserve">pemasangan casing 6,in </t>
  </si>
  <si>
    <t>kedalaman 130 mata bor 5 inch,triwing (Mata Bor saja patah di kedalaman 130m, akan di ambil setelah reaming</t>
  </si>
  <si>
    <t>angkut alat belum beres crentruk gk ada</t>
  </si>
  <si>
    <t xml:space="preserve">kedalaman 102 meter pilot hole 9,in </t>
  </si>
  <si>
    <t xml:space="preserve">kedalaman 105 meter pilot hole 9,in </t>
  </si>
  <si>
    <t>ganti dinamo 10 hp 7.5 kW rpm 380</t>
  </si>
  <si>
    <t>sewa di PT.SINYUEN</t>
  </si>
  <si>
    <t>Reaming 100 meter 8,in</t>
  </si>
  <si>
    <t xml:space="preserve">bawa alat bor dari lokasi ke whokshop </t>
  </si>
  <si>
    <t>acara keluarga</t>
  </si>
  <si>
    <t>kedalaman 111 meter pilot hole 9 in</t>
  </si>
  <si>
    <t>stok drat 2 inch 15 buah</t>
  </si>
  <si>
    <t>Buat sok drat 2 inch 15 buah</t>
  </si>
  <si>
    <t>beres tinggal nunggu tangga</t>
  </si>
  <si>
    <t>083155910942</t>
  </si>
  <si>
    <t>+62 812-8080-8118</t>
  </si>
  <si>
    <t>+62 813-1932-920</t>
  </si>
  <si>
    <t>muhidin</t>
  </si>
  <si>
    <t>PT.SNCP Bogor</t>
  </si>
  <si>
    <t>kedalaman 15,60 koringan 3,in</t>
  </si>
  <si>
    <t xml:space="preserve">pemasangan casing vinilion 6,in </t>
  </si>
  <si>
    <t xml:space="preserve">pengantaran gb caryy </t>
  </si>
  <si>
    <t>lokasi pak iyus kel,tinggar</t>
  </si>
  <si>
    <t>kedalaman 80,meter</t>
  </si>
  <si>
    <t>finising</t>
  </si>
  <si>
    <t xml:space="preserve">angkut alat </t>
  </si>
  <si>
    <t>kedalaman 117 meter pilot hole 9 in</t>
  </si>
  <si>
    <t>Kedalaman 113</t>
  </si>
  <si>
    <t xml:space="preserve">paping tes air </t>
  </si>
  <si>
    <t>pak iyus ke whokshop las</t>
  </si>
  <si>
    <t>pak ifan ke lokasi</t>
  </si>
  <si>
    <t>kabel konsleting listkrik</t>
  </si>
  <si>
    <t>kedalaman 35,53 meter mata bor pdc 8 inch</t>
  </si>
  <si>
    <t>kedalaman 120 meter pilot hole 9 in</t>
  </si>
  <si>
    <t>kedalaman 126 meter pilot hole 9 in</t>
  </si>
  <si>
    <t>kedalaman 123 meter pilot hole 9 in</t>
  </si>
  <si>
    <t>kedalaman 23 koringan 3,in</t>
  </si>
  <si>
    <t>kedalaman 30 koringan 3,in</t>
  </si>
  <si>
    <t>kedalaman 129 meter pilot hole 9 in</t>
  </si>
  <si>
    <t>kedalaman 132 meter pilot hole 9 in</t>
  </si>
  <si>
    <t>kedalaman 38,20 koringan 3,in</t>
  </si>
  <si>
    <t>mati lampu stngah hari</t>
  </si>
  <si>
    <t>tertutup serbuk gergarji air encer terus</t>
  </si>
  <si>
    <t>stang bor kecepit di kedalaman 92 M</t>
  </si>
  <si>
    <t>dibantu sama pak nasrul</t>
  </si>
  <si>
    <t>stang bor sudah terangkat 1 btng</t>
  </si>
  <si>
    <t>butuh vanbele sama kunci pipa 36</t>
  </si>
  <si>
    <t>Kedalaman 125 hamer 6" mata bit 8"</t>
  </si>
  <si>
    <t>Kedalaman 131 hamer 6" mata bit 8"</t>
  </si>
  <si>
    <t>Kedalaman 135 hamer 6" mata bit 8"</t>
  </si>
  <si>
    <t>kedalaman 40 meter mata bor coring 4 inch</t>
  </si>
  <si>
    <t>buat swipel baru &amp; masukin lempung</t>
  </si>
  <si>
    <t>masih masukin lempung ke sepul bak campur bentonic &amp; semen</t>
  </si>
  <si>
    <t>Kedalaman 139 hamer 6" mata bit 8"</t>
  </si>
  <si>
    <t>kedalaman 46,30 koringan 3,in</t>
  </si>
  <si>
    <t>spuling persiapan loging</t>
  </si>
  <si>
    <t>tambah semen 2 sak air msh encer (masih los) mata bor coring 4 inch</t>
  </si>
  <si>
    <t>btg</t>
  </si>
  <si>
    <t>kedalaman 35,60 Tricon Jagung</t>
  </si>
  <si>
    <t>stang bor sudah terangkat Total  6 btng</t>
  </si>
  <si>
    <t>stang bor sudah terangkat Total 2 btng</t>
  </si>
  <si>
    <t>Kedalaman 142 hamer 6" mata bit 8"</t>
  </si>
  <si>
    <t>besok persiapan kontruksi</t>
  </si>
  <si>
    <t>kedalaman 58 M mata bor tricon gigi 6"</t>
  </si>
  <si>
    <t>sebelum lembur kedalaman 56 M</t>
  </si>
  <si>
    <t>roll atas patah</t>
  </si>
  <si>
    <t>sudah mulai pengeboran tang bor sudah masuk 19 btng mata bor triwing 8"</t>
  </si>
  <si>
    <t>kedalaman 40,50 meter mata bor coring 4 inch</t>
  </si>
  <si>
    <t>stang bor sudah terangkat semua</t>
  </si>
  <si>
    <t>masih proses spuling sambil tunggu loging</t>
  </si>
  <si>
    <t>kontruksi sisa 2 batang</t>
  </si>
  <si>
    <t>kedalaman 71 M mata bor tricon gigi 6"</t>
  </si>
  <si>
    <t>sebelum lembur kedalaman 65 M</t>
  </si>
  <si>
    <t>perbaikan treker dan poli mesi jebol</t>
  </si>
  <si>
    <t>kedalaman 41 meter mata bor coring 4 inch</t>
  </si>
  <si>
    <t>Libur nunggu SIPA</t>
  </si>
  <si>
    <t>kedalaman 79 M mata bor tricon gigi 6"</t>
  </si>
  <si>
    <t>minta kirim tabung oksigen</t>
  </si>
  <si>
    <t>masukin stang bor 11 batang, aduk lempung, ganti ns 80 ke 100 &amp; ganti seal swipel</t>
  </si>
  <si>
    <t>perlengkapan toolkit, tangga, dll sudah dilokasi</t>
  </si>
  <si>
    <t>dokumentasi terlampir di group pekerjaan kantor</t>
  </si>
  <si>
    <t>kontuksi selesai tinggal pasang pompa</t>
  </si>
  <si>
    <t>perbaikan mesin</t>
  </si>
  <si>
    <t>proses reaming kedalaman 105 M nata bor triwing 8"</t>
  </si>
  <si>
    <t>kedalaman 82,20 M mata bor tricon gigi 6"</t>
  </si>
  <si>
    <t>angkutin lempung, angkat stang bor, kentelin air di spul bak</t>
  </si>
  <si>
    <t>loging selesai, kontrol lubang baru kedalaman 70 M</t>
  </si>
  <si>
    <t>mata bor rusak harus diperbaikin dahulu</t>
  </si>
  <si>
    <t>Irfan</t>
  </si>
  <si>
    <t>Buat kandang Kambing sementara</t>
  </si>
  <si>
    <t>Buat Gantungan Ranyap kambing</t>
  </si>
  <si>
    <t xml:space="preserve">Buat Jaringan Air </t>
  </si>
  <si>
    <t>Buat Tempat Pakan rumput</t>
  </si>
  <si>
    <t>Buat Atap</t>
  </si>
  <si>
    <t>Datangkan Material</t>
  </si>
  <si>
    <t>Pemasangan Rangka</t>
  </si>
  <si>
    <t>Pemasangan ACV</t>
  </si>
  <si>
    <t>Team  Pak. Irfan</t>
  </si>
  <si>
    <t>Pemasangan Patok</t>
  </si>
  <si>
    <t>minta kirim stang bor 8 batang</t>
  </si>
  <si>
    <t>proses reaming kedalaman 134 M nata bor triwing 8"</t>
  </si>
  <si>
    <t>masukin lempung trs bor ulang pake mata bor tricon gigi 6" air blm naik</t>
  </si>
  <si>
    <t>las stang bor karena banyak yang retak, terus dikasih kupingan</t>
  </si>
  <si>
    <t>kedalaman 87 M mata bor tricon gigi 6"</t>
  </si>
  <si>
    <t>kontrol ubang baru kedalaman 100 M</t>
  </si>
  <si>
    <t>kontrol ubang baru kedalaman 115 M</t>
  </si>
  <si>
    <t>Persiapan material bambu</t>
  </si>
  <si>
    <t>Meeting dengan pelaksana sebelumnya (Pak de)</t>
  </si>
  <si>
    <t>besok rencana cabut stang bor utk cek mata bor</t>
  </si>
  <si>
    <t>kontrol ubang baru kedalaman 125 M</t>
  </si>
  <si>
    <t>masih nunggu kabel pompa &amp; rapih2 alat</t>
  </si>
  <si>
    <t>bukain mata bor yg msh nempel di stang bor</t>
  </si>
  <si>
    <t>robohin menanra &amp; bongkar2</t>
  </si>
  <si>
    <t>masih nunggu kabel pompa</t>
  </si>
  <si>
    <t>pasang batu grevel dan spuling</t>
  </si>
  <si>
    <t>hujan deras pekerjaan agk terganggu</t>
  </si>
  <si>
    <t>cabut stang bor utk bersihkan mata bor, lanjut bor lagi kedalaman 60 M</t>
  </si>
  <si>
    <t>formasi tanah lempung</t>
  </si>
  <si>
    <t>Pasang Pompa Sementara</t>
  </si>
  <si>
    <t>alat dan team sudah dlokasi jemla</t>
  </si>
  <si>
    <t>kedalaman 89 M mata bor triwing mahkota 5"</t>
  </si>
  <si>
    <t>kedalaman 93 M mata bor triwing mahkota 5"</t>
  </si>
  <si>
    <t>kedalaman 97,3 M mata bor triwing mahkota 5"</t>
  </si>
  <si>
    <t>posisi pagi ini dilokasi mati lampu</t>
  </si>
  <si>
    <t>Buat Sample Kandang sementara dg jarak kandang 1 M</t>
  </si>
  <si>
    <t>Buat Sample Kandang sementara baru 4 lokal</t>
  </si>
  <si>
    <t>finis</t>
  </si>
  <si>
    <t>beres2 mesin dan bersihin mesin</t>
  </si>
  <si>
    <t>langsir alat yg bisa dibawa 2 org</t>
  </si>
  <si>
    <t>mesin dth sudah dilokasi</t>
  </si>
  <si>
    <t>kedalaman 101,10 M mata bor triwing mahkota 5"</t>
  </si>
  <si>
    <t>nunggu air jernih</t>
  </si>
  <si>
    <t>besok demob</t>
  </si>
  <si>
    <t>4 kavling sudah finis dr 15 kavling</t>
  </si>
  <si>
    <t>Kirim Material ke Loaksi, hand over dengan pak ade H mumu</t>
  </si>
  <si>
    <t>habis solar 200l/hari</t>
  </si>
  <si>
    <t>PERBAIKAN SUMUR BOR TEAM ADUL</t>
  </si>
  <si>
    <t>kedalaman 105 M mata bor triwing mahkota 5"</t>
  </si>
  <si>
    <t>formasi masih cadas merah</t>
  </si>
  <si>
    <t>masih langsir alat yg bisa dibawa 2 org</t>
  </si>
  <si>
    <t>butuh team untuk bantu langsir alat</t>
  </si>
  <si>
    <t>6 kavling sudah finis dr 15 kavling</t>
  </si>
  <si>
    <t>Target 15 Kavling</t>
  </si>
  <si>
    <t>Target</t>
  </si>
  <si>
    <t>Konstruksi beres 30 btg</t>
  </si>
  <si>
    <t>Perairan</t>
  </si>
  <si>
    <t>Pipa jaringan, pompa dorong, otomtais radar, kran, dll</t>
  </si>
  <si>
    <t>kedalaman 109,70 M mata bor triwing mahkota 5"</t>
  </si>
  <si>
    <t>kedalaman 114 M mata bor triwing mahkota 5"</t>
  </si>
  <si>
    <t>Konstruksi beres 30 btg baru masuk 1 M</t>
  </si>
  <si>
    <t>kondisi hujan lanjut besok</t>
  </si>
  <si>
    <t>Konstruksi beres 30 btg baru nambah 30 CM</t>
  </si>
  <si>
    <t>formasi tanah lempung hidup</t>
  </si>
  <si>
    <t>baru kirim material</t>
  </si>
  <si>
    <t>finis, kavling sudah 15</t>
  </si>
  <si>
    <t>kedalaman 119 M mata bor triwing mahkota 5"</t>
  </si>
  <si>
    <t>Team Asep/Doni-Merak</t>
  </si>
  <si>
    <t>kedalaman 120,30 M mata bor triwing mahkota 5"</t>
  </si>
  <si>
    <t>kendala drop tegangan listrik</t>
  </si>
  <si>
    <t>kedalaman 122,10 M mata bor triwing mahkota 5"</t>
  </si>
  <si>
    <t>beres2 alat dan seting alat</t>
  </si>
  <si>
    <t>masih spuling sambil angkat grevel</t>
  </si>
  <si>
    <t>pembuatan kandang dan pintu 100%</t>
  </si>
  <si>
    <t>target pembuatan gantungan pengulitan</t>
  </si>
  <si>
    <t>target pembuatan kandang</t>
  </si>
  <si>
    <t>mobilisasi alat pak unyil</t>
  </si>
  <si>
    <t>PERBAIKAN SUMUR BOR TEAM UNYIL</t>
  </si>
  <si>
    <t>pembuatan gantungan pengulitan sudah 26 dari 30 unit</t>
  </si>
  <si>
    <t>pembuatan gantungan pengulitan baru 5 dari 30 unit</t>
  </si>
  <si>
    <t>kedalaman 125,30 M mata bor triwing mahkota 5"</t>
  </si>
  <si>
    <t>sebelum lembur kedalaman 124 M</t>
  </si>
  <si>
    <t>sudah mulai ngebor bru kedalaman 4 M ngatasin msh ngtasun urugan krn kurang padat</t>
  </si>
  <si>
    <t>minta cotring 8"</t>
  </si>
  <si>
    <t>masukin batu grevel sama cabut stang bor</t>
  </si>
  <si>
    <t>Portal utk pengulitan Sudah selesai 30 unit</t>
  </si>
  <si>
    <t>Lubang penyembelihan 18 lubang dr target 60 lubang</t>
  </si>
  <si>
    <t>tempat pakan 3 bh dr target 30 bh.</t>
  </si>
  <si>
    <t>Pemasangan pompa boster dan penyambungan kabel pompa Sible selesai 2 unit</t>
  </si>
  <si>
    <t>pemasangan kran + selang p.3 m selesai @ 30 set.</t>
  </si>
  <si>
    <t>pemasangan pipa inlet dan outlet selesai @ 2 set.</t>
  </si>
  <si>
    <t>pembersihan matrial sisa.</t>
  </si>
  <si>
    <t>masih ngtasin urugan atas pakai coring 8" baru kedalaman 7 M</t>
  </si>
  <si>
    <t>cabut stang bor sama betulin NS</t>
  </si>
  <si>
    <t>pasang pompa permanen, pompa baru dikedalaman 52 M</t>
  </si>
  <si>
    <t>turunin stang bor bru dikedalaman 150 M</t>
  </si>
  <si>
    <t>kedalaman 127 M mata bor triwing mahkota 5"</t>
  </si>
  <si>
    <t>minta kirim stang bor 3 - 4 btng lg</t>
  </si>
  <si>
    <t xml:space="preserve">kendala hujan angin, </t>
  </si>
  <si>
    <t>pompa baru dikedalaman 60 M, lanjut angkutin grevel tinggal 13 karung</t>
  </si>
  <si>
    <t>lokasi sumur sudah bersih, tinggal kirim pompa</t>
  </si>
  <si>
    <t>pasang pipa galpanis 8 inch 8 M utuk hindari ambrukan tanah</t>
  </si>
  <si>
    <t>lanjut bsk</t>
  </si>
  <si>
    <t>pompa baru dikedalaman 64 M, lanjut pasng grevel</t>
  </si>
  <si>
    <t>panel sudah dipasang jarak dr sumur 20 M</t>
  </si>
  <si>
    <t>pumping tes dan perapihan alat, pengecoran titik bor blm kemungkinan bsk</t>
  </si>
  <si>
    <t>lanjut lembur</t>
  </si>
  <si>
    <t>konturksi sudah di kedalaman 124 M prepare jarak 6 M</t>
  </si>
  <si>
    <t>tinggal nguras sumur</t>
  </si>
  <si>
    <t>lanjut sambung pipa galpanis kedalaman 12 M</t>
  </si>
  <si>
    <t>proses pengeboran kedalaman 63 M sebelum lembur di kedalaman 58 M</t>
  </si>
  <si>
    <t>kompresor treble</t>
  </si>
  <si>
    <t>sudah selesai, ada perubahan utk lubang penyembelihan dr 60 jd 30 lubang tp diperbesar</t>
  </si>
  <si>
    <t>tempat pakan sudah selesai 30 pcs</t>
  </si>
  <si>
    <t>Tambahan pekerjaan:</t>
  </si>
  <si>
    <t>- Buat tiang penanda Limbah cair dan Limbah padat.</t>
  </si>
  <si>
    <t>- pembesaran lubang penyembelihan.</t>
  </si>
  <si>
    <t>- penambahan sedot kolam yg penuh akibat hujan.</t>
  </si>
  <si>
    <t>- pembersihan lokasi kandang.</t>
  </si>
  <si>
    <t>- penambahan selang utk cuci dan pemberian minum kambing</t>
  </si>
  <si>
    <t>hari ini dikerjakan</t>
  </si>
  <si>
    <t>Pasang Listrik Sementara</t>
  </si>
  <si>
    <t>Kondisi Air</t>
  </si>
  <si>
    <t>Tawar</t>
  </si>
  <si>
    <t>Karang dan ada asin</t>
  </si>
  <si>
    <t>Asin</t>
  </si>
  <si>
    <t>Air berubah agak payau</t>
  </si>
  <si>
    <t>Air berubah agak payau, dan kadang tawar</t>
  </si>
  <si>
    <t>tinggal tarik kabel pwer</t>
  </si>
  <si>
    <t>cabut stang bor kendala gear box'y jebol</t>
  </si>
  <si>
    <t>pergantian compresor</t>
  </si>
  <si>
    <t>pengecoran titik bor dan rapih2 alat, pompa masih aktif</t>
  </si>
  <si>
    <t>seting alat mesin bor</t>
  </si>
  <si>
    <t>butuh kendaraan utk oprasional</t>
  </si>
  <si>
    <t>cabut pompa, pompa bermasalah</t>
  </si>
  <si>
    <t>service pompa, kipas pompa yg bermasalah</t>
  </si>
  <si>
    <t>masih proses draining/nguras sumur</t>
  </si>
  <si>
    <t>masih seting alat, karena masih ada sedikit yg diperbaiki</t>
  </si>
  <si>
    <t>seting alat dah selesai, air dpake dulu buat penuhin bak</t>
  </si>
  <si>
    <t>besok star saklian angkat pompa</t>
  </si>
  <si>
    <t>perbaikan gearbox</t>
  </si>
  <si>
    <t>masih perbaikan gearbox puly'y patah</t>
  </si>
  <si>
    <t>minta bantuan tenaga 1 orang</t>
  </si>
  <si>
    <t>masing pumping tes, air belum normal</t>
  </si>
  <si>
    <t>service compresor</t>
  </si>
  <si>
    <t>compresor sudah oke</t>
  </si>
  <si>
    <t>pompa bermasalah kesumbat pasiran</t>
  </si>
  <si>
    <t>blm bisa beroprasi krna posisi gensen dsebelah rumah org yg lagi sakik</t>
  </si>
  <si>
    <t>nunggu pemasangan listrik</t>
  </si>
  <si>
    <t>Pembongkaran dan pembersihan</t>
  </si>
  <si>
    <t>Bongkar pasang pompa, ganti motor pake yg 5,5 hp</t>
  </si>
  <si>
    <t>genset harus digeser (Yanto ST Bendung)</t>
  </si>
  <si>
    <t>rubuhkan menara, geser mesin</t>
  </si>
  <si>
    <t>air masih keruh, kendala di pompa mampet terus</t>
  </si>
  <si>
    <t>mobilisasi alat compresor</t>
  </si>
  <si>
    <t>pasang pompa dikedalaman 88 M air msh tekor &amp; keruh</t>
  </si>
  <si>
    <t>turunin stang bor bru 4 btng, lubang longsor</t>
  </si>
  <si>
    <t>sama ganti trek DTH</t>
  </si>
  <si>
    <t>ngurug lubang bekes penyembelihan hewan kurban</t>
  </si>
  <si>
    <t>msih ngurug lubang bekes penyembelihan hewan kurban</t>
  </si>
  <si>
    <t>Persiapan alat</t>
  </si>
  <si>
    <t>blm bisa ditinggal, dilokasi rawan</t>
  </si>
  <si>
    <t>Pak Iyus</t>
  </si>
  <si>
    <t>buat spul bak sudah selesai</t>
  </si>
  <si>
    <t>posisi di kedalaman 15 M longsor terus</t>
  </si>
  <si>
    <t>mnta pipa galvanis 6 M ukuran 8"</t>
  </si>
  <si>
    <t>pasang pompa dikedalaman 102 M air msh tekor &amp; keruh</t>
  </si>
  <si>
    <t>baru selesai mobilisasi ke titik lokasi 3</t>
  </si>
  <si>
    <t>robohin menara</t>
  </si>
  <si>
    <t>perapihan alat bor lokasi titik 3</t>
  </si>
  <si>
    <t>segera akan kirim genset</t>
  </si>
  <si>
    <t>Tayakan spek pompa 3-18 atai 2,5-21? San ei 3 inch</t>
  </si>
  <si>
    <t>Ngurug dengan urugan dari luar (Halabi) dan di ratakan dengan beko</t>
  </si>
  <si>
    <t>Mindahkan batu dari bawah (biflok) ke lokasi rencana bangun rumah</t>
  </si>
  <si>
    <t>Ratakan jalan lebar 4 meter panjuang 100 m</t>
  </si>
  <si>
    <t>Ratakan tempat buat asrama  putra lebar 15m panjang 100m</t>
  </si>
  <si>
    <t>Bongkar Atap lama</t>
  </si>
  <si>
    <t xml:space="preserve">Servis Pompa </t>
  </si>
  <si>
    <t>masih perapihan alat utk persiapan ngebor</t>
  </si>
  <si>
    <t>masih persiapan ngebor</t>
  </si>
  <si>
    <t xml:space="preserve">masih seting alat </t>
  </si>
  <si>
    <t>masukin pipa galvanis 10"</t>
  </si>
  <si>
    <t>pasang pipa galpanis 8 inch dan borhole kamera lihat lubang bor</t>
  </si>
  <si>
    <t>listrik sudah terpasang</t>
  </si>
  <si>
    <t>ada pemadaman listrik</t>
  </si>
  <si>
    <t>masukin pipa galvanis 10" selesai</t>
  </si>
  <si>
    <t>persiapan ngebor tinggal konekin listrik nunggu PLN</t>
  </si>
  <si>
    <t>masih pumping air sudah agak jernin</t>
  </si>
  <si>
    <t>trobel seal swipel angin bawah rusak</t>
  </si>
  <si>
    <t>panel listrik masih bermasalah</t>
  </si>
  <si>
    <t>panel listrik sudah berfungsi</t>
  </si>
  <si>
    <t>acara selametan buat star pengeboran</t>
  </si>
  <si>
    <t>Mobilasi Alat buat setor muka  (DTH Merah)</t>
  </si>
  <si>
    <t>Beres2 Alat</t>
  </si>
  <si>
    <t>Demobilisasi</t>
  </si>
  <si>
    <t>Bersihin lubang</t>
  </si>
  <si>
    <t>baru selesai konekin listrik PLN datang jam 2 karena hujan</t>
  </si>
  <si>
    <t>Com rusak (air radiator bocor, pemutus aki, dinamo starter, oli comp, )</t>
  </si>
  <si>
    <t xml:space="preserve">proses pengeboran kedalaman 64 M </t>
  </si>
  <si>
    <t>progres hari ini kedalaman 9 meter pilot hole 9"</t>
  </si>
  <si>
    <t xml:space="preserve">Kdlmn baru 11 MTR matabor 8" </t>
  </si>
  <si>
    <t xml:space="preserve">Kdlmn baru 3 MTR matabor 8" </t>
  </si>
  <si>
    <t>gigi matahari rontok</t>
  </si>
  <si>
    <t>pasang pipa konduktor</t>
  </si>
  <si>
    <t>tanah longsor lubang tambah besar, cari lempung utk nutup lubang</t>
  </si>
  <si>
    <t>Buat lubang cakar ayam di lokasi lands cape awal</t>
  </si>
  <si>
    <t>perbaikan mesin gearbox</t>
  </si>
  <si>
    <t xml:space="preserve">Kdlmn baru 13 MTR matabor tricon 6" </t>
  </si>
  <si>
    <t>FINISH</t>
  </si>
  <si>
    <t>progres hari ini kedalaman 15 meter pilot hole 9"</t>
  </si>
  <si>
    <t>progres hari ini kedalaman 17 meter pilot hole 9"</t>
  </si>
  <si>
    <t xml:space="preserve">proses pengeboran kedalaman 70 M </t>
  </si>
  <si>
    <t>team jeting ditangerang</t>
  </si>
  <si>
    <t>proses kedalaman 20 M matanor PDC 6"</t>
  </si>
  <si>
    <t>sambil ngurug lugab yg longsor</t>
  </si>
  <si>
    <t>langsir lempung utk ngurug lubang yg longsor</t>
  </si>
  <si>
    <t>baru mulai pembongkaran atap</t>
  </si>
  <si>
    <t>progres hari ini kedalaman 21 meter pilot hole 9"</t>
  </si>
  <si>
    <t xml:space="preserve">Kdlmn baru 17 MTR matabor tricon 6" </t>
  </si>
  <si>
    <t>mulai pembongkaran kubah</t>
  </si>
  <si>
    <t xml:space="preserve">proses pengeboran kedalaman 90 M </t>
  </si>
  <si>
    <t>Pasir merah asin</t>
  </si>
  <si>
    <t>Batuan</t>
  </si>
  <si>
    <t>Batu pasiran</t>
  </si>
  <si>
    <t>kipas NS rusak</t>
  </si>
  <si>
    <t>proses kedalaman 23 M matanor PDC 6"</t>
  </si>
  <si>
    <t>kabel listrik PLN kebakar</t>
  </si>
  <si>
    <t>progres hari ini kedalaman 24 meter pilot hole 9"</t>
  </si>
  <si>
    <t>formasi pasiran kasar</t>
  </si>
  <si>
    <t>formasi pasir, batu bolder</t>
  </si>
  <si>
    <t>formasi batu bolder kecil</t>
  </si>
  <si>
    <t>Hasil bore hole camera Pipa 1 1/4 numpuk bersama an dikedalaman 13 M</t>
  </si>
  <si>
    <t>progres hari ini kedalaman  meter pilot hole 9"</t>
  </si>
  <si>
    <t>progres hari ini kedalaman 42 meter pilot hole 9"</t>
  </si>
  <si>
    <t>formasi pasiran halus</t>
  </si>
  <si>
    <t>ambil kipas NS di WS</t>
  </si>
  <si>
    <t>kirim chasing, pompa, tambang, kabel, pipa HDPE</t>
  </si>
  <si>
    <t>ambil dinamo k WS</t>
  </si>
  <si>
    <t>lanjut malam proses kedalaman 25 M</t>
  </si>
  <si>
    <t xml:space="preserve">Kdlmn baru 27 MTR matabor PDC 5" </t>
  </si>
  <si>
    <t xml:space="preserve">Kdlmn baru 22 MTR matabor tricon 6" </t>
  </si>
  <si>
    <t xml:space="preserve">Kdlmn baru 39 MTR matabor PDC 5" </t>
  </si>
  <si>
    <t>kendala AS gardan patah</t>
  </si>
  <si>
    <t>progres hari ini kedalaman 54 meter pilot hole 9"</t>
  </si>
  <si>
    <t>formasi pasiran tufan</t>
  </si>
  <si>
    <t>progres hari ini kedalaman 60 meter pilot hole 9"</t>
  </si>
  <si>
    <t>pak likin standby dilokasi doni, gatra sakit</t>
  </si>
  <si>
    <t>nimbun sumur dengan tanah</t>
  </si>
  <si>
    <t>Buat RAP unuk semua pengeluaran</t>
  </si>
  <si>
    <t>stang bor kejepit di kedalaman 25 M (Sudah teratasi)</t>
  </si>
  <si>
    <t>Mobilisasi Compressor , siapkan dan ngu pak waslim</t>
  </si>
  <si>
    <t>perbaikan mesin bor</t>
  </si>
  <si>
    <t>masih perbaikan mesin bor</t>
  </si>
  <si>
    <t>proses kedalaman 28 M matanor Tricon Gigi 6"</t>
  </si>
  <si>
    <t xml:space="preserve">Kdlmn baru 50 MTR matabor PDC 5" </t>
  </si>
  <si>
    <t>progres hari ini kedalaman 63 meter pilot hole 9"</t>
  </si>
  <si>
    <t>persiapan material</t>
  </si>
  <si>
    <t>formasi pasiran tufan (pagi perbaikan NS/stop kran)</t>
  </si>
  <si>
    <t>kontuksi</t>
  </si>
  <si>
    <t>buat scren</t>
  </si>
  <si>
    <t xml:space="preserve">Kdlmn baru 55 MTR matabor PDC 5" </t>
  </si>
  <si>
    <t>progres hari ini kedalaman 65 meter pilot hole 9"</t>
  </si>
  <si>
    <t>formasi pasiran tufan (pagi ganti as/bering ns jebol)</t>
  </si>
  <si>
    <t>Mobilisasi compressor dan team</t>
  </si>
  <si>
    <t>progres hari ini kedalaman 67 meter pilot hole 9"</t>
  </si>
  <si>
    <t xml:space="preserve">Kdlmn baru 60 MTR matabor PDC 5" </t>
  </si>
  <si>
    <t>listrik sering mati dr PLN</t>
  </si>
  <si>
    <t>kirim alat2 perlengkapan mesin bor DTH</t>
  </si>
  <si>
    <t>proses kedalaman 32 M matanor Tricon Gigi 6"</t>
  </si>
  <si>
    <t>kepala babi gear box rusak</t>
  </si>
  <si>
    <t>akalin kunci pass jatuh dilubang bor</t>
  </si>
  <si>
    <t>seting alat, perbaikan dinamo starter compresor &amp; pasang pipa konduktor</t>
  </si>
  <si>
    <t>pengeboran baru 2 m</t>
  </si>
  <si>
    <t>progres hari ini kedalaman 69 meter pilot hole 9"</t>
  </si>
  <si>
    <t>progres hari ini kedalaman 72 meter pilot hole 9"</t>
  </si>
  <si>
    <t xml:space="preserve">Kdlmn baru 70 MTR matabor PDC 5" </t>
  </si>
  <si>
    <t xml:space="preserve">Kdlmn baru 80 MTR matabor coring 4" </t>
  </si>
  <si>
    <t>proses kedalaman 31,5 M matanor Tricon Gigi 6"</t>
  </si>
  <si>
    <t>proses kedalaman 34 M matanor Tricon Gigi 6"</t>
  </si>
  <si>
    <t>bongkar kusen lama dan keramik lantai</t>
  </si>
  <si>
    <t>bongkar ring balok lama &amp; buat ring balok baru ukuran 15x25 cm</t>
  </si>
  <si>
    <t>Awal</t>
  </si>
  <si>
    <t>dengan alat</t>
  </si>
  <si>
    <t>progres hari ini kedalaman 81 meter pilot hole 9"</t>
  </si>
  <si>
    <t>formasi lempung pasiran</t>
  </si>
  <si>
    <t>proses pengeboran kedalaman 90 M</t>
  </si>
  <si>
    <t>proses pengelasan, barang datang jam 5 sore</t>
  </si>
  <si>
    <t>proses pengeboran kedalaman 30 M</t>
  </si>
  <si>
    <t>proses kedalaman 34,5 M matanor Tricon Gigi 6"</t>
  </si>
  <si>
    <t>progres hari ini kedalaman 84 meter pilot hole 9"</t>
  </si>
  <si>
    <t>formasi lempung abu2</t>
  </si>
  <si>
    <t>kabel power sudah putus dr sambungan pompa, pipa yg sdh terangkat baru 2 btg dikedalaman 64 m, pipa yg terlihat dr camera tinggal 1 btg lg</t>
  </si>
  <si>
    <t>Progres hari ini. Pindah jenset. Cabut pompa. Lanjut seting seting</t>
  </si>
  <si>
    <t>proses kedalaman 40 M matanor Tricon Gigi 6"</t>
  </si>
  <si>
    <t>proses kedalaman 42 M matanor Tricon Gigi 6"</t>
  </si>
  <si>
    <t>proses reaming kedalaman 45 M</t>
  </si>
  <si>
    <t>proses pengeboran kedalaman 45 M</t>
  </si>
  <si>
    <t>proses pengeboran kedalaman 100 M</t>
  </si>
  <si>
    <t>dalam kurleb 3,5 jam 1 btg makan waktu 15 menit</t>
  </si>
  <si>
    <t>progres hari ini kedalaman 87 meter pilot hole 9"</t>
  </si>
  <si>
    <t>formasi lempung</t>
  </si>
  <si>
    <t>proses pengeboran kedalaman 115 M</t>
  </si>
  <si>
    <t>proses pengeboran kedalaman 76 M</t>
  </si>
  <si>
    <t>progres hari ini kedalaman 96 meter pilot hole 9"</t>
  </si>
  <si>
    <t>cabut chasing, bru masukin mata bor lanjut di kurek</t>
  </si>
  <si>
    <t>cari swipel d ws</t>
  </si>
  <si>
    <t>proses kedalaman 44 M matanor Tricon Gigi 6"</t>
  </si>
  <si>
    <t>proses kedalaman 46 M matanor Tricon Gigi 6"</t>
  </si>
  <si>
    <t>proses reaming kedalaman 70 M</t>
  </si>
  <si>
    <t>proses pengeboran kedalaman 93 M</t>
  </si>
  <si>
    <t>Finishing buat panel pompa</t>
  </si>
  <si>
    <t>Persiapan panel star delta, pipa untuk balikan</t>
  </si>
  <si>
    <t>Pipa casing 4 inch satu btg tertimbun, maka harus di sentor terlebih dahulu</t>
  </si>
  <si>
    <t>Pasang Pompa, sudah di pumping dari jam 1 malam</t>
  </si>
  <si>
    <t>Logging hasilnya ada endapan di 80m</t>
  </si>
  <si>
    <t>proses kedalaman 49 M matanor Tricon Gigi 6"</t>
  </si>
  <si>
    <t>progres hari ini kedalaman 105 meter pilot hole 9"</t>
  </si>
  <si>
    <t>pompa baru dikedalaman 46 M</t>
  </si>
  <si>
    <t>progres hari ini kedalaman 108 meter pilot hole 9"</t>
  </si>
  <si>
    <t>formasi lempung pasiran (perbaikan NS jebol)</t>
  </si>
  <si>
    <t>progres hari ini kedalaman 111 meter pilot hole 9"</t>
  </si>
  <si>
    <t>RS Bun pipa yang patah baru 1 yang ke angkat,, pipa lepas terus dari jebakannya</t>
  </si>
  <si>
    <t>pipa casing 4 inch baru keangkat 3 btang</t>
  </si>
  <si>
    <t>ganti swifel, mati lampu</t>
  </si>
  <si>
    <t>proses kedalaman 53 M matanor Tricon Gigi 6"</t>
  </si>
  <si>
    <t>screen PVC, bikin clam PVC lanjut buat dudukan puli</t>
  </si>
  <si>
    <t>gali tanah samping buat ganti pipa conduktor, lanjut buat mata bor coring 8"</t>
  </si>
  <si>
    <t>pengeboran sama reaming sudah selesai</t>
  </si>
  <si>
    <t>hari senin loging lanjut kontuksi</t>
  </si>
  <si>
    <t>pipa sudah terangkat 4 batang lagi, kendala air penuh</t>
  </si>
  <si>
    <t>Ngurek ke bawah sampai 100 meter . Cabut lanjut benerin pancingan, buat cabut pipa 4 inch ketingalan 4 btg</t>
  </si>
  <si>
    <t>loging, lanjut kontruksi</t>
  </si>
  <si>
    <t>progres hari ini kedalaman 117 meter pilot hole 9"</t>
  </si>
  <si>
    <t>proses kedalaman 55 M matanor Tricon Gigi 6"</t>
  </si>
  <si>
    <t>proses kedalaman 56 M matanor Tricon Gigi 6"</t>
  </si>
  <si>
    <t>plat kopling pecah</t>
  </si>
  <si>
    <t>buat mata bor coring progres 80%, lanjut reaming</t>
  </si>
  <si>
    <t>buat mata bor coring , lanjut reaming</t>
  </si>
  <si>
    <t>progres hari ini kedalaman 121 meter pilot hole 9"</t>
  </si>
  <si>
    <t>msh akalin pipa yg 4 inch sisa 2 batang lagi</t>
  </si>
  <si>
    <t>progres hari ini kedalaman 126 meter pilot hole 9"</t>
  </si>
  <si>
    <t>reaming 8"</t>
  </si>
  <si>
    <t>proses kedalaman 56,5 M matanor Tricon Gigi 6"</t>
  </si>
  <si>
    <t>proses kedalaman 59 M matanor Tricon Gigi 6"</t>
  </si>
  <si>
    <t>formasi masih batuan</t>
  </si>
  <si>
    <t>Lanjut reaming dari (84- 90mtr) finish, Cabut stang bor , Kontruksi PVC 6" Dari 0-90, Masukin grapel</t>
  </si>
  <si>
    <t>cabut stang bor dan buat saringan/screen</t>
  </si>
  <si>
    <t>pipa sudah terangkat 29 batang, pipa (kesing pecah) tertinbun, ujung pipa trlihat dikedalamn 129 M,</t>
  </si>
  <si>
    <t>Beli part untuk panel (Finishing pasang pompa permanent)</t>
  </si>
  <si>
    <t>Tinggal finishing pasang pompa (BAST)</t>
  </si>
  <si>
    <t>proses kedalaman 62 M matanor Tricon Gigi 6"</t>
  </si>
  <si>
    <t>cabut stang bor lanjut loging</t>
  </si>
  <si>
    <t>pumping tes dan beres2 alat persiapan demob</t>
  </si>
  <si>
    <t>lanjur ngurek sudah dikedalaman 96 M</t>
  </si>
  <si>
    <t>bikin saringan 6",  pasang sdl 2 in</t>
  </si>
  <si>
    <t>msh akalin pipa yg 4 inch sambil buat alat jebakan</t>
  </si>
  <si>
    <t>masih perbaikan plat koplinf</t>
  </si>
  <si>
    <t>proses kedalaman 63 M matanor Tricon Gigi 6"</t>
  </si>
  <si>
    <t>masih keras</t>
  </si>
  <si>
    <t>Team Waslim</t>
  </si>
  <si>
    <t>Mobilisasi Alat ke lokasi</t>
  </si>
  <si>
    <t>Ngu Listrik</t>
  </si>
  <si>
    <t>Setting alat dan ngu listrik</t>
  </si>
  <si>
    <t>Pasang Lsitrik PP KWH Sementara</t>
  </si>
  <si>
    <t>proses kedalaman 64 M matabor PDC</t>
  </si>
  <si>
    <t>proses kedalaman 66 M matanor Tricon Gigi 6"</t>
  </si>
  <si>
    <t>proses kedalaman 68 M matanor Tricon Gigi 6"</t>
  </si>
  <si>
    <t>Kirim ulang barepump</t>
  </si>
  <si>
    <t>lanjur ngurek sudah dikedalaman 100 M</t>
  </si>
  <si>
    <t>Mobilisasi Alat compressor ke lokasi</t>
  </si>
  <si>
    <t>proses kedalaman 77 M matanor Tricon Gigi 6"</t>
  </si>
  <si>
    <t>Mulai ngebor jam 9, atas masukan dari ustad proses kedalaman 40 M</t>
  </si>
  <si>
    <t>Kontruksi ada kendala NS pompa mati</t>
  </si>
  <si>
    <t>lanjut Konstruksi penambahan 3 batang total 22 batang</t>
  </si>
  <si>
    <t>Pembesian ring balok selesai, besok tahap pengecoran.</t>
  </si>
  <si>
    <t>Pasang Pompa permanent</t>
  </si>
  <si>
    <t>Pumping test dan pembersihan sumur</t>
  </si>
  <si>
    <t>Tanyakan ukuran mata bor, jenis mata bor, lapisan, mat kalau pagi</t>
  </si>
  <si>
    <t>PT. JEMLA</t>
  </si>
  <si>
    <t>YBM Brilian desa mekarsari sajira</t>
  </si>
  <si>
    <t>081219196286</t>
  </si>
  <si>
    <t xml:space="preserve">Pasang kesing 4 inch. Lanjut d sepul </t>
  </si>
  <si>
    <t>besok lanjut spuling</t>
  </si>
  <si>
    <t>penambahan kontruksi hanya 3 batang, ada kendala di mata bor 5 1/2" yg untuk pengantar kontruksi mampet, jadi di cabut dulu besok cek mata bor,</t>
  </si>
  <si>
    <t>Mobilisasi Alat rig dll ke lokasi, lanjut seting alat</t>
  </si>
  <si>
    <t>opsi, di compressor, dan pumping test, ke depannya perlu di saksikan pas uji pompa</t>
  </si>
  <si>
    <t>Finalisasi pemasangan pompa</t>
  </si>
  <si>
    <t>Mobilisasi dansetting alat ke titik loaksi</t>
  </si>
  <si>
    <t>proses kedalaman 80 M matanor Tricon Gigi 6"</t>
  </si>
  <si>
    <t>proses kedalaman 83 M matanor Tricon Gigi 6"</t>
  </si>
  <si>
    <t>proses kedalaman 87 M matanor Tricon Gigi 6"</t>
  </si>
  <si>
    <t>Pasang Pompa permanent selesai</t>
  </si>
  <si>
    <t>progres hari ini cabut mata bor yg tersumbat, pasang lagi mata bor</t>
  </si>
  <si>
    <t>progres hari ini penambahan pipa kontruksi dapat pas yg sumber artesis pasir halus makin besar aja air</t>
  </si>
  <si>
    <t>Mulai ngebor jam 9, atas masukan dari ustad proses kedalaman 50 M</t>
  </si>
  <si>
    <t>Mulai ngebor jam 9, atas masukan dari ustad proses kedalaman 75 M</t>
  </si>
  <si>
    <t>proses kedalaman 12 M, mata bor coring 10"</t>
  </si>
  <si>
    <t>proses kedalaman 30 M, mata bor DTH 6"</t>
  </si>
  <si>
    <t>pasang pipa conduktor dikedalaman 15,5 M</t>
  </si>
  <si>
    <t>minta kirim kesing, sama matabor PDC 8" utk reaming</t>
  </si>
  <si>
    <t>proses kedalaman 89 M matanor Tricon Gigi 6"</t>
  </si>
  <si>
    <t>perbaikan dinamo</t>
  </si>
  <si>
    <t>air habis</t>
  </si>
  <si>
    <t>Mulai ngebor jam 9, atas masukan dari ustad proses kedalaman 81 M</t>
  </si>
  <si>
    <t>dinding lubang ambruk, stang bor kejepit</t>
  </si>
  <si>
    <t>penambahan 1 batang air makin deras break dulu</t>
  </si>
  <si>
    <t>proses kedalaman 66 M, mata bor DTH 6"</t>
  </si>
  <si>
    <t>ngedalemin lubang bor, tadi sempat mampet mata bor nya</t>
  </si>
  <si>
    <t>jetting Batu pada naik, posisi kedaman 90 mtr</t>
  </si>
  <si>
    <t>angkat stang bor yang kejepit</t>
  </si>
  <si>
    <t>Besok beli air beraih 1 tangki hrg 450rb</t>
  </si>
  <si>
    <t>PVC konduktor turun dari permukaan jdi harus gali tanah 60 cm, Untuk nyambung</t>
  </si>
  <si>
    <t>mulai ngebor jam 14,00 dapat 16 M</t>
  </si>
  <si>
    <t>Adang</t>
  </si>
  <si>
    <t>Dapung</t>
  </si>
  <si>
    <t>Gatra</t>
  </si>
  <si>
    <t>Jaman</t>
  </si>
  <si>
    <t>Tono</t>
  </si>
  <si>
    <t>Asmar</t>
  </si>
  <si>
    <t>No Tlp</t>
  </si>
  <si>
    <t>Erik</t>
  </si>
  <si>
    <t>List pekerjaan</t>
  </si>
  <si>
    <t>Rak alat di sebelah timur</t>
  </si>
  <si>
    <t>Paving, meja, penutup otev, kipas plafon, rak alat dan panel surya</t>
  </si>
  <si>
    <t>Pedestal,pasang H beam</t>
  </si>
  <si>
    <t>Alat untuk di dapur bersih</t>
  </si>
  <si>
    <t xml:space="preserve">Ambil memori cctv, otev 2 2 nya dan depan gt, cek dengan gino alat2 </t>
  </si>
  <si>
    <t>Persiapan RS Bun</t>
  </si>
  <si>
    <t>Kursi</t>
  </si>
  <si>
    <t xml:space="preserve">Meja </t>
  </si>
  <si>
    <t>Panel, Chain Hoist</t>
  </si>
  <si>
    <t>Chain Hosit</t>
  </si>
  <si>
    <t>Buat meja, buat winch</t>
  </si>
  <si>
    <t>Ipah</t>
  </si>
  <si>
    <t>Via</t>
  </si>
  <si>
    <t>Cris</t>
  </si>
  <si>
    <t>Mui</t>
  </si>
  <si>
    <t>Nopi</t>
  </si>
  <si>
    <t>Ali</t>
  </si>
  <si>
    <t>Anton</t>
  </si>
  <si>
    <t>Arya</t>
  </si>
  <si>
    <t>Sekar</t>
  </si>
  <si>
    <t>N</t>
  </si>
  <si>
    <t>WS</t>
  </si>
  <si>
    <t>Ktr</t>
  </si>
  <si>
    <t>GT</t>
  </si>
  <si>
    <t>Chaeul</t>
  </si>
  <si>
    <t>Daniela</t>
  </si>
  <si>
    <t>Gino</t>
  </si>
  <si>
    <t>Andre</t>
  </si>
  <si>
    <t>Lafi</t>
  </si>
  <si>
    <t>Budi</t>
  </si>
  <si>
    <t>Nana</t>
  </si>
  <si>
    <t>Japra</t>
  </si>
  <si>
    <t>OTEV</t>
  </si>
  <si>
    <t>Prelance</t>
  </si>
  <si>
    <t>Waslim</t>
  </si>
  <si>
    <t>Rohiman</t>
  </si>
  <si>
    <t>Epul</t>
  </si>
  <si>
    <t>proses kedalaman 93 M matanor Tricon Gigi 6"</t>
  </si>
  <si>
    <t>proses kedalaman masih 81 M mata bor triwing 6" MAT 15 M</t>
  </si>
  <si>
    <t>Ambil air untuk kerja dari pagi s/d jam 11 dapat 4 rit/4.000 ltr trs Kontrol lubang yg ambruk dari 0 s/d 81 meter dengan mata bor treewing 6"</t>
  </si>
  <si>
    <t>Nama</t>
  </si>
  <si>
    <t>Kordinasi holil persiapan pasangan finishing pasangan pompa</t>
  </si>
  <si>
    <t>kurang 1 batang</t>
  </si>
  <si>
    <t>kordinasikan dengan pa anton/pa holil</t>
  </si>
  <si>
    <t>Menunggu konfirmasi untuk tambahan anggaran</t>
  </si>
  <si>
    <t>nambah kedalaman dari 100 -140 m</t>
  </si>
  <si>
    <t>Finishing, kordinasikan dengan mang adang</t>
  </si>
  <si>
    <t>Cabut stang bor, ganti mata bor</t>
  </si>
  <si>
    <t>Sudah selesai pengeboran nya, hanya menunggu kordinasi dari dinas</t>
  </si>
  <si>
    <t>Menunggu Instruksi Dinas PUPR Kab. Serang_Pak DEDE</t>
  </si>
  <si>
    <t>Menunggu tayang pekerjaan/tender</t>
  </si>
  <si>
    <t>Pak Irfan harus ngirim DED &amp; Rab</t>
  </si>
  <si>
    <t>Kirim polymer min. 5 liter, foam agen 1 liter, kirim pakai mobil bis lewat saketi</t>
  </si>
  <si>
    <t>L</t>
  </si>
  <si>
    <t>DEDE</t>
  </si>
  <si>
    <t>memanga paving &amp; meja</t>
  </si>
  <si>
    <t>Pekerjaan di tgl 15/07/2026</t>
  </si>
  <si>
    <t>Pekerjaan di tgl 16/07/2026</t>
  </si>
  <si>
    <t>Servis truk</t>
  </si>
  <si>
    <t>Servis truk/ganti ban mobil truk</t>
  </si>
  <si>
    <t>Pumping Test (selesai)</t>
  </si>
  <si>
    <t>Kirim Polymer &amp; foam agen, lab kesda, di siapkan</t>
  </si>
  <si>
    <t>benerin alat bor di ws</t>
  </si>
  <si>
    <t>Bawa material ke lokasi</t>
  </si>
  <si>
    <t>tahap kordinasi terkait gambar shop drawing</t>
  </si>
  <si>
    <t>Mulai pekerjaan bongkaran atap</t>
  </si>
  <si>
    <t>Progres pengerjaan kusen almunium &amp; pek. Cor balok</t>
  </si>
  <si>
    <t>Progres Pengerjaan Pengikisan Cat dinding existing, pek. Pedestal tiang utama</t>
  </si>
  <si>
    <t>Pek. Banding pipa (done)</t>
  </si>
  <si>
    <t>Kedalaman Sudah mencaoai 128 m</t>
  </si>
  <si>
    <t>Karna Mampet, harus cabur stang bor</t>
  </si>
  <si>
    <t>Rencana pak doni yang akan ke lokasi</t>
  </si>
  <si>
    <t>Nunggu besok, doni sembuh</t>
  </si>
  <si>
    <t>tinnggal ngonek dari pompa ke bak penampungan air</t>
  </si>
  <si>
    <t>tinggal pemasangan pompa</t>
  </si>
  <si>
    <t>Tahapan kordinasi dengan dinas</t>
  </si>
  <si>
    <t>Penomoran semua rig</t>
  </si>
  <si>
    <t>persiapan nyambung kabel pompa, masukin batu grevel kurang batu grevel nya dan pesan lg</t>
  </si>
  <si>
    <t>progres kedalam 90 M, mata bor triwing 6"</t>
  </si>
  <si>
    <t>progres kedalam 93 M, mata bor triwing 6"</t>
  </si>
  <si>
    <t>langsir air utk kerja, lapisan tanah lempung hijau</t>
  </si>
  <si>
    <t>perbaikan NS jebol</t>
  </si>
  <si>
    <t>proses kedalaman 95 M matanor Tricon Gigi 6"</t>
  </si>
  <si>
    <t>Ngeles mata bor coring yg 6" sambil nunggu polymer</t>
  </si>
  <si>
    <t>proses kedalaman 106 M, mata bor DTH 6"</t>
  </si>
  <si>
    <t>4/15/2026</t>
  </si>
  <si>
    <t>PT PETROSEA</t>
  </si>
  <si>
    <t>TUMBANG PASAK TALAWANG KAPUAS KALIMANTAN TIMUR</t>
  </si>
  <si>
    <t>1 Pengeboran</t>
  </si>
  <si>
    <t>01 Bor Dalam AI</t>
  </si>
  <si>
    <t>IKLAN</t>
  </si>
  <si>
    <t>Gads 9253</t>
  </si>
  <si>
    <t>2 Perijinan</t>
  </si>
  <si>
    <t>01 Izin Baru</t>
  </si>
  <si>
    <t>PT Mayasari Bhakti</t>
  </si>
  <si>
    <t>Bekasi Jawa Barat</t>
  </si>
  <si>
    <t>02 Izin Baru Penataan</t>
  </si>
  <si>
    <t>Kandang Kambing Bai Mahdi</t>
  </si>
  <si>
    <t>Ponpes Bai Mahdi Pabuaran</t>
  </si>
  <si>
    <t>5 Civil Consultan</t>
  </si>
  <si>
    <t>01 Bagungan Gedung</t>
  </si>
  <si>
    <t>REKANAN</t>
  </si>
  <si>
    <t>Oasis Teknik Air Minum</t>
  </si>
  <si>
    <t>Kubang Kemiri. Serang, Banten</t>
  </si>
  <si>
    <t>4 Umum Lain - Lain</t>
  </si>
  <si>
    <t>08 Oasis Teknik</t>
  </si>
  <si>
    <t>Oasis Teknik Makan Siang</t>
  </si>
  <si>
    <t>Kubang Kemiri, Serang, Banten</t>
  </si>
  <si>
    <t>OASIS TEKNIK</t>
  </si>
  <si>
    <t>Jl. Lebak Gempol Kubang Kemiri, Panancangan</t>
  </si>
  <si>
    <t>5/21/2026</t>
  </si>
  <si>
    <t>Kubang kemiri, sukawana , Serang</t>
  </si>
  <si>
    <t>09 PBG</t>
  </si>
  <si>
    <t>1/26/2026</t>
  </si>
  <si>
    <t>PT Monaspermata Persada</t>
  </si>
  <si>
    <t>Jatiuwung Tangerang Banten</t>
  </si>
  <si>
    <t>G-OTID 9253</t>
  </si>
  <si>
    <t>Pengerjaan</t>
  </si>
  <si>
    <t>PT. AGGRA Ruma Developer</t>
  </si>
  <si>
    <t>Vasa Aurora, Bogor</t>
  </si>
  <si>
    <t>Makam KH. TB. Syamun</t>
  </si>
  <si>
    <t>Kecamatan Cinangka, Cinangka, Cinangka, Kab. Serang, Banten</t>
  </si>
  <si>
    <t>DPUPR Kab Serang</t>
  </si>
  <si>
    <t>Star Date</t>
  </si>
  <si>
    <t>End Date</t>
  </si>
  <si>
    <t>Warna</t>
  </si>
  <si>
    <t>Servis stemper ke pak uajng lontar</t>
  </si>
  <si>
    <t>Servis jig hammer</t>
  </si>
  <si>
    <t>Buat Meja kantor folding</t>
  </si>
  <si>
    <t>+62 857-1104-6870</t>
  </si>
  <si>
    <t>+62 838-2928-8782</t>
  </si>
  <si>
    <t>+62 857-8009-9230</t>
  </si>
  <si>
    <t>+62 823-2090-4586</t>
  </si>
  <si>
    <t>+62 857-1479-1932</t>
  </si>
  <si>
    <t>+62 821-2373-8955</t>
  </si>
  <si>
    <t>+62 877-3962-8872</t>
  </si>
  <si>
    <t>+62 8134791375</t>
  </si>
  <si>
    <t>+62 895-622419917</t>
  </si>
  <si>
    <t>+62 853-6356-4155</t>
  </si>
  <si>
    <t>+62 858-9306-9542</t>
  </si>
  <si>
    <t>+62 858-9275-8937</t>
  </si>
  <si>
    <t>+62 812-1375-8522</t>
  </si>
  <si>
    <t>+62 831-4362-5801</t>
  </si>
  <si>
    <t>+62 878-1032-8399</t>
  </si>
  <si>
    <t>+62 859-4319-9621</t>
  </si>
  <si>
    <t>+62 881-5460-826</t>
  </si>
  <si>
    <t>+62 859-3953-4896</t>
  </si>
  <si>
    <t>+62 821-2567-8451</t>
  </si>
  <si>
    <t>+62 857-7688-9227</t>
  </si>
  <si>
    <t>+62 882-0175-14767</t>
  </si>
  <si>
    <t>+62 881-0124-98621</t>
  </si>
  <si>
    <t>+62 895-3830-99074</t>
  </si>
  <si>
    <t>+62 812-2021-9998</t>
  </si>
  <si>
    <t>+62 852-1648-2478</t>
  </si>
  <si>
    <t>+62 858-8580-0085</t>
  </si>
  <si>
    <t>pasang pompa permanen, dan pemasangan grevel</t>
  </si>
  <si>
    <t>proses kedalaman 98 M matanor Tricon Gigi 6"</t>
  </si>
  <si>
    <t>proses kedalaman 100 M matanor Tricon Gigi 6"</t>
  </si>
  <si>
    <t>senin habis dzuhur loging</t>
  </si>
  <si>
    <t>progres kedalam 95 M, mata bor triwing 6"</t>
  </si>
  <si>
    <t>progres kedalam 102 M, mata bor triwing 6"</t>
  </si>
  <si>
    <t>15 M</t>
  </si>
  <si>
    <t>pagi langsir air utk kerja, lapisan tanah lempung hijau</t>
  </si>
  <si>
    <t>proses kedalaman 118 M, mata bor DTH 6"</t>
  </si>
  <si>
    <t>filter solar pecah</t>
  </si>
  <si>
    <t>proses kedalaman 130 M, mata bor DTH 6"</t>
  </si>
  <si>
    <t>cabut stang bor lanjut reaming baru 18 M</t>
  </si>
  <si>
    <t>Zaenal</t>
  </si>
  <si>
    <t>+62 813-1561-9147</t>
  </si>
  <si>
    <t>Pekerjaan 20/7/26</t>
  </si>
  <si>
    <t>bikin code di mata bor</t>
  </si>
  <si>
    <t>buat meja kantor utk ruangan direktur</t>
  </si>
  <si>
    <t>loging lokasi sayar</t>
  </si>
  <si>
    <t>buat panel utk stok</t>
  </si>
  <si>
    <t>lanjut pasang paving</t>
  </si>
  <si>
    <t>rapihkan alat rig utk parkiran</t>
  </si>
  <si>
    <t>persiapan bongkar alat</t>
  </si>
  <si>
    <t>cuaca gerimis</t>
  </si>
  <si>
    <t>progres kedalam 110 M, mata bor fourwing 6"</t>
  </si>
  <si>
    <t>mat 12 M</t>
  </si>
  <si>
    <t>reaming kedalaman 18,20 M</t>
  </si>
  <si>
    <t>modifikasi mata bor DTH</t>
  </si>
  <si>
    <t>kondisi masih hujan</t>
  </si>
  <si>
    <t>reaming baru dikedalaman 64 M</t>
  </si>
  <si>
    <t>sisa 12 batang</t>
  </si>
  <si>
    <t>progres kedalam 115 M, mata bor fourwing 6"</t>
  </si>
  <si>
    <t>reaming kedalaman 30 M mata bor DTH 8"</t>
  </si>
  <si>
    <t>reaming kedalaman 75 M mata bor DTH 8"</t>
  </si>
  <si>
    <t>progres kedalam 121 M, mata bor fourwing 6"</t>
  </si>
  <si>
    <t>mat 13 M</t>
  </si>
  <si>
    <t>alat sudah rapih tinggal pindah lokasi</t>
  </si>
  <si>
    <t>tinggal tunggu travel</t>
  </si>
  <si>
    <t>team pak amin konekin kabel pompa ke KWH</t>
  </si>
  <si>
    <t>belum selesai</t>
  </si>
  <si>
    <t>dilanjut utk konek kabel pompa ke KWH</t>
  </si>
  <si>
    <t>indikasi pompa terbakar</t>
  </si>
  <si>
    <t>angkat pompa</t>
  </si>
  <si>
    <t>progres kedalam 128 M, mata bor fourwing 6"</t>
  </si>
  <si>
    <t>reaming kedalaman 106 M mata bor DTH 8"</t>
  </si>
  <si>
    <t>beres seting alat, lanjut gali spul bak</t>
  </si>
  <si>
    <t>minta majicom dan kasur lipat</t>
  </si>
  <si>
    <t>cabut pipa konduktor, pengecoran samping sumur</t>
  </si>
  <si>
    <t>besok beres2 alat hari senin mobilisasi</t>
  </si>
  <si>
    <t>progres kedalam 134 M, mata bor fourwing 6"</t>
  </si>
  <si>
    <t>mat 8 M</t>
  </si>
  <si>
    <t>reaming kedalaman 120 M mata bor DTH 8"</t>
  </si>
  <si>
    <t>pemberangkatan team ke lokasi balik papan</t>
  </si>
  <si>
    <t>team sudah dbandara tinggal pemberangkatan ke lokasi</t>
  </si>
  <si>
    <t>baru selesai buat galian spul bak</t>
  </si>
  <si>
    <t>besok sudah mulai pengeboran</t>
  </si>
  <si>
    <t>team pulang k ws</t>
  </si>
  <si>
    <t>proses pendalaman mentok di 89 M kendala NS macet</t>
  </si>
  <si>
    <t>perbaikan mesin NS</t>
  </si>
  <si>
    <t>spuling sudah dikedalaman 115 M</t>
  </si>
  <si>
    <t>pekerjaan finish</t>
  </si>
  <si>
    <t>tunggu keputusan orang dinas</t>
  </si>
  <si>
    <t>progres kedalam 140 M, mata bor fourwing 6"</t>
  </si>
  <si>
    <t>mat 4 M</t>
  </si>
  <si>
    <t>reaming baru dikedalaman 83 M</t>
  </si>
  <si>
    <t>tambah kedalaman 10 M dg DTH 4"</t>
  </si>
  <si>
    <t>nunggu tahap kesepakatan</t>
  </si>
  <si>
    <t>tunggu team</t>
  </si>
  <si>
    <t>tinggal konek kabel pompa ke panel permanen</t>
  </si>
  <si>
    <t xml:space="preserve">nunggu team </t>
  </si>
  <si>
    <t>spuling sudah dikedalaman 129 M</t>
  </si>
  <si>
    <t>lembur biar besok kontruksi</t>
  </si>
  <si>
    <t>masih reaming kurang 6 M</t>
  </si>
  <si>
    <t>spuling dan pasang grevel</t>
  </si>
  <si>
    <t>spuling sudah dikedalaman 136 M</t>
  </si>
  <si>
    <t>spuling sudah dikedalaman 142 M</t>
  </si>
  <si>
    <t>MAT Pagi 1 M</t>
  </si>
  <si>
    <t>Tinggal nunggu pasang pompa permanent, kordinaskina untuk materialny ke owner</t>
  </si>
  <si>
    <t>ff</t>
  </si>
  <si>
    <t>spuling sudah dikedalaman 147 M</t>
  </si>
  <si>
    <t>spuling sudah dikedalaman 147 M (angkat stang bor karena manpet)</t>
  </si>
  <si>
    <t>masukin lg stang bor star jam 16.00</t>
  </si>
  <si>
    <t>menunggu pemasangan listrik</t>
  </si>
  <si>
    <t>spuling sudah dikedalaman 148.5 M</t>
  </si>
  <si>
    <t>Libur k ws</t>
  </si>
  <si>
    <t>ambil pipa dan stang bor dr ws</t>
  </si>
  <si>
    <t>spuling sudah dikedalaman 160 M</t>
  </si>
  <si>
    <t>besok cabut satng bor lanjut kontrksi</t>
  </si>
  <si>
    <t>bor hole camera disaksikan team RS BUN</t>
  </si>
  <si>
    <t>rencana pak ayau besok tinjau lokasi dan mw siapkan pompa</t>
  </si>
  <si>
    <t>pumping test pompa dikedalaman 118 M air masih sedikit</t>
  </si>
  <si>
    <t>nayalakan pompa teiap 1 jam air masih tekor per 8 menit</t>
  </si>
  <si>
    <t>rencana didalamin sampai 160 M, bersikan lumpur yg menyumbat di chasing</t>
  </si>
  <si>
    <t>turunin pompa dikedalaman 140 M air masih tekor</t>
  </si>
  <si>
    <t>masih penanganan team teknik</t>
  </si>
  <si>
    <t>pasang pompa permanen selesai air aman tdk tekor</t>
  </si>
  <si>
    <t>proses spuling dan angkat stang bor ada trabel NS jebol tp sudah dioerbaiki</t>
  </si>
  <si>
    <t>dijadwalkan utk pemasangan pompa permaen</t>
  </si>
  <si>
    <t>besok sepuling</t>
  </si>
  <si>
    <t>cabut pompa kuras besok mulai pengeboran tambah kedalaman</t>
  </si>
  <si>
    <t>Angkut alat dan rapihkan alat</t>
  </si>
  <si>
    <t>seting Alat</t>
  </si>
  <si>
    <t>hari senis konek listrik ke PLN</t>
  </si>
  <si>
    <t>pekerjaan Finish</t>
  </si>
  <si>
    <t>pengurasan sumur</t>
  </si>
  <si>
    <t>masih pengurasan sumur dikedalaman 120 M</t>
  </si>
  <si>
    <t>besok rencana pasang pompa</t>
  </si>
  <si>
    <t>Pumping</t>
  </si>
  <si>
    <t>ganti WLC karena korsleting</t>
  </si>
  <si>
    <t>Perbaikan Panel utama</t>
  </si>
  <si>
    <t>proses pengeboran baru dapat 1/2 M formasi lempung mampet ke matabor</t>
  </si>
  <si>
    <t>pergantian mata bor triwing 4"</t>
  </si>
  <si>
    <t>pembuatan spul bak dan konek listrik PLN</t>
  </si>
  <si>
    <t>pumping test air dinyalakan dr jam 4 sore samape malam air masih aman</t>
  </si>
  <si>
    <t>pompa dtutukan dikedalaman 112 M setelah 4 jam air tekor sedikit</t>
  </si>
  <si>
    <t>demob hari sabtu</t>
  </si>
  <si>
    <t>tinggal perapihan alat, pasng Lbow dan stop kran</t>
  </si>
  <si>
    <t>progres kedalam 154 M, mata bor triwing 4"</t>
  </si>
  <si>
    <t>mulai pengeboran tp listrik naik turun NS cpt panas</t>
  </si>
  <si>
    <t>Proses kedalaman 15 M mata bor Fourwing 8" Kombinasi</t>
  </si>
  <si>
    <t>Pumping tes 2x24 jam</t>
  </si>
  <si>
    <t>Proses kedalaman 31 M mata bor Fourwing 8" Kombinasi</t>
  </si>
  <si>
    <t>listrik belum setabil</t>
  </si>
  <si>
    <t>Proses kedalaman 62 M mata bor Fourwing 8" Kombinasi</t>
  </si>
  <si>
    <t>Proses kedalaman 52 M mata bor Fourwing 8" Kombinasi</t>
  </si>
  <si>
    <t>perbaikan listrik</t>
  </si>
  <si>
    <t>mobiliasi</t>
  </si>
  <si>
    <t>langsir alat k lokasi</t>
  </si>
  <si>
    <t>Proses kedalaman 96 M mata bor Fourwing 8" Kombinasi</t>
  </si>
  <si>
    <t>pembutan spulbak harus disemen</t>
  </si>
  <si>
    <t>baru selesai pembuatan spul bak</t>
  </si>
  <si>
    <t>besok sudah mulai ngebor</t>
  </si>
  <si>
    <t>Proses kedalaman 113 M mata bor Fourwing 8" Kombinasi</t>
  </si>
  <si>
    <t>besok kirim material</t>
  </si>
  <si>
    <t>Proses kedalaman 120 M mata bor Fourwing 8" Kombinasi</t>
  </si>
  <si>
    <t>besok reaming</t>
  </si>
  <si>
    <t>pasang pompa hcl 3-25 3HP dikedalaman 80 M air belum keluar diidentifikasi ada 2 faktor, 1. ada kemungkina ada pipa yg pecah menyebabkan air keluar dr rongga yg pecah, 2. ada kemungkinan dr kabel karena dilihat secara fisik sdah agak gosong</t>
  </si>
  <si>
    <t>besok melakuan pengecekan 2 faktor yg teridentifikasi</t>
  </si>
  <si>
    <t>reaming sudah dikedalaman 60 M</t>
  </si>
  <si>
    <t>butuh mata bor PDC 5" (sudah mulai keras)</t>
  </si>
  <si>
    <t>Proses pengeboran kedalaman 12 M mata bor Fourwing 5"</t>
  </si>
  <si>
    <t>Proses pengeboran kedalaman 22 M mata bor Fourwing 5"</t>
  </si>
  <si>
    <t>Proses pengeboran kedalaman 24 M mata bor Fourwing 5"</t>
  </si>
  <si>
    <t>Proses pengeboran kedalaman 25 M mata bor Fourwing 5"</t>
  </si>
  <si>
    <t>nunggu mata bor baru</t>
  </si>
  <si>
    <t>reaming selesai</t>
  </si>
  <si>
    <t>kontruksi sisa 3batang ada endapan pasir halus</t>
  </si>
  <si>
    <t>besok mw disentor pakai stangbor</t>
  </si>
  <si>
    <t>pumping tes dikedalam 140 M 1 jam 8 menit air masih stabil</t>
  </si>
  <si>
    <t>lubang bor ketimbun akibat air ga bisa naik, airnya encer terus</t>
  </si>
  <si>
    <t>butuh bentonic 5 sak</t>
  </si>
  <si>
    <t>Air belum bisa naik masih encer</t>
  </si>
  <si>
    <t>kontruksi sisa 1 batang lg</t>
  </si>
  <si>
    <t xml:space="preserve">pumping tes air masih keruh </t>
  </si>
  <si>
    <t>tinggal pasang grevel</t>
  </si>
  <si>
    <t>masih pasang pompa ada kemungkinan tidak ada sumber air</t>
  </si>
  <si>
    <t>pumping sdh 3 jam airnya ayun ambing</t>
  </si>
  <si>
    <t>uji coba malam air msh ayun ambing</t>
  </si>
  <si>
    <t>lanjut mlm pumping pompa dikedalaman 32 M</t>
  </si>
  <si>
    <t>angkt pompa pumping persiapan pasang pompa permanen</t>
  </si>
  <si>
    <t xml:space="preserve">mobilisasi </t>
  </si>
  <si>
    <t>proses pengeboran kedalaman 3 M mata bor coring 10"</t>
  </si>
  <si>
    <t>butuh hammer bit dth 12" dan pipa 10" 4 btng</t>
  </si>
  <si>
    <t>proses pengeboran kedalaman 6 M mata bor coring 10"</t>
  </si>
  <si>
    <t>Proses pengeboran kedalaman 38 M mata bor Fourwing 5"</t>
  </si>
  <si>
    <t>pasang grevel air aman masih setabil dan pasang pompa permanen</t>
  </si>
  <si>
    <t>peresiapan demobilisasi</t>
  </si>
  <si>
    <t>masih pemasangan poma permanen</t>
  </si>
  <si>
    <t>Proses pengeboran kedalaman 40 M mata bor PDC 3x5"</t>
  </si>
  <si>
    <t>Proses pengeboran kedalaman 50 M mata bor PDC 3x5"</t>
  </si>
  <si>
    <t>proses pengeboran kedalaman 6 M mata bor coring 12"</t>
  </si>
  <si>
    <t>pasang pipa konduktor 10"</t>
  </si>
  <si>
    <t>proses pengeboran kedalaman 9 M mata bor coring 12"</t>
  </si>
  <si>
    <t>pasang pipa konduktor 8" 2 btng, stang bor kejepit  batu boulder</t>
  </si>
  <si>
    <t>+62 812-1294-8442</t>
  </si>
  <si>
    <t>Cakung</t>
  </si>
  <si>
    <t>YBM Buyut Mekar</t>
  </si>
  <si>
    <t>Zaman</t>
  </si>
  <si>
    <t>PKS Bojong Juruh</t>
  </si>
  <si>
    <t>Sukabumi</t>
  </si>
  <si>
    <t>Caringin - Bogor</t>
  </si>
  <si>
    <t>0812-8032-6434</t>
  </si>
  <si>
    <t>Team Muhidin/Zaman</t>
  </si>
  <si>
    <t>Demob alat dari buyut mekar</t>
  </si>
  <si>
    <t>persiapan butuh team</t>
  </si>
  <si>
    <t>nunggu air</t>
  </si>
  <si>
    <t>pemasangan pompa selesai</t>
  </si>
  <si>
    <t>Proses pengeboran kedalaman 60 M mata bor PDC 3x5"</t>
  </si>
  <si>
    <t>formasi batuan keras</t>
  </si>
  <si>
    <t>proses pengeboran kedalaman 12 M mata bor coring 12"</t>
  </si>
  <si>
    <t>mesin DTH mati</t>
  </si>
  <si>
    <t>Proses pengeboran kedalaman 62 M mata bor PDC 3x5"</t>
  </si>
  <si>
    <t>besok cek mata bor</t>
  </si>
  <si>
    <t>baru mulai pengeboran masuk 2 batng air hampir habis</t>
  </si>
  <si>
    <t>Proses pengeboran kedalaman 69.70 M mata bor PDC 3x5"</t>
  </si>
  <si>
    <t>geser rig dth merah sambil tunggu rig dth kuning</t>
  </si>
  <si>
    <t>distop sementara intruksi owner, mw diskusi dg warga sekitar</t>
  </si>
  <si>
    <t>proses pengeboran kedalaman 15 M mata bor coring 12"</t>
  </si>
  <si>
    <t>dinamo starter mati</t>
  </si>
  <si>
    <t>Proses pengeboran kedalaman 72 M mata bor PDC 3x5"</t>
  </si>
  <si>
    <t>spuling lanjut pumping test</t>
  </si>
  <si>
    <t>suntik pipa 4"</t>
  </si>
  <si>
    <t>Proses pengeboran kedalaman 72.50 M mata bor PDC 3x5"</t>
  </si>
  <si>
    <t>proses pengeboran kedalaman 16 M mata bor coring 12"</t>
  </si>
  <si>
    <t>batu border longsor</t>
  </si>
  <si>
    <t>proses pengeboran kedalaman 17 M mata bor coring 12"</t>
  </si>
  <si>
    <t>Proses pengeboran kedalaman 73 M mata bor PDC 3x5"</t>
  </si>
  <si>
    <t>Proses pengeboran kedalaman 73.20 M mata bor PDC 3x5"</t>
  </si>
  <si>
    <t>Bering bubuk nypet</t>
  </si>
  <si>
    <t>perbaikan alat as gardan patah</t>
  </si>
  <si>
    <t>pipa 4' sudah masuk dikedalaman 141 M</t>
  </si>
  <si>
    <t>persiapan masukin stag bor utk tekan pipa 4"</t>
  </si>
  <si>
    <t>proses pengeboran kedalaman 19 M mata bor coring 12"</t>
  </si>
  <si>
    <t>proses pengeboran kedalaman 21 M mata bor coring 12"</t>
  </si>
  <si>
    <t>perkiraan batu boulder sampai 19 M</t>
  </si>
  <si>
    <t>tunggu peralatan pesesan dr ws</t>
  </si>
  <si>
    <t>gali samping pipa conductor turun mata bit 8" pengeboran dr 10 M urug terus</t>
  </si>
  <si>
    <t>nyambung pipa conductor dan beli solar</t>
  </si>
  <si>
    <t>Team Pak Solikin</t>
  </si>
  <si>
    <t>rapihkan alat</t>
  </si>
  <si>
    <t>penyambungan otomatis dr toren ke pompa dan ambil sample air</t>
  </si>
  <si>
    <t>ngoring 6", turun mata bor pvc 6" ketinggalan 1 btng</t>
  </si>
  <si>
    <t>baru selsai bongkar stang bor kedalaman mash 73.20 M</t>
  </si>
  <si>
    <t>Proses pengeboran kedalaman 74.50 M mata bor PDC 5"</t>
  </si>
  <si>
    <t>Pindah titik lokasi titik awal zona terlalu terjal</t>
  </si>
  <si>
    <t>gali spul bax</t>
  </si>
  <si>
    <t>gali spul bak tanah batuan keras bekas urugan</t>
  </si>
  <si>
    <t>lansir air dan konek listrik</t>
  </si>
  <si>
    <t>seting rig lantut pengeboran baru kedalaman 3 M</t>
  </si>
  <si>
    <t>ngoring 6",beli &amp; isi solar, koring 6" ambas kedalam lubang bor</t>
  </si>
  <si>
    <t>beli dan tabur  tawas utk keperluan BHC, service winch macet, BHC</t>
  </si>
  <si>
    <t>pindah titik pengeboran berjarak 2 M dr sebelum'y masuik pipa konduksi 10" 3 M</t>
  </si>
  <si>
    <t>Proses pengeboran kedalaman 76.50 M mata bor PDC 5"</t>
  </si>
  <si>
    <t>Proses pengeboran kedalaman 3 M mata bor triwing 5"</t>
  </si>
  <si>
    <t>gali spul bax dan berdiriin menara rig</t>
  </si>
  <si>
    <t>Pelur spul bak, las alat &amp; langsir air</t>
  </si>
  <si>
    <t>Proses pengeboran kedalaman 15 M mata bor triwing 5"</t>
  </si>
  <si>
    <t>coring 8" &amp; 10" utk pasang pipa conduktor dikedalaman 7 M</t>
  </si>
  <si>
    <t>proses pengeboran kedalaman 11 M mata bit DTH 8"</t>
  </si>
  <si>
    <t>Proses pengeboran kedalaman 80 M mata bor PDC 5"</t>
  </si>
  <si>
    <t>Demobilisasi alat</t>
  </si>
  <si>
    <t>KODE</t>
  </si>
  <si>
    <t>ALAT</t>
  </si>
  <si>
    <t>NAME PLATE</t>
  </si>
  <si>
    <t>001</t>
  </si>
  <si>
    <t>Rig Ontel Dari Hari Serang (Via Yusron Bor)</t>
  </si>
  <si>
    <t>RIG 904590 OT</t>
  </si>
  <si>
    <t>002</t>
  </si>
  <si>
    <t>Rig Semi Elektro (Listrik/Diesel) Dari Agus Saketi</t>
  </si>
  <si>
    <t>RIG 904591 OT</t>
  </si>
  <si>
    <t>003</t>
  </si>
  <si>
    <t>Rig Hydroulik Mini Dari Cina (Warna Biru) OH120</t>
  </si>
  <si>
    <t>RIG 904592 OT</t>
  </si>
  <si>
    <t>004</t>
  </si>
  <si>
    <t>Rig Gantung Dari Kang Doel Jakarta</t>
  </si>
  <si>
    <t>RIG 904593 OT</t>
  </si>
  <si>
    <t>005</t>
  </si>
  <si>
    <t>Rig OH 120 Rakitan Bogor Pak Eko</t>
  </si>
  <si>
    <t>RIG 904594 OT</t>
  </si>
  <si>
    <t>006</t>
  </si>
  <si>
    <t>RIG 904595 OT</t>
  </si>
  <si>
    <t>007</t>
  </si>
  <si>
    <t>RIG 904596 OT</t>
  </si>
  <si>
    <t>008</t>
  </si>
  <si>
    <t>RIG 904597 OT</t>
  </si>
  <si>
    <t>009</t>
  </si>
  <si>
    <t xml:space="preserve">Rig Semi elektro (Listrik/Diesel) Dari Bojonegoro Jatim </t>
  </si>
  <si>
    <t>RIG 904598 OT</t>
  </si>
  <si>
    <t>010</t>
  </si>
  <si>
    <t>Rig OH240 Rakitan Bogor Pak Eko</t>
  </si>
  <si>
    <t>RIG 904599 OT</t>
  </si>
  <si>
    <t>011</t>
  </si>
  <si>
    <t xml:space="preserve">Rig Uki Bekasi Gawangan </t>
  </si>
  <si>
    <t>RIG 904600 OT</t>
  </si>
  <si>
    <t>012</t>
  </si>
  <si>
    <t>Rig Jaenal Rakit di WS</t>
  </si>
  <si>
    <t>RIG 904601 OT</t>
  </si>
  <si>
    <t>013</t>
  </si>
  <si>
    <t>Rig Kiki Sabiru Bandung (via pak budi bandung)</t>
  </si>
  <si>
    <t>RIG 904602 OT</t>
  </si>
  <si>
    <t>014</t>
  </si>
  <si>
    <t>Rig Belum Jadi (dari fajar bantul jogja)</t>
  </si>
  <si>
    <t>RIG 904603 OT</t>
  </si>
  <si>
    <t>015</t>
  </si>
  <si>
    <t>Rig Eko Solo Warna Kuning</t>
  </si>
  <si>
    <t>RIG 904604 OT</t>
  </si>
  <si>
    <t>016</t>
  </si>
  <si>
    <t>Rig Landi Cikande Tangerang</t>
  </si>
  <si>
    <t>RIG 904605 OT</t>
  </si>
  <si>
    <t>017</t>
  </si>
  <si>
    <t>Rig Agus Rakit Di Workshop</t>
  </si>
  <si>
    <t>RIG 904606 OT</t>
  </si>
  <si>
    <t>018</t>
  </si>
  <si>
    <t>Rig Agus Rakit Di Workshop (Buat BP pompa)</t>
  </si>
  <si>
    <t>RIG 904607 OT</t>
  </si>
  <si>
    <t>019</t>
  </si>
  <si>
    <t>Rig Agus Rakit Di Workshop Rig Multi Dengan 1 Mesin</t>
  </si>
  <si>
    <t>RIG 904608 OT</t>
  </si>
  <si>
    <t>020</t>
  </si>
  <si>
    <t>Rig Supriono Ciboleger (via Pak Oman)</t>
  </si>
  <si>
    <t>RIG 904609 OT</t>
  </si>
  <si>
    <t>021</t>
  </si>
  <si>
    <t>Rig Adul Depok/Tangerang</t>
  </si>
  <si>
    <t>RIG 904610 OT</t>
  </si>
  <si>
    <t>022</t>
  </si>
  <si>
    <t>Rig Ontel Dari Nasrullah</t>
  </si>
  <si>
    <t>RIG 904611 OT</t>
  </si>
  <si>
    <t>023</t>
  </si>
  <si>
    <t>Rig Sukma 1 Pandeglang TBM</t>
  </si>
  <si>
    <t>RIG 904612 OT</t>
  </si>
  <si>
    <t>024</t>
  </si>
  <si>
    <t>Rig Sukma 2 Pandeglang TBM</t>
  </si>
  <si>
    <t>RIG 904613 OT</t>
  </si>
  <si>
    <t>025</t>
  </si>
  <si>
    <t>Rig Sukma 3 Pandeglang TBM</t>
  </si>
  <si>
    <t>RIG 904614 OT</t>
  </si>
  <si>
    <t>026</t>
  </si>
  <si>
    <t>RIG 904615 OT</t>
  </si>
  <si>
    <t>027</t>
  </si>
  <si>
    <t>Rig DTH 01 Kuning plus compressor 750 CFM 20 Bar</t>
  </si>
  <si>
    <t>DTH 802154 OT</t>
  </si>
  <si>
    <t>028</t>
  </si>
  <si>
    <t>Rig DTH 02 Merah plus compressor 750CFM 20 bar</t>
  </si>
  <si>
    <t>DTH 802155 OT</t>
  </si>
  <si>
    <t>029</t>
  </si>
  <si>
    <t>Compressor 655CFM 10 Bar dari cilegon via ari bandung</t>
  </si>
  <si>
    <t>CP 9012238 OT</t>
  </si>
  <si>
    <t>030</t>
  </si>
  <si>
    <t>Compresso 390CFM 10 bar Dari cina bareng DTH 02</t>
  </si>
  <si>
    <t>CP 9012239 OT</t>
  </si>
  <si>
    <t>031</t>
  </si>
  <si>
    <t>Rig Sondir</t>
  </si>
  <si>
    <t>SR 4612404 OT</t>
  </si>
  <si>
    <t>032</t>
  </si>
  <si>
    <t>Genset silent dari zul</t>
  </si>
  <si>
    <t>GS 1238942 OT</t>
  </si>
  <si>
    <t>033</t>
  </si>
  <si>
    <t xml:space="preserve">Stemper Kuda </t>
  </si>
  <si>
    <t>ST 0056894 OT</t>
  </si>
  <si>
    <t>034</t>
  </si>
  <si>
    <t>Hammer beton</t>
  </si>
  <si>
    <t>HM 0056895 OT</t>
  </si>
  <si>
    <t>035</t>
  </si>
  <si>
    <t>Scaffolding</t>
  </si>
  <si>
    <t>SC 0056896 OT</t>
  </si>
  <si>
    <t>Ukuran Pipa</t>
  </si>
  <si>
    <t>Panjang Pipa</t>
  </si>
  <si>
    <t>2,5 dan 3</t>
  </si>
  <si>
    <t>3m 30, dan 4,5m 15btg</t>
  </si>
  <si>
    <t>Caringin bogor (Pak Hery)</t>
  </si>
  <si>
    <t>33 btg</t>
  </si>
  <si>
    <t>Ujang</t>
  </si>
  <si>
    <t>Dalam Perbaikan</t>
  </si>
  <si>
    <t>Jumlah</t>
  </si>
  <si>
    <t>Compressor 750 CFM 20 Bar</t>
  </si>
  <si>
    <t>2.5m 8 &amp; 3m 45</t>
  </si>
  <si>
    <t>2.5m 11 &amp; 3m 13</t>
  </si>
  <si>
    <t>Proses pengeboran kedalaman 83 M mata bor PDC 5"</t>
  </si>
  <si>
    <t>Kendala batuan longsor</t>
  </si>
  <si>
    <t>Proses pengeboran kedalaman 27 M mata bor triwing 5"</t>
  </si>
  <si>
    <t>Proses pengeboran kedalaman 3 M mata bor Fourwing 6"</t>
  </si>
  <si>
    <t>seting alat &amp; tutup terpal titik pengeboran</t>
  </si>
  <si>
    <t>Proses pengeboran kedalaman 85 M mata bor PDC 5"</t>
  </si>
  <si>
    <t>Proses pengeboran kedalaman 33 M mata bor triwing 5"</t>
  </si>
  <si>
    <t>Bu Diah</t>
  </si>
  <si>
    <t>STANG BOR</t>
  </si>
  <si>
    <t>NO</t>
  </si>
  <si>
    <t>JENIS STANG BOR</t>
  </si>
  <si>
    <t>DIAMETER</t>
  </si>
  <si>
    <t>UKURAN</t>
  </si>
  <si>
    <t>PANJANG</t>
  </si>
  <si>
    <t>PIPA STANG BOR CUBING</t>
  </si>
  <si>
    <t>3 INCH</t>
  </si>
  <si>
    <t>BANYAKNYA</t>
  </si>
  <si>
    <t>2.5 INCH</t>
  </si>
  <si>
    <t>2 INCH</t>
  </si>
  <si>
    <t>PIPA STANG BOR DRAT KASAR</t>
  </si>
  <si>
    <t>PIPA STANG BOR DTH</t>
  </si>
  <si>
    <t>TOTAL</t>
  </si>
  <si>
    <t>327 BTG</t>
  </si>
  <si>
    <t>dikanibal</t>
  </si>
  <si>
    <t>proses pengeboran kedalaman 12 M mata bor coring 8"</t>
  </si>
  <si>
    <t>proses pengeboran kedalaman 13 M mata bor coring 8"</t>
  </si>
  <si>
    <t>batuan longsor</t>
  </si>
  <si>
    <t>Proses pengeboran kedalaman 4 M mata bor Fourwing 6"</t>
  </si>
  <si>
    <t>buat coring 10 Inch</t>
  </si>
  <si>
    <t>Proses pengeboran kedalaman 90 M mata bor PDC 5"</t>
  </si>
  <si>
    <t>ganti gigi nanas sama Bering nya PDA hancur</t>
  </si>
  <si>
    <t>Btg</t>
  </si>
  <si>
    <t>2-3</t>
  </si>
  <si>
    <t>M</t>
  </si>
  <si>
    <t>di karenakan urug terus, maka di cor atau grouting dari pinggir casing</t>
  </si>
  <si>
    <t>ngebor sudah di 16 M ngurug terus</t>
  </si>
  <si>
    <t>Proses pengeboran kedalaman 37 M mata PDC Pagoda 5"</t>
  </si>
  <si>
    <t>Proses pengeboran kedalaman 40 M mata PDC Pagoda 5"</t>
  </si>
  <si>
    <t>Proses pengeboran kedalaman 45 M mata PDC Pagoda 5"</t>
  </si>
  <si>
    <t>Proses pengeboran kedalaman 45.25 M mata PDC Pagoda 5"</t>
  </si>
  <si>
    <t>Proses pengeboran kedalaman 4 M mata bor coring 6"</t>
  </si>
  <si>
    <t>Proses pengeboran kedalaman 5 M mata bor coring 6"</t>
  </si>
  <si>
    <t>batu split dan pasir sudah dilokasi</t>
  </si>
  <si>
    <t>cor sloof</t>
  </si>
  <si>
    <t>CIVIL</t>
  </si>
  <si>
    <t>Proses pengeboran kedalaman 92 M mata bor PDC 5"</t>
  </si>
  <si>
    <t>Proses pengeboran kedalaman 91 M mata bor PDC 5"</t>
  </si>
  <si>
    <t>proses pengeboran kedalaman 16 M mata bor coring 8"</t>
  </si>
  <si>
    <t>proses pengeboran kedalaman 19 M mata bor coring 8"</t>
  </si>
  <si>
    <t>Hr ini bongkar bekisting sloof, pembesian kolom, urugan kembali pondasi foot plat + pemadatan.</t>
  </si>
  <si>
    <t>Proses pengeboran kedalaman 48.25 M mata PDC Pagoda 5"</t>
  </si>
  <si>
    <t>pindah titik lokasi</t>
  </si>
  <si>
    <t>PAMSIMAS DESA CIBALIUNG</t>
  </si>
  <si>
    <t>PAMSIMAS DESA CIBURIAL</t>
  </si>
  <si>
    <t>PAMSIMAS DESA PASIR KADU</t>
  </si>
  <si>
    <t>PAMSIMAS DESA KERSARATU</t>
  </si>
  <si>
    <t>PAMSIMAS DESA PARAKANLIMA</t>
  </si>
  <si>
    <t>0852-8205-1424</t>
  </si>
  <si>
    <t>Team Pak jendi</t>
  </si>
  <si>
    <t>Team Pak jaman</t>
  </si>
  <si>
    <t>aetting alat</t>
  </si>
  <si>
    <t>gali bak sirkulasi</t>
  </si>
  <si>
    <t>Proses pengeboran kedalaman 6 M mata bor PDC 8"</t>
  </si>
  <si>
    <t>Pertama turun triwing 1.50 centi.. gk turun2 ..ganti pdc 8 in.</t>
  </si>
  <si>
    <t>rapihkan alat dan seting alat</t>
  </si>
  <si>
    <t>Proses pengeboran kedalaman 51.25 M mata PDC Pagoda 5"</t>
  </si>
  <si>
    <t>kontak rig rusak</t>
  </si>
  <si>
    <t>ada trobel putus pipa di kdlmn  84 mungkin bsok mau ngaklin dllu</t>
  </si>
  <si>
    <t>Urug pondasi</t>
  </si>
  <si>
    <t>Proses pengeboran kedalaman 57 M mata PDC Pagoda 5"</t>
  </si>
  <si>
    <t>mata bor sdh tdk bisa masuk permukaan terlalu keras bautan</t>
  </si>
  <si>
    <t>rencana pindah area tunggu alat DTH</t>
  </si>
  <si>
    <t>stang bor patah dikedalaman di 84 M</t>
  </si>
  <si>
    <t>akalin stang bor yang patah</t>
  </si>
  <si>
    <t>alat rig sudah berdiri</t>
  </si>
  <si>
    <t>Proses pengeboran kedalaman 9 M mata bor PDC 8"</t>
  </si>
  <si>
    <t>Proses kedalaman 105 M</t>
  </si>
  <si>
    <t>Proses kedalaman 108 M</t>
  </si>
  <si>
    <t>formasi tanah lempung lengket</t>
  </si>
  <si>
    <t>masuk 19 batang+1 meter</t>
  </si>
  <si>
    <t>proses pemasangan besi tiang dan pemadatan urugan</t>
  </si>
  <si>
    <t>kontaktor'y pada hangus</t>
  </si>
  <si>
    <t>Proses pengeboran kedalaman 61 M mata PDC Pagoda 5"</t>
  </si>
  <si>
    <t>Proses pengeboran kedalaman 10 M mata bor coring 6"</t>
  </si>
  <si>
    <t>pengeboran msh berjalan kedalaman 6 M</t>
  </si>
  <si>
    <t>poli gear box pecah dr tambalan</t>
  </si>
  <si>
    <t>sedang di order</t>
  </si>
  <si>
    <t>No Order</t>
  </si>
  <si>
    <t>PAMSIMAS DESA PAMARAYAN (keras)</t>
  </si>
  <si>
    <t>PAMSIMAS DESA SUKACAI (keras)</t>
  </si>
  <si>
    <t>PAMSIMAS DESA BANJARASARI (wargun)</t>
  </si>
  <si>
    <t>pasang bekisting kolom dan balok.</t>
  </si>
  <si>
    <t>cor tiang + balok elv. 3 m</t>
  </si>
  <si>
    <t>pengecoran kolom dan balok elv. 3 m</t>
  </si>
  <si>
    <t>Cabut stang bor karena water los lg</t>
  </si>
  <si>
    <t>Kdlmn reming tabung 6" baru 17 MTR sambil nutup yg waterlos nya dllu blm ketutup</t>
  </si>
  <si>
    <t>proses pengeboran kedalaman 20 M mata bor coring 8"</t>
  </si>
  <si>
    <t>pasang filter dan pergantian oli saparator</t>
  </si>
  <si>
    <t>Proses pengeboran kedalaman 78 M mata PDC Pagoda 5"</t>
  </si>
  <si>
    <t>Team Pak Maman</t>
  </si>
  <si>
    <t>Team Pak Amin</t>
  </si>
  <si>
    <t>buat spul bak</t>
  </si>
  <si>
    <t>nunggulistrik</t>
  </si>
  <si>
    <t>Proses pengeboran  kedalaman 40 M</t>
  </si>
  <si>
    <t>formasi tanah pasiran</t>
  </si>
  <si>
    <t>Proses pengeboran  kedalaman 42 M</t>
  </si>
  <si>
    <t>cabut stang bor krena water los dan tanah pasiran sempet nguruk</t>
  </si>
  <si>
    <t>Team Pak Jenal</t>
  </si>
  <si>
    <t>Langsir alat sambil nunggu beres pengecoran</t>
  </si>
  <si>
    <t>Alat blm bisa kepasang masih proses urugan coran</t>
  </si>
  <si>
    <t>buat penampung air dari terpal</t>
  </si>
  <si>
    <t>dibantu team mg tono</t>
  </si>
  <si>
    <t>Rapihkan alat</t>
  </si>
  <si>
    <t>langsir alat ke titik pengeboran</t>
  </si>
  <si>
    <t>Loging test</t>
  </si>
  <si>
    <t>Proses pengeboran kedalaman 75 M mata PDC Pagoda 5"</t>
  </si>
  <si>
    <t>tinggal nunggu air dr clien</t>
  </si>
  <si>
    <t>Proses pengeboran kedalaman 70 M mata PDC Pagoda 5"</t>
  </si>
  <si>
    <t>Proses pengeboran kedalaman 67 M mata PDC Pagoda 5"</t>
  </si>
  <si>
    <t>Proses pengeboran kedalaman 10 M</t>
  </si>
  <si>
    <t>nyambung yg ke 7 batang cuma setiap nyambung kejepit, lobang nutup lagi di 6 batang</t>
  </si>
  <si>
    <t>isian coring jatuh mskin pdc baru 6 m</t>
  </si>
  <si>
    <t>perbaikan mesin gear box</t>
  </si>
  <si>
    <t>ambil poli gerbok di wa</t>
  </si>
  <si>
    <t xml:space="preserve">Team Pak </t>
  </si>
  <si>
    <t>Proses pengeboran kedalaman 12 M mata bor coring 6"</t>
  </si>
  <si>
    <t>Proses pengeboran kedalaman 15 M mata bor coring 6"</t>
  </si>
  <si>
    <t>lanjutkan lubang bekas pak iyus dengan coring 6 inch</t>
  </si>
  <si>
    <t>dinamo kebakar</t>
  </si>
  <si>
    <t>nunggu kiriman dinamo</t>
  </si>
  <si>
    <t>berdirikan menara, konek kabel ke panel &amp; buat spul bak</t>
  </si>
  <si>
    <t>seting alat dan buat spul bak</t>
  </si>
  <si>
    <t>Proses pengeboran kedalaman 80 M mata PDC Pagoda 5"</t>
  </si>
  <si>
    <t>lubang bor runtuh terus</t>
  </si>
  <si>
    <t>proses coring menuju 20 M lanjut pasang pipa konduktor 8"</t>
  </si>
  <si>
    <t>Langsir alat lanjut buat spul bak</t>
  </si>
  <si>
    <t>Proses pengeboran kedalaman 93 M mata bor PDC 5"</t>
  </si>
  <si>
    <t>nunggu dinamo</t>
  </si>
  <si>
    <t>Las  AS suwivel yg patah, lanjut malam bor pakai pdc yg bekas di coring</t>
  </si>
  <si>
    <t>Cirinten</t>
  </si>
  <si>
    <t>Cibaliung ( Iyus )</t>
  </si>
  <si>
    <t>Pasir Walet (Jaman)</t>
  </si>
  <si>
    <t>Pasir Kadu (Jenal)</t>
  </si>
  <si>
    <t>Kandang Ayam Sukabumi (Epul)</t>
  </si>
  <si>
    <t>Kalimantan (Dayat)</t>
  </si>
  <si>
    <t>PT SKI (Maman)</t>
  </si>
  <si>
    <t>PT. COSMAX (Solikin)</t>
  </si>
  <si>
    <t>Ciomas (Amin)</t>
  </si>
  <si>
    <t>Cigeulis (Jendi)</t>
  </si>
  <si>
    <t>Compressor 750 CFM 20 bar</t>
  </si>
  <si>
    <t>Team Jaman/irfan</t>
  </si>
  <si>
    <t>Cor kolom dan balok elv. 300 cm udah selesai.</t>
  </si>
  <si>
    <t>Pek. Selanjutnya pengerjaan kolom elv. 600 cm.</t>
  </si>
  <si>
    <t>Masih dalam perakitan sambil ngelangsir barang</t>
  </si>
  <si>
    <t>Proses reaming 6" baru dikedalaman 30 M</t>
  </si>
  <si>
    <t>lanjut coring masukin pipa conduktor 8" pengeboran DTH maru masuk 6 btg</t>
  </si>
  <si>
    <t>Proses pengeboran kedalaman 82 M mata PDC Pagoda 5"</t>
  </si>
  <si>
    <t>nyambung kabel yg putus kena axa</t>
  </si>
  <si>
    <t>Proses pengeboran  kedalaman 45 M</t>
  </si>
  <si>
    <t>Proses pengeboran  kedalaman 48 M</t>
  </si>
  <si>
    <t>proses pengeboran kedalaman 4.5 M mata bor coring 10"</t>
  </si>
  <si>
    <t>utk masukan pipa conduktor 10"</t>
  </si>
  <si>
    <t>genset gakuat harus diservice dulu</t>
  </si>
  <si>
    <t>Proses pengeboran kedalaman 16 M mata bor coring 6"</t>
  </si>
  <si>
    <t>seting alat selesai tinggal tunggu air</t>
  </si>
  <si>
    <t>pilot hole kedalaman 7 M mata bor belimbing 4-8 inch</t>
  </si>
  <si>
    <t>alat sudah berdiri tinggal di las, buat penampung air belum ada terpal &amp; kaso'y</t>
  </si>
  <si>
    <t>Proses pengeboran  kedalaman 51 M</t>
  </si>
  <si>
    <t>pilot hole kedalaman 3.06 M</t>
  </si>
  <si>
    <t>formasi pasiran putih</t>
  </si>
  <si>
    <t>Proses pengeboran kedalaman 17 M mata bor coring 6"</t>
  </si>
  <si>
    <t>pilot hole kedalaman 9 M mata bit dth 8 inch</t>
  </si>
  <si>
    <t>Proses pengeboran kedalaman 86 M mata PDC Pagoda 5"</t>
  </si>
  <si>
    <t>cabut pipa conduktor, lanjut reaming mata bor coring 8" masuk 5 batang</t>
  </si>
  <si>
    <t>Proses reaming 6" baru dikedalaman 35 M</t>
  </si>
  <si>
    <t>waterlos</t>
  </si>
  <si>
    <t>Proses pengeboran kedalaman 40 M</t>
  </si>
  <si>
    <t>besok akalin stang bor yang patah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</si>
</sst>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3809]dd\ mmmm\ yyyy;@"/>
    <numFmt numFmtId="165" formatCode="[$-13809]dddd\,\ dd\ mmmm\ yyyy;@"/>
    <numFmt numFmtId="166" formatCode="[$-F800]dddd\,\ mmmm\ dd\,\ yyyy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0"/>
      <name val="Arial Black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A0A0A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7C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6">
    <xf numFmtId="0" fontId="0" fillId="0" borderId="0" xfId="0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164" fontId="0" fillId="0" borderId="1" xfId="0" applyNumberFormat="1" applyBorder="1" applyAlignment="1">
      <alignment horizontal="left"/>
    </xf>
    <xf numFmtId="16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4" fontId="3" fillId="0" borderId="1" xfId="0" applyNumberFormat="1" applyFont="1" applyBorder="1"/>
    <xf numFmtId="0" fontId="3" fillId="0" borderId="1" xfId="0" applyFont="1" applyBorder="1"/>
    <xf numFmtId="16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15" fontId="0" fillId="0" borderId="1" xfId="0" applyNumberFormat="1" applyBorder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2" borderId="1" xfId="0" applyFill="1" applyBorder="1"/>
    <xf numFmtId="0" fontId="0" fillId="0" borderId="3" xfId="0" applyBorder="1"/>
    <xf numFmtId="0" fontId="0" fillId="0" borderId="4" xfId="0" applyBorder="1"/>
    <xf numFmtId="15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right"/>
    </xf>
    <xf numFmtId="0" fontId="5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164" fontId="0" fillId="0" borderId="1" xfId="0" applyNumberForma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top"/>
    </xf>
    <xf numFmtId="0" fontId="0" fillId="0" borderId="2" xfId="0" applyBorder="1" applyAlignment="1">
      <alignment horizontal="center"/>
    </xf>
    <xf numFmtId="164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top"/>
    </xf>
    <xf numFmtId="0" fontId="9" fillId="4" borderId="1" xfId="0" applyFont="1" applyFill="1" applyBorder="1" applyAlignment="1">
      <alignment horizontal="center"/>
    </xf>
    <xf numFmtId="0" fontId="9" fillId="3" borderId="1" xfId="0" applyFont="1" applyFill="1" applyBorder="1"/>
    <xf numFmtId="9" fontId="9" fillId="3" borderId="1" xfId="0" applyNumberFormat="1" applyFont="1" applyFill="1" applyBorder="1" applyAlignment="1">
      <alignment horizontal="center"/>
    </xf>
    <xf numFmtId="0" fontId="9" fillId="3" borderId="9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8" fillId="5" borderId="15" xfId="0" applyFont="1" applyFill="1" applyBorder="1" applyAlignment="1">
      <alignment horizontal="center" vertical="center" wrapText="1"/>
    </xf>
    <xf numFmtId="0" fontId="8" fillId="5" borderId="16" xfId="0" applyFont="1" applyFill="1" applyBorder="1" applyAlignment="1">
      <alignment horizontal="center" vertical="center" wrapText="1"/>
    </xf>
    <xf numFmtId="0" fontId="8" fillId="5" borderId="16" xfId="0" applyFont="1" applyFill="1" applyBorder="1" applyAlignment="1">
      <alignment vertical="center" wrapText="1"/>
    </xf>
    <xf numFmtId="0" fontId="8" fillId="5" borderId="17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vertical="top"/>
    </xf>
    <xf numFmtId="0" fontId="10" fillId="6" borderId="1" xfId="0" applyFont="1" applyFill="1" applyBorder="1"/>
    <xf numFmtId="0" fontId="0" fillId="0" borderId="1" xfId="0" applyBorder="1" applyAlignment="1">
      <alignment horizontal="right" vertical="top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9" fillId="7" borderId="9" xfId="0" applyFont="1" applyFill="1" applyBorder="1" applyAlignment="1">
      <alignment horizontal="center" vertical="center"/>
    </xf>
    <xf numFmtId="0" fontId="9" fillId="7" borderId="1" xfId="0" applyFont="1" applyFill="1" applyBorder="1"/>
    <xf numFmtId="0" fontId="9" fillId="7" borderId="1" xfId="0" quotePrefix="1" applyFont="1" applyFill="1" applyBorder="1"/>
    <xf numFmtId="9" fontId="9" fillId="7" borderId="1" xfId="0" applyNumberFormat="1" applyFont="1" applyFill="1" applyBorder="1" applyAlignment="1">
      <alignment horizontal="center"/>
    </xf>
    <xf numFmtId="0" fontId="9" fillId="7" borderId="1" xfId="0" applyFont="1" applyFill="1" applyBorder="1" applyAlignment="1">
      <alignment horizontal="center"/>
    </xf>
    <xf numFmtId="0" fontId="9" fillId="7" borderId="10" xfId="0" applyFont="1" applyFill="1" applyBorder="1" applyAlignment="1">
      <alignment horizontal="center"/>
    </xf>
    <xf numFmtId="0" fontId="9" fillId="7" borderId="1" xfId="0" quotePrefix="1" applyFont="1" applyFill="1" applyBorder="1" applyAlignment="1">
      <alignment horizontal="center"/>
    </xf>
    <xf numFmtId="0" fontId="9" fillId="7" borderId="1" xfId="0" applyFont="1" applyFill="1" applyBorder="1" applyAlignment="1">
      <alignment horizontal="left"/>
    </xf>
    <xf numFmtId="0" fontId="9" fillId="7" borderId="11" xfId="0" applyFont="1" applyFill="1" applyBorder="1"/>
    <xf numFmtId="0" fontId="9" fillId="7" borderId="11" xfId="0" quotePrefix="1" applyFont="1" applyFill="1" applyBorder="1"/>
    <xf numFmtId="9" fontId="9" fillId="7" borderId="11" xfId="0" applyNumberFormat="1" applyFont="1" applyFill="1" applyBorder="1" applyAlignment="1">
      <alignment horizontal="center"/>
    </xf>
    <xf numFmtId="0" fontId="9" fillId="7" borderId="11" xfId="0" applyFont="1" applyFill="1" applyBorder="1" applyAlignment="1">
      <alignment horizontal="center"/>
    </xf>
    <xf numFmtId="0" fontId="0" fillId="7" borderId="1" xfId="0" applyFill="1" applyBorder="1"/>
    <xf numFmtId="0" fontId="0" fillId="7" borderId="1" xfId="0" quotePrefix="1" applyFill="1" applyBorder="1"/>
    <xf numFmtId="0" fontId="0" fillId="7" borderId="1" xfId="0" applyFill="1" applyBorder="1" applyAlignment="1">
      <alignment horizontal="center"/>
    </xf>
    <xf numFmtId="0" fontId="0" fillId="3" borderId="1" xfId="0" quotePrefix="1" applyFill="1" applyBorder="1"/>
    <xf numFmtId="0" fontId="0" fillId="3" borderId="0" xfId="0" applyFill="1"/>
    <xf numFmtId="164" fontId="0" fillId="0" borderId="1" xfId="0" applyNumberFormat="1" applyBorder="1" applyAlignment="1">
      <alignment horizontal="right"/>
    </xf>
    <xf numFmtId="164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center"/>
    </xf>
    <xf numFmtId="0" fontId="9" fillId="7" borderId="3" xfId="0" applyFont="1" applyFill="1" applyBorder="1"/>
    <xf numFmtId="0" fontId="9" fillId="7" borderId="3" xfId="0" quotePrefix="1" applyFont="1" applyFill="1" applyBorder="1"/>
    <xf numFmtId="9" fontId="9" fillId="7" borderId="3" xfId="0" applyNumberFormat="1" applyFont="1" applyFill="1" applyBorder="1" applyAlignment="1">
      <alignment horizontal="center"/>
    </xf>
    <xf numFmtId="0" fontId="9" fillId="7" borderId="3" xfId="0" applyFont="1" applyFill="1" applyBorder="1" applyAlignment="1">
      <alignment horizontal="center"/>
    </xf>
    <xf numFmtId="14" fontId="9" fillId="7" borderId="1" xfId="0" applyNumberFormat="1" applyFont="1" applyFill="1" applyBorder="1" applyAlignment="1">
      <alignment horizontal="center"/>
    </xf>
    <xf numFmtId="0" fontId="9" fillId="8" borderId="9" xfId="0" applyFont="1" applyFill="1" applyBorder="1" applyAlignment="1">
      <alignment horizontal="center" vertical="center"/>
    </xf>
    <xf numFmtId="0" fontId="0" fillId="8" borderId="1" xfId="0" applyFill="1" applyBorder="1"/>
    <xf numFmtId="0" fontId="0" fillId="8" borderId="1" xfId="0" quotePrefix="1" applyFill="1" applyBorder="1"/>
    <xf numFmtId="0" fontId="9" fillId="8" borderId="1" xfId="0" applyFont="1" applyFill="1" applyBorder="1"/>
    <xf numFmtId="9" fontId="9" fillId="8" borderId="1" xfId="0" applyNumberFormat="1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9" fillId="8" borderId="1" xfId="0" applyFont="1" applyFill="1" applyBorder="1" applyAlignment="1">
      <alignment horizontal="center"/>
    </xf>
    <xf numFmtId="0" fontId="0" fillId="0" borderId="19" xfId="0" applyBorder="1"/>
    <xf numFmtId="0" fontId="8" fillId="5" borderId="16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8" fillId="5" borderId="2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0" fontId="9" fillId="7" borderId="1" xfId="0" applyFont="1" applyFill="1" applyBorder="1" applyAlignment="1">
      <alignment horizontal="center" vertical="center"/>
    </xf>
    <xf numFmtId="0" fontId="9" fillId="7" borderId="11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4" fontId="0" fillId="7" borderId="1" xfId="0" applyNumberFormat="1" applyFill="1" applyBorder="1" applyAlignment="1">
      <alignment horizontal="center"/>
    </xf>
    <xf numFmtId="0" fontId="9" fillId="8" borderId="10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left" vertical="center"/>
    </xf>
    <xf numFmtId="9" fontId="9" fillId="0" borderId="1" xfId="0" applyNumberFormat="1" applyFont="1" applyBorder="1" applyAlignment="1">
      <alignment horizontal="center"/>
    </xf>
    <xf numFmtId="0" fontId="8" fillId="5" borderId="7" xfId="0" applyFont="1" applyFill="1" applyBorder="1" applyAlignment="1">
      <alignment horizontal="center" wrapText="1"/>
    </xf>
    <xf numFmtId="0" fontId="0" fillId="8" borderId="10" xfId="0" applyFill="1" applyBorder="1" applyAlignment="1">
      <alignment horizontal="center"/>
    </xf>
    <xf numFmtId="0" fontId="9" fillId="0" borderId="9" xfId="0" applyFont="1" applyBorder="1" applyAlignment="1">
      <alignment horizontal="center" vertical="center"/>
    </xf>
    <xf numFmtId="0" fontId="0" fillId="10" borderId="1" xfId="0" applyFill="1" applyBorder="1"/>
    <xf numFmtId="0" fontId="0" fillId="6" borderId="1" xfId="0" applyFill="1" applyBorder="1" applyAlignment="1">
      <alignment wrapText="1"/>
    </xf>
    <xf numFmtId="0" fontId="13" fillId="0" borderId="0" xfId="0" applyFont="1"/>
    <xf numFmtId="0" fontId="5" fillId="0" borderId="1" xfId="0" applyFont="1" applyBorder="1"/>
    <xf numFmtId="0" fontId="0" fillId="0" borderId="1" xfId="0" applyBorder="1" applyAlignment="1">
      <alignment vertical="top" wrapText="1"/>
    </xf>
    <xf numFmtId="0" fontId="0" fillId="0" borderId="0" xfId="0" applyAlignment="1">
      <alignment vertical="top"/>
    </xf>
    <xf numFmtId="0" fontId="9" fillId="8" borderId="1" xfId="0" quotePrefix="1" applyFont="1" applyFill="1" applyBorder="1"/>
    <xf numFmtId="0" fontId="9" fillId="8" borderId="1" xfId="0" applyFont="1" applyFill="1" applyBorder="1" applyAlignment="1">
      <alignment horizontal="left"/>
    </xf>
    <xf numFmtId="2" fontId="0" fillId="0" borderId="1" xfId="0" applyNumberFormat="1" applyBorder="1" applyAlignment="1">
      <alignment horizontal="center"/>
    </xf>
    <xf numFmtId="2" fontId="0" fillId="0" borderId="1" xfId="0" applyNumberFormat="1" applyBorder="1"/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right"/>
    </xf>
    <xf numFmtId="0" fontId="14" fillId="0" borderId="0" xfId="0" applyFont="1" applyAlignment="1">
      <alignment horizontal="center"/>
    </xf>
    <xf numFmtId="0" fontId="0" fillId="0" borderId="0" xfId="0" quotePrefix="1"/>
    <xf numFmtId="164" fontId="0" fillId="3" borderId="1" xfId="0" applyNumberFormat="1" applyFill="1" applyBorder="1" applyAlignment="1">
      <alignment horizontal="left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/>
    </xf>
    <xf numFmtId="0" fontId="0" fillId="11" borderId="1" xfId="0" applyFill="1" applyBorder="1"/>
    <xf numFmtId="0" fontId="0" fillId="11" borderId="1" xfId="0" applyFill="1" applyBorder="1" applyAlignment="1">
      <alignment horizontal="center"/>
    </xf>
    <xf numFmtId="0" fontId="9" fillId="7" borderId="0" xfId="0" applyFont="1" applyFill="1"/>
    <xf numFmtId="0" fontId="9" fillId="7" borderId="11" xfId="0" quotePrefix="1" applyFont="1" applyFill="1" applyBorder="1" applyAlignment="1">
      <alignment horizontal="center"/>
    </xf>
    <xf numFmtId="0" fontId="9" fillId="8" borderId="10" xfId="0" applyFont="1" applyFill="1" applyBorder="1" applyAlignment="1">
      <alignment horizontal="left"/>
    </xf>
    <xf numFmtId="0" fontId="9" fillId="7" borderId="12" xfId="0" applyFont="1" applyFill="1" applyBorder="1" applyAlignment="1">
      <alignment horizontal="center"/>
    </xf>
    <xf numFmtId="0" fontId="9" fillId="7" borderId="18" xfId="0" applyFont="1" applyFill="1" applyBorder="1" applyAlignment="1">
      <alignment horizontal="center"/>
    </xf>
    <xf numFmtId="0" fontId="9" fillId="7" borderId="13" xfId="0" applyFont="1" applyFill="1" applyBorder="1" applyAlignment="1">
      <alignment horizontal="center" vertical="center"/>
    </xf>
    <xf numFmtId="0" fontId="9" fillId="7" borderId="4" xfId="0" applyFont="1" applyFill="1" applyBorder="1"/>
    <xf numFmtId="0" fontId="9" fillId="7" borderId="4" xfId="0" quotePrefix="1" applyFont="1" applyFill="1" applyBorder="1"/>
    <xf numFmtId="0" fontId="0" fillId="7" borderId="4" xfId="0" applyFill="1" applyBorder="1"/>
    <xf numFmtId="0" fontId="0" fillId="7" borderId="4" xfId="0" applyFill="1" applyBorder="1" applyAlignment="1">
      <alignment horizontal="center" vertical="center"/>
    </xf>
    <xf numFmtId="0" fontId="0" fillId="7" borderId="4" xfId="0" applyFill="1" applyBorder="1" applyAlignment="1">
      <alignment horizontal="center"/>
    </xf>
    <xf numFmtId="9" fontId="9" fillId="7" borderId="4" xfId="0" applyNumberFormat="1" applyFont="1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5" fillId="3" borderId="1" xfId="0" applyFont="1" applyFill="1" applyBorder="1"/>
    <xf numFmtId="0" fontId="0" fillId="0" borderId="1" xfId="0" quotePrefix="1" applyBorder="1"/>
    <xf numFmtId="0" fontId="15" fillId="0" borderId="0" xfId="0" applyFont="1"/>
    <xf numFmtId="165" fontId="5" fillId="3" borderId="1" xfId="0" applyNumberFormat="1" applyFont="1" applyFill="1" applyBorder="1"/>
    <xf numFmtId="165" fontId="2" fillId="2" borderId="1" xfId="0" applyNumberFormat="1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left"/>
    </xf>
    <xf numFmtId="165" fontId="0" fillId="0" borderId="0" xfId="0" applyNumberFormat="1"/>
    <xf numFmtId="0" fontId="2" fillId="10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0" xfId="0" quotePrefix="1" applyAlignment="1">
      <alignment horizontal="center"/>
    </xf>
    <xf numFmtId="166" fontId="0" fillId="0" borderId="1" xfId="0" applyNumberFormat="1" applyBorder="1" applyAlignment="1">
      <alignment horizontal="left"/>
    </xf>
    <xf numFmtId="164" fontId="0" fillId="6" borderId="1" xfId="0" applyNumberFormat="1" applyFill="1" applyBorder="1" applyAlignment="1">
      <alignment horizontal="left"/>
    </xf>
    <xf numFmtId="0" fontId="0" fillId="6" borderId="0" xfId="0" applyFill="1"/>
    <xf numFmtId="0" fontId="5" fillId="12" borderId="1" xfId="0" applyFont="1" applyFill="1" applyBorder="1"/>
    <xf numFmtId="165" fontId="0" fillId="0" borderId="1" xfId="0" applyNumberFormat="1" applyBorder="1"/>
    <xf numFmtId="0" fontId="0" fillId="3" borderId="0" xfId="0" applyFill="1" applyAlignment="1">
      <alignment horizontal="center"/>
    </xf>
    <xf numFmtId="0" fontId="0" fillId="6" borderId="1" xfId="0" applyFill="1" applyBorder="1" applyAlignment="1">
      <alignment vertical="top" wrapText="1"/>
    </xf>
    <xf numFmtId="164" fontId="0" fillId="6" borderId="1" xfId="0" applyNumberFormat="1" applyFill="1" applyBorder="1" applyAlignment="1">
      <alignment horizontal="left" vertical="top"/>
    </xf>
    <xf numFmtId="164" fontId="0" fillId="6" borderId="1" xfId="0" applyNumberFormat="1" applyFill="1" applyBorder="1" applyAlignment="1">
      <alignment horizontal="left" vertical="center"/>
    </xf>
    <xf numFmtId="14" fontId="0" fillId="0" borderId="0" xfId="0" applyNumberFormat="1" applyAlignment="1">
      <alignment horizontal="center"/>
    </xf>
    <xf numFmtId="4" fontId="0" fillId="0" borderId="0" xfId="0" applyNumberFormat="1"/>
    <xf numFmtId="14" fontId="0" fillId="0" borderId="0" xfId="0" applyNumberFormat="1"/>
    <xf numFmtId="164" fontId="0" fillId="0" borderId="0" xfId="0" applyNumberFormat="1" applyAlignment="1">
      <alignment horizontal="center"/>
    </xf>
    <xf numFmtId="0" fontId="0" fillId="10" borderId="0" xfId="0" applyFill="1"/>
    <xf numFmtId="0" fontId="5" fillId="13" borderId="1" xfId="0" applyFont="1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6" fontId="0" fillId="0" borderId="1" xfId="0" quotePrefix="1" applyNumberFormat="1" applyBorder="1" applyAlignment="1">
      <alignment horizontal="center"/>
    </xf>
    <xf numFmtId="164" fontId="0" fillId="6" borderId="3" xfId="0" applyNumberFormat="1" applyFill="1" applyBorder="1" applyAlignment="1">
      <alignment horizontal="left"/>
    </xf>
    <xf numFmtId="0" fontId="14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8" fillId="5" borderId="7" xfId="0" applyFont="1" applyFill="1" applyBorder="1" applyAlignment="1">
      <alignment horizontal="center" vertical="center" wrapText="1"/>
    </xf>
    <xf numFmtId="0" fontId="8" fillId="5" borderId="20" xfId="0" applyFont="1" applyFill="1" applyBorder="1" applyAlignment="1">
      <alignment horizontal="center" vertical="center" wrapText="1"/>
    </xf>
    <xf numFmtId="0" fontId="8" fillId="5" borderId="22" xfId="0" applyFont="1" applyFill="1" applyBorder="1" applyAlignment="1">
      <alignment horizontal="center" vertical="center" wrapText="1"/>
    </xf>
    <xf numFmtId="0" fontId="8" fillId="5" borderId="2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64" fontId="5" fillId="6" borderId="23" xfId="0" applyNumberFormat="1" applyFont="1" applyFill="1" applyBorder="1" applyAlignment="1">
      <alignment horizontal="center"/>
    </xf>
    <xf numFmtId="164" fontId="5" fillId="6" borderId="19" xfId="0" applyNumberFormat="1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4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00B050"/>
          <bgColor rgb="FF000000"/>
        </patternFill>
      </fill>
    </dxf>
    <dxf>
      <fill>
        <patternFill patternType="solid">
          <fgColor rgb="FFC65911"/>
          <bgColor rgb="FF000000"/>
        </patternFill>
      </fill>
    </dxf>
  </dxfs>
  <tableStyles count="0" defaultTableStyle="TableStyleMedium2" defaultPivotStyle="PivotStyleLight16"/>
  <colors>
    <mruColors>
      <color rgb="FFFFFFFF"/>
      <color rgb="FF48FA9D"/>
      <color rgb="FF15FF7F"/>
      <color rgb="FF47C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144" Type="http://schemas.openxmlformats.org/officeDocument/2006/relationships/worksheet" Target="worksheets/sheet144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55" Type="http://schemas.openxmlformats.org/officeDocument/2006/relationships/theme" Target="theme/theme1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53" Type="http://schemas.openxmlformats.org/officeDocument/2006/relationships/worksheet" Target="worksheets/sheet15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51" Type="http://schemas.openxmlformats.org/officeDocument/2006/relationships/worksheet" Target="worksheets/sheet151.xml"/><Relationship Id="rId156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sharedStrings" Target="sharedString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438150</xdr:colOff>
      <xdr:row>296</xdr:row>
      <xdr:rowOff>19050</xdr:rowOff>
    </xdr:from>
    <xdr:ext cx="2198676" cy="399405"/>
    <xdr:sp macro="" textlink="">
      <xdr:nvSpPr>
        <xdr:cNvPr id="4" name="Persegi Panjang 3">
          <a:extLst>
            <a:ext uri="{FF2B5EF4-FFF2-40B4-BE49-F238E27FC236}">
              <a16:creationId xmlns:a16="http://schemas.microsoft.com/office/drawing/2014/main" id="{8F16474C-AB33-43F7-BB71-C3439930EB30}"/>
            </a:ext>
          </a:extLst>
        </xdr:cNvPr>
        <xdr:cNvSpPr/>
      </xdr:nvSpPr>
      <xdr:spPr>
        <a:xfrm>
          <a:off x="6981825" y="59312175"/>
          <a:ext cx="2198676" cy="399405"/>
        </a:xfrm>
        <a:prstGeom prst="rect">
          <a:avLst/>
        </a:prstGeom>
        <a:solidFill>
          <a:schemeClr val="bg2">
            <a:lumMod val="75000"/>
          </a:schemeClr>
        </a:solidFill>
        <a:ln>
          <a:solidFill>
            <a:srgbClr val="FF0000"/>
          </a:solidFill>
        </a:ln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wrap="square" lIns="91440" tIns="45720" rIns="91440" bIns="45720">
          <a:spAutoFit/>
        </a:bodyPr>
        <a:lstStyle/>
        <a:p>
          <a:pPr algn="ctr"/>
          <a:r>
            <a:rPr lang="en-US" sz="2000" b="1" cap="none" spc="0">
              <a:ln w="6600">
                <a:solidFill>
                  <a:schemeClr val="accent2"/>
                </a:solidFill>
                <a:prstDash val="solid"/>
              </a:ln>
              <a:solidFill>
                <a:srgbClr val="FF0000"/>
              </a:solidFill>
              <a:effectLst>
                <a:outerShdw dist="38100" dir="2700000" algn="tl" rotWithShape="0">
                  <a:schemeClr val="accent2"/>
                </a:outerShdw>
              </a:effectLst>
              <a:latin typeface="Agency FB" panose="020B0503020202020204" pitchFamily="34" charset="0"/>
            </a:rPr>
            <a:t>Sudah</a:t>
          </a:r>
          <a:r>
            <a:rPr lang="en-US" sz="2000" b="1" cap="none" spc="0" baseline="0">
              <a:ln w="6600">
                <a:solidFill>
                  <a:schemeClr val="accent2"/>
                </a:solidFill>
                <a:prstDash val="solid"/>
              </a:ln>
              <a:solidFill>
                <a:srgbClr val="FF0000"/>
              </a:solidFill>
              <a:effectLst>
                <a:outerShdw dist="38100" dir="2700000" algn="tl" rotWithShape="0">
                  <a:schemeClr val="accent2"/>
                </a:outerShdw>
              </a:effectLst>
              <a:latin typeface="Agency FB" panose="020B0503020202020204" pitchFamily="34" charset="0"/>
            </a:rPr>
            <a:t> Done</a:t>
          </a:r>
          <a:endParaRPr lang="id-ID" sz="2000" b="1" cap="none" spc="0">
            <a:ln w="6600">
              <a:solidFill>
                <a:schemeClr val="accent2"/>
              </a:solidFill>
              <a:prstDash val="solid"/>
            </a:ln>
            <a:solidFill>
              <a:srgbClr val="FF0000"/>
            </a:solidFill>
            <a:effectLst>
              <a:outerShdw dist="38100" dir="2700000" algn="tl" rotWithShape="0">
                <a:schemeClr val="accent2"/>
              </a:outerShdw>
            </a:effectLst>
            <a:latin typeface="Agency FB" panose="020B0503020202020204" pitchFamily="34" charset="0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304800</xdr:colOff>
      <xdr:row>174</xdr:row>
      <xdr:rowOff>47625</xdr:rowOff>
    </xdr:from>
    <xdr:ext cx="2198676" cy="399405"/>
    <xdr:sp macro="" textlink="">
      <xdr:nvSpPr>
        <xdr:cNvPr id="2" name="Persegi Panjang 1">
          <a:extLst>
            <a:ext uri="{FF2B5EF4-FFF2-40B4-BE49-F238E27FC236}">
              <a16:creationId xmlns:a16="http://schemas.microsoft.com/office/drawing/2014/main" id="{4090DCF2-DA18-45E9-9E34-9637C7F44C03}"/>
            </a:ext>
          </a:extLst>
        </xdr:cNvPr>
        <xdr:cNvSpPr/>
      </xdr:nvSpPr>
      <xdr:spPr>
        <a:xfrm>
          <a:off x="6915150" y="34347150"/>
          <a:ext cx="2198676" cy="399405"/>
        </a:xfrm>
        <a:prstGeom prst="rect">
          <a:avLst/>
        </a:prstGeom>
        <a:solidFill>
          <a:schemeClr val="bg2">
            <a:lumMod val="75000"/>
          </a:schemeClr>
        </a:solidFill>
        <a:ln>
          <a:solidFill>
            <a:srgbClr val="FF0000"/>
          </a:solidFill>
        </a:ln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wrap="square" lIns="91440" tIns="45720" rIns="91440" bIns="45720">
          <a:spAutoFit/>
        </a:bodyPr>
        <a:lstStyle/>
        <a:p>
          <a:pPr algn="ctr"/>
          <a:r>
            <a:rPr lang="en-US" sz="2000" b="1" cap="none" spc="0">
              <a:ln w="6600">
                <a:solidFill>
                  <a:schemeClr val="accent2"/>
                </a:solidFill>
                <a:prstDash val="solid"/>
              </a:ln>
              <a:solidFill>
                <a:srgbClr val="FF0000"/>
              </a:solidFill>
              <a:effectLst>
                <a:outerShdw dist="38100" dir="2700000" algn="tl" rotWithShape="0">
                  <a:schemeClr val="accent2"/>
                </a:outerShdw>
              </a:effectLst>
              <a:latin typeface="Agency FB" panose="020B0503020202020204" pitchFamily="34" charset="0"/>
            </a:rPr>
            <a:t>Sudah</a:t>
          </a:r>
          <a:r>
            <a:rPr lang="en-US" sz="2000" b="1" cap="none" spc="0" baseline="0">
              <a:ln w="6600">
                <a:solidFill>
                  <a:schemeClr val="accent2"/>
                </a:solidFill>
                <a:prstDash val="solid"/>
              </a:ln>
              <a:solidFill>
                <a:srgbClr val="FF0000"/>
              </a:solidFill>
              <a:effectLst>
                <a:outerShdw dist="38100" dir="2700000" algn="tl" rotWithShape="0">
                  <a:schemeClr val="accent2"/>
                </a:outerShdw>
              </a:effectLst>
              <a:latin typeface="Agency FB" panose="020B0503020202020204" pitchFamily="34" charset="0"/>
            </a:rPr>
            <a:t> Done</a:t>
          </a:r>
          <a:endParaRPr lang="id-ID" sz="2000" b="1" cap="none" spc="0">
            <a:ln w="6600">
              <a:solidFill>
                <a:schemeClr val="accent2"/>
              </a:solidFill>
              <a:prstDash val="solid"/>
            </a:ln>
            <a:solidFill>
              <a:srgbClr val="FF0000"/>
            </a:solidFill>
            <a:effectLst>
              <a:outerShdw dist="38100" dir="2700000" algn="tl" rotWithShape="0">
                <a:schemeClr val="accent2"/>
              </a:outerShdw>
            </a:effectLst>
            <a:latin typeface="Agency FB" panose="020B0503020202020204" pitchFamily="34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0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6831A-84DD-463E-8485-072FCDE83432}">
  <dimension ref="A1:K41"/>
  <sheetViews>
    <sheetView topLeftCell="B1" workbookViewId="0">
      <pane ySplit="1" topLeftCell="A21" activePane="bottomLeft" state="frozen"/>
      <selection pane="bottomLeft" activeCell="D39" sqref="D39"/>
    </sheetView>
  </sheetViews>
  <sheetFormatPr defaultRowHeight="15" x14ac:dyDescent="0.25"/>
  <cols>
    <col min="1" max="1" width="9.140625" style="27"/>
    <col min="2" max="2" width="46.85546875" customWidth="1"/>
    <col min="3" max="3" width="24.85546875" customWidth="1"/>
    <col min="4" max="4" width="23.5703125" style="27" bestFit="1" customWidth="1"/>
    <col min="5" max="5" width="11.5703125" style="27" bestFit="1" customWidth="1"/>
    <col min="6" max="6" width="13.140625" style="27" customWidth="1"/>
    <col min="7" max="7" width="13.7109375" style="27" customWidth="1"/>
    <col min="8" max="8" width="20.7109375" style="27" bestFit="1" customWidth="1"/>
    <col min="9" max="11" width="9.140625" style="24"/>
  </cols>
  <sheetData>
    <row r="1" spans="1:8" x14ac:dyDescent="0.25">
      <c r="A1" s="169" t="s">
        <v>7815</v>
      </c>
      <c r="B1" s="169" t="s">
        <v>7816</v>
      </c>
      <c r="C1" s="169" t="s">
        <v>7817</v>
      </c>
      <c r="D1" s="169" t="s">
        <v>1092</v>
      </c>
      <c r="E1" s="169" t="s">
        <v>7927</v>
      </c>
      <c r="F1" s="169" t="s">
        <v>7919</v>
      </c>
      <c r="G1" s="169" t="s">
        <v>7920</v>
      </c>
      <c r="H1" s="169" t="s">
        <v>939</v>
      </c>
    </row>
    <row r="2" spans="1:8" x14ac:dyDescent="0.25">
      <c r="A2" s="170" t="s">
        <v>7818</v>
      </c>
      <c r="B2" s="2" t="s">
        <v>7819</v>
      </c>
      <c r="C2" s="23" t="s">
        <v>7820</v>
      </c>
      <c r="D2" s="170" t="s">
        <v>7441</v>
      </c>
      <c r="E2" s="170"/>
      <c r="F2" s="170"/>
      <c r="G2" s="170"/>
      <c r="H2" s="170"/>
    </row>
    <row r="3" spans="1:8" x14ac:dyDescent="0.25">
      <c r="A3" s="170" t="s">
        <v>7821</v>
      </c>
      <c r="B3" s="2" t="s">
        <v>7822</v>
      </c>
      <c r="C3" s="23" t="s">
        <v>7823</v>
      </c>
      <c r="D3" s="170" t="s">
        <v>7441</v>
      </c>
      <c r="E3" s="170"/>
      <c r="F3" s="170"/>
      <c r="G3" s="170"/>
      <c r="H3" s="170"/>
    </row>
    <row r="4" spans="1:8" x14ac:dyDescent="0.25">
      <c r="A4" s="170" t="s">
        <v>7824</v>
      </c>
      <c r="B4" s="2" t="s">
        <v>7825</v>
      </c>
      <c r="C4" s="23" t="s">
        <v>7826</v>
      </c>
      <c r="D4" s="170" t="s">
        <v>7441</v>
      </c>
      <c r="E4" s="170"/>
      <c r="F4" s="170"/>
      <c r="G4" s="170"/>
      <c r="H4" s="170"/>
    </row>
    <row r="5" spans="1:8" x14ac:dyDescent="0.25">
      <c r="A5" s="170" t="s">
        <v>7827</v>
      </c>
      <c r="B5" s="2" t="s">
        <v>7828</v>
      </c>
      <c r="C5" s="23" t="s">
        <v>7829</v>
      </c>
      <c r="D5" s="170" t="s">
        <v>7441</v>
      </c>
      <c r="E5" s="170"/>
      <c r="F5" s="170"/>
      <c r="G5" s="170"/>
      <c r="H5" s="170"/>
    </row>
    <row r="6" spans="1:8" x14ac:dyDescent="0.25">
      <c r="A6" s="170" t="s">
        <v>7830</v>
      </c>
      <c r="B6" s="2" t="s">
        <v>7831</v>
      </c>
      <c r="C6" s="23" t="s">
        <v>7832</v>
      </c>
      <c r="D6" s="170" t="s">
        <v>7441</v>
      </c>
      <c r="E6" s="170"/>
      <c r="F6" s="170"/>
      <c r="G6" s="170"/>
      <c r="H6" s="170"/>
    </row>
    <row r="7" spans="1:8" x14ac:dyDescent="0.25">
      <c r="A7" s="170" t="s">
        <v>7833</v>
      </c>
      <c r="B7" s="2" t="s">
        <v>7831</v>
      </c>
      <c r="C7" s="23" t="s">
        <v>7834</v>
      </c>
      <c r="D7" s="170" t="s">
        <v>7441</v>
      </c>
      <c r="E7" s="170"/>
      <c r="F7" s="170"/>
      <c r="G7" s="170"/>
      <c r="H7" s="170"/>
    </row>
    <row r="8" spans="1:8" x14ac:dyDescent="0.25">
      <c r="A8" s="170" t="s">
        <v>7835</v>
      </c>
      <c r="B8" s="2" t="s">
        <v>7831</v>
      </c>
      <c r="C8" s="23" t="s">
        <v>7836</v>
      </c>
      <c r="D8" s="170" t="s">
        <v>7441</v>
      </c>
      <c r="E8" s="170"/>
      <c r="F8" s="170"/>
      <c r="G8" s="170"/>
      <c r="H8" s="170"/>
    </row>
    <row r="9" spans="1:8" x14ac:dyDescent="0.25">
      <c r="A9" s="170" t="s">
        <v>7837</v>
      </c>
      <c r="B9" s="2" t="s">
        <v>7831</v>
      </c>
      <c r="C9" s="23" t="s">
        <v>7838</v>
      </c>
      <c r="D9" s="170" t="s">
        <v>7441</v>
      </c>
      <c r="E9" s="170"/>
      <c r="F9" s="170"/>
      <c r="G9" s="170"/>
      <c r="H9" s="170"/>
    </row>
    <row r="10" spans="1:8" x14ac:dyDescent="0.25">
      <c r="A10" s="170" t="s">
        <v>7839</v>
      </c>
      <c r="B10" s="2" t="s">
        <v>7840</v>
      </c>
      <c r="C10" s="23" t="s">
        <v>7841</v>
      </c>
      <c r="D10" s="170" t="s">
        <v>7441</v>
      </c>
      <c r="E10" s="170"/>
      <c r="F10" s="170"/>
      <c r="G10" s="170"/>
      <c r="H10" s="170"/>
    </row>
    <row r="11" spans="1:8" x14ac:dyDescent="0.25">
      <c r="A11" s="170" t="s">
        <v>7842</v>
      </c>
      <c r="B11" s="2" t="s">
        <v>7843</v>
      </c>
      <c r="C11" s="23" t="s">
        <v>7844</v>
      </c>
      <c r="D11" s="170" t="s">
        <v>8071</v>
      </c>
      <c r="E11" s="170">
        <v>24</v>
      </c>
      <c r="F11" s="170"/>
      <c r="G11" s="170"/>
      <c r="H11" s="170" t="s">
        <v>7930</v>
      </c>
    </row>
    <row r="12" spans="1:8" x14ac:dyDescent="0.25">
      <c r="A12" s="170" t="s">
        <v>7845</v>
      </c>
      <c r="B12" s="2" t="s">
        <v>7846</v>
      </c>
      <c r="C12" s="23" t="s">
        <v>7847</v>
      </c>
      <c r="D12" s="170" t="s">
        <v>8072</v>
      </c>
      <c r="E12" s="170"/>
      <c r="F12" s="170"/>
      <c r="G12" s="170"/>
      <c r="H12" s="170"/>
    </row>
    <row r="13" spans="1:8" x14ac:dyDescent="0.25">
      <c r="A13" s="170" t="s">
        <v>7848</v>
      </c>
      <c r="B13" s="2" t="s">
        <v>7849</v>
      </c>
      <c r="C13" s="23" t="s">
        <v>7850</v>
      </c>
      <c r="D13" s="170" t="s">
        <v>7441</v>
      </c>
      <c r="E13" s="170"/>
      <c r="F13" s="170"/>
      <c r="G13" s="170"/>
      <c r="H13" s="170"/>
    </row>
    <row r="14" spans="1:8" x14ac:dyDescent="0.25">
      <c r="A14" s="170" t="s">
        <v>7851</v>
      </c>
      <c r="B14" s="2" t="s">
        <v>7852</v>
      </c>
      <c r="C14" s="23" t="s">
        <v>7853</v>
      </c>
      <c r="D14" s="170" t="s">
        <v>7441</v>
      </c>
      <c r="E14" s="170"/>
      <c r="F14" s="170"/>
      <c r="G14" s="170"/>
      <c r="H14" s="170"/>
    </row>
    <row r="15" spans="1:8" x14ac:dyDescent="0.25">
      <c r="A15" s="170" t="s">
        <v>7854</v>
      </c>
      <c r="B15" s="2" t="s">
        <v>7855</v>
      </c>
      <c r="C15" s="23" t="s">
        <v>7856</v>
      </c>
      <c r="D15" s="170" t="s">
        <v>7441</v>
      </c>
      <c r="E15" s="170"/>
      <c r="F15" s="170"/>
      <c r="G15" s="170"/>
      <c r="H15" s="170" t="s">
        <v>7954</v>
      </c>
    </row>
    <row r="16" spans="1:8" x14ac:dyDescent="0.25">
      <c r="A16" s="170" t="s">
        <v>7857</v>
      </c>
      <c r="B16" s="2" t="s">
        <v>7858</v>
      </c>
      <c r="C16" s="23" t="s">
        <v>7859</v>
      </c>
      <c r="D16" s="170" t="s">
        <v>8073</v>
      </c>
      <c r="E16" s="170"/>
      <c r="F16" s="170"/>
      <c r="G16" s="170"/>
      <c r="H16" s="170"/>
    </row>
    <row r="17" spans="1:11" x14ac:dyDescent="0.25">
      <c r="A17" s="170" t="s">
        <v>7860</v>
      </c>
      <c r="B17" s="2" t="s">
        <v>7861</v>
      </c>
      <c r="C17" s="23" t="s">
        <v>7862</v>
      </c>
      <c r="D17" s="170" t="s">
        <v>8074</v>
      </c>
      <c r="E17" s="170">
        <v>45</v>
      </c>
      <c r="F17" s="170"/>
      <c r="G17" s="170"/>
      <c r="H17" s="170" t="s">
        <v>7922</v>
      </c>
      <c r="I17" s="24">
        <f>30*3</f>
        <v>90</v>
      </c>
      <c r="J17" s="24">
        <f>15*4.5</f>
        <v>67.5</v>
      </c>
      <c r="K17" s="24">
        <f>I17+J17</f>
        <v>157.5</v>
      </c>
    </row>
    <row r="18" spans="1:11" x14ac:dyDescent="0.25">
      <c r="A18" s="170" t="s">
        <v>7863</v>
      </c>
      <c r="B18" s="2" t="s">
        <v>7864</v>
      </c>
      <c r="C18" s="23" t="s">
        <v>7865</v>
      </c>
      <c r="D18" s="170" t="s">
        <v>7441</v>
      </c>
      <c r="E18" s="170"/>
      <c r="F18" s="170"/>
      <c r="G18" s="170"/>
      <c r="H18" s="170"/>
    </row>
    <row r="19" spans="1:11" x14ac:dyDescent="0.25">
      <c r="A19" s="170" t="s">
        <v>7866</v>
      </c>
      <c r="B19" s="2" t="s">
        <v>7867</v>
      </c>
      <c r="C19" s="23" t="s">
        <v>7868</v>
      </c>
      <c r="D19" s="170" t="s">
        <v>7441</v>
      </c>
      <c r="E19" s="170"/>
      <c r="F19" s="170"/>
      <c r="G19" s="170"/>
      <c r="H19" s="170"/>
    </row>
    <row r="20" spans="1:11" x14ac:dyDescent="0.25">
      <c r="A20" s="170" t="s">
        <v>7869</v>
      </c>
      <c r="B20" s="2" t="s">
        <v>7870</v>
      </c>
      <c r="C20" s="23" t="s">
        <v>7871</v>
      </c>
      <c r="D20" s="170" t="s">
        <v>7441</v>
      </c>
      <c r="E20" s="170"/>
      <c r="F20" s="170"/>
      <c r="G20" s="170"/>
      <c r="H20" s="170"/>
    </row>
    <row r="21" spans="1:11" x14ac:dyDescent="0.25">
      <c r="A21" s="170" t="s">
        <v>7872</v>
      </c>
      <c r="B21" s="2" t="s">
        <v>7873</v>
      </c>
      <c r="C21" s="23" t="s">
        <v>7874</v>
      </c>
      <c r="D21" s="170" t="s">
        <v>8075</v>
      </c>
      <c r="E21" s="170"/>
      <c r="F21" s="170"/>
      <c r="G21" s="170"/>
      <c r="H21" s="170"/>
    </row>
    <row r="22" spans="1:11" x14ac:dyDescent="0.25">
      <c r="A22" s="170" t="s">
        <v>7875</v>
      </c>
      <c r="B22" s="2" t="s">
        <v>7876</v>
      </c>
      <c r="C22" s="23" t="s">
        <v>7877</v>
      </c>
      <c r="D22" s="170" t="s">
        <v>8076</v>
      </c>
      <c r="E22" s="170"/>
      <c r="F22" s="170"/>
      <c r="G22" s="170"/>
      <c r="H22" s="170"/>
    </row>
    <row r="23" spans="1:11" x14ac:dyDescent="0.25">
      <c r="A23" s="170" t="s">
        <v>7878</v>
      </c>
      <c r="B23" s="2" t="s">
        <v>7879</v>
      </c>
      <c r="C23" s="23" t="s">
        <v>7880</v>
      </c>
      <c r="D23" s="170" t="s">
        <v>7441</v>
      </c>
      <c r="E23" s="170"/>
      <c r="F23" s="170"/>
      <c r="G23" s="170"/>
      <c r="H23" s="170"/>
    </row>
    <row r="24" spans="1:11" x14ac:dyDescent="0.25">
      <c r="A24" s="170" t="s">
        <v>7881</v>
      </c>
      <c r="B24" s="2" t="s">
        <v>7882</v>
      </c>
      <c r="C24" s="23" t="s">
        <v>7883</v>
      </c>
      <c r="D24" s="170" t="s">
        <v>7441</v>
      </c>
      <c r="E24" s="170"/>
      <c r="F24" s="170"/>
      <c r="G24" s="170"/>
      <c r="H24" s="170"/>
    </row>
    <row r="25" spans="1:11" x14ac:dyDescent="0.25">
      <c r="A25" s="170" t="s">
        <v>7884</v>
      </c>
      <c r="B25" s="2" t="s">
        <v>7885</v>
      </c>
      <c r="C25" s="23" t="s">
        <v>7886</v>
      </c>
      <c r="D25" s="170" t="s">
        <v>8077</v>
      </c>
      <c r="E25" s="170">
        <v>53</v>
      </c>
      <c r="F25" s="170" t="s">
        <v>7921</v>
      </c>
      <c r="G25" s="170"/>
      <c r="H25" s="170" t="s">
        <v>7929</v>
      </c>
    </row>
    <row r="26" spans="1:11" x14ac:dyDescent="0.25">
      <c r="A26" s="170" t="s">
        <v>7887</v>
      </c>
      <c r="B26" s="2" t="s">
        <v>7888</v>
      </c>
      <c r="C26" s="23" t="s">
        <v>7889</v>
      </c>
      <c r="D26" s="170" t="s">
        <v>8070</v>
      </c>
      <c r="E26" s="170"/>
      <c r="F26" s="170"/>
      <c r="G26" s="170"/>
      <c r="H26" s="170"/>
    </row>
    <row r="27" spans="1:11" x14ac:dyDescent="0.25">
      <c r="A27" s="170" t="s">
        <v>7890</v>
      </c>
      <c r="B27" s="2" t="s">
        <v>7876</v>
      </c>
      <c r="C27" s="23" t="s">
        <v>7891</v>
      </c>
      <c r="D27" s="170" t="s">
        <v>7441</v>
      </c>
      <c r="E27" s="170"/>
      <c r="F27" s="170"/>
      <c r="G27" s="170"/>
      <c r="H27" s="170"/>
    </row>
    <row r="28" spans="1:11" x14ac:dyDescent="0.25">
      <c r="A28" s="170" t="s">
        <v>7892</v>
      </c>
      <c r="B28" s="2" t="s">
        <v>7893</v>
      </c>
      <c r="C28" s="23" t="s">
        <v>7894</v>
      </c>
      <c r="D28" s="170" t="s">
        <v>7923</v>
      </c>
      <c r="E28" s="170" t="s">
        <v>7924</v>
      </c>
      <c r="F28" s="170"/>
      <c r="G28" s="170"/>
      <c r="H28" s="170"/>
      <c r="I28" s="24">
        <f>33*3</f>
        <v>99</v>
      </c>
    </row>
    <row r="29" spans="1:11" x14ac:dyDescent="0.25">
      <c r="A29" s="170" t="s">
        <v>7895</v>
      </c>
      <c r="B29" s="2" t="s">
        <v>7896</v>
      </c>
      <c r="C29" s="23" t="s">
        <v>7897</v>
      </c>
      <c r="D29" s="170" t="s">
        <v>8078</v>
      </c>
      <c r="E29" s="170">
        <v>0</v>
      </c>
      <c r="F29" s="170"/>
      <c r="G29" s="170"/>
      <c r="H29" s="170"/>
    </row>
    <row r="30" spans="1:11" x14ac:dyDescent="0.25">
      <c r="A30" s="170" t="s">
        <v>7898</v>
      </c>
      <c r="B30" s="2" t="s">
        <v>7899</v>
      </c>
      <c r="C30" s="23" t="s">
        <v>7900</v>
      </c>
      <c r="D30" s="170" t="s">
        <v>7441</v>
      </c>
      <c r="E30" s="170"/>
      <c r="F30" s="170"/>
      <c r="G30" s="170"/>
      <c r="H30" s="170"/>
    </row>
    <row r="31" spans="1:11" x14ac:dyDescent="0.25">
      <c r="A31" s="170" t="s">
        <v>7901</v>
      </c>
      <c r="B31" s="2" t="s">
        <v>7902</v>
      </c>
      <c r="C31" s="23" t="s">
        <v>7903</v>
      </c>
      <c r="D31" s="170" t="s">
        <v>7441</v>
      </c>
      <c r="E31" s="170"/>
      <c r="F31" s="170"/>
      <c r="G31" s="170"/>
      <c r="H31" s="170"/>
    </row>
    <row r="32" spans="1:11" x14ac:dyDescent="0.25">
      <c r="A32" s="170" t="s">
        <v>7904</v>
      </c>
      <c r="B32" s="2" t="s">
        <v>7905</v>
      </c>
      <c r="C32" s="23" t="s">
        <v>7906</v>
      </c>
      <c r="D32" s="170" t="s">
        <v>7441</v>
      </c>
      <c r="E32" s="170"/>
      <c r="F32" s="170"/>
      <c r="G32" s="170"/>
      <c r="H32" s="170"/>
    </row>
    <row r="33" spans="1:8" x14ac:dyDescent="0.25">
      <c r="A33" s="170" t="s">
        <v>7907</v>
      </c>
      <c r="B33" s="2" t="s">
        <v>7908</v>
      </c>
      <c r="C33" s="23" t="s">
        <v>7909</v>
      </c>
      <c r="D33" s="170" t="s">
        <v>8079</v>
      </c>
      <c r="E33" s="170"/>
      <c r="F33" s="170"/>
      <c r="G33" s="170"/>
      <c r="H33" s="170"/>
    </row>
    <row r="34" spans="1:8" x14ac:dyDescent="0.25">
      <c r="A34" s="170" t="s">
        <v>7910</v>
      </c>
      <c r="B34" s="2" t="s">
        <v>7911</v>
      </c>
      <c r="C34" s="23" t="s">
        <v>7912</v>
      </c>
      <c r="D34" s="170" t="s">
        <v>7925</v>
      </c>
      <c r="E34" s="170"/>
      <c r="F34" s="170"/>
      <c r="G34" s="170"/>
      <c r="H34" s="170" t="s">
        <v>7926</v>
      </c>
    </row>
    <row r="35" spans="1:8" x14ac:dyDescent="0.25">
      <c r="A35" s="170" t="s">
        <v>7913</v>
      </c>
      <c r="B35" s="2" t="s">
        <v>7914</v>
      </c>
      <c r="C35" s="23" t="s">
        <v>7915</v>
      </c>
      <c r="D35" s="170" t="s">
        <v>7441</v>
      </c>
      <c r="E35" s="170"/>
      <c r="F35" s="170"/>
      <c r="G35" s="170"/>
      <c r="H35" s="170"/>
    </row>
    <row r="36" spans="1:8" x14ac:dyDescent="0.25">
      <c r="A36" s="170" t="s">
        <v>7916</v>
      </c>
      <c r="B36" s="2" t="s">
        <v>7917</v>
      </c>
      <c r="C36" s="23" t="s">
        <v>7918</v>
      </c>
      <c r="D36" s="170" t="s">
        <v>7441</v>
      </c>
      <c r="E36" s="170"/>
      <c r="F36" s="170"/>
      <c r="G36" s="170"/>
      <c r="H36" s="170"/>
    </row>
    <row r="37" spans="1:8" x14ac:dyDescent="0.25">
      <c r="A37" s="170"/>
      <c r="B37" s="2" t="s">
        <v>7928</v>
      </c>
      <c r="C37" s="23"/>
      <c r="D37" s="170" t="s">
        <v>7923</v>
      </c>
      <c r="E37" s="170"/>
      <c r="F37" s="170"/>
      <c r="G37" s="170"/>
      <c r="H37" s="170"/>
    </row>
    <row r="38" spans="1:8" x14ac:dyDescent="0.25">
      <c r="A38" s="170"/>
      <c r="B38" s="2" t="s">
        <v>8080</v>
      </c>
      <c r="C38" s="23"/>
      <c r="D38" s="170" t="s">
        <v>8078</v>
      </c>
      <c r="E38" s="170"/>
      <c r="F38" s="170"/>
      <c r="G38" s="170"/>
      <c r="H38" s="170"/>
    </row>
    <row r="39" spans="1:8" x14ac:dyDescent="0.25">
      <c r="A39" s="25">
        <v>38</v>
      </c>
      <c r="B39" s="2" t="s">
        <v>7938</v>
      </c>
      <c r="C39" s="2"/>
      <c r="D39" s="25" t="s">
        <v>7441</v>
      </c>
      <c r="E39" s="25"/>
      <c r="F39" s="25"/>
      <c r="G39" s="25"/>
      <c r="H39" s="25"/>
    </row>
    <row r="40" spans="1:8" x14ac:dyDescent="0.25">
      <c r="A40" s="25"/>
      <c r="B40" s="2"/>
      <c r="C40" s="2"/>
      <c r="D40" s="25"/>
      <c r="E40" s="25"/>
      <c r="F40" s="25"/>
      <c r="G40" s="25"/>
      <c r="H40" s="25"/>
    </row>
    <row r="41" spans="1:8" x14ac:dyDescent="0.25">
      <c r="A41" s="25"/>
      <c r="B41" s="2"/>
      <c r="C41" s="2"/>
      <c r="D41" s="25"/>
      <c r="E41" s="25"/>
      <c r="F41" s="25"/>
      <c r="G41" s="25"/>
      <c r="H41" s="25"/>
    </row>
  </sheetData>
  <autoFilter ref="A1:G38" xr:uid="{F4C6831A-84DD-463E-8485-072FCDE83432}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24614-A6AE-4BB9-86D0-081A080AD41C}">
  <dimension ref="A1:I14"/>
  <sheetViews>
    <sheetView workbookViewId="0">
      <selection activeCell="H6" sqref="H6"/>
    </sheetView>
  </sheetViews>
  <sheetFormatPr defaultRowHeight="15" x14ac:dyDescent="0.25"/>
  <cols>
    <col min="1" max="1" width="6.7109375" customWidth="1"/>
    <col min="2" max="2" width="30.85546875" customWidth="1"/>
    <col min="3" max="3" width="12.7109375" customWidth="1"/>
    <col min="4" max="4" width="11.5703125" customWidth="1"/>
    <col min="5" max="5" width="12.7109375" customWidth="1"/>
    <col min="6" max="6" width="9.7109375" bestFit="1" customWidth="1"/>
    <col min="7" max="7" width="12.28515625" bestFit="1" customWidth="1"/>
    <col min="8" max="8" width="12" bestFit="1" customWidth="1"/>
  </cols>
  <sheetData>
    <row r="1" spans="1:9" ht="18.75" x14ac:dyDescent="0.3">
      <c r="A1" s="174" t="s">
        <v>7939</v>
      </c>
      <c r="B1" s="174"/>
      <c r="C1" s="174"/>
      <c r="D1" s="174"/>
      <c r="E1" s="174"/>
      <c r="F1" s="174"/>
      <c r="G1" s="174"/>
      <c r="H1" s="124"/>
    </row>
    <row r="3" spans="1:9" x14ac:dyDescent="0.25">
      <c r="A3" s="171" t="s">
        <v>7940</v>
      </c>
      <c r="B3" s="171" t="s">
        <v>7941</v>
      </c>
      <c r="C3" s="171" t="s">
        <v>7942</v>
      </c>
      <c r="D3" s="171" t="s">
        <v>7943</v>
      </c>
      <c r="E3" s="171" t="s">
        <v>7944</v>
      </c>
      <c r="F3" s="171" t="s">
        <v>7944</v>
      </c>
      <c r="G3" s="171" t="s">
        <v>7947</v>
      </c>
      <c r="H3" s="171" t="s">
        <v>7947</v>
      </c>
    </row>
    <row r="4" spans="1:9" x14ac:dyDescent="0.25">
      <c r="A4" s="23">
        <v>1</v>
      </c>
      <c r="B4" s="2" t="s">
        <v>7945</v>
      </c>
      <c r="C4" s="23" t="s">
        <v>7946</v>
      </c>
      <c r="D4" s="23">
        <v>89</v>
      </c>
      <c r="E4" s="23">
        <v>4.5</v>
      </c>
      <c r="F4" s="23" t="s">
        <v>7964</v>
      </c>
      <c r="G4" s="23">
        <v>31</v>
      </c>
      <c r="H4" s="23" t="s">
        <v>7962</v>
      </c>
      <c r="I4">
        <v>31</v>
      </c>
    </row>
    <row r="5" spans="1:9" x14ac:dyDescent="0.25">
      <c r="A5" s="23">
        <v>2</v>
      </c>
      <c r="B5" s="2" t="s">
        <v>7945</v>
      </c>
      <c r="C5" s="23" t="s">
        <v>7948</v>
      </c>
      <c r="D5" s="23">
        <v>73</v>
      </c>
      <c r="E5" s="172" t="s">
        <v>7963</v>
      </c>
      <c r="F5" s="23" t="s">
        <v>7964</v>
      </c>
      <c r="G5" s="23">
        <v>45</v>
      </c>
      <c r="H5" s="23" t="s">
        <v>7962</v>
      </c>
      <c r="I5">
        <v>45</v>
      </c>
    </row>
    <row r="6" spans="1:9" x14ac:dyDescent="0.25">
      <c r="A6" s="23">
        <v>3</v>
      </c>
      <c r="B6" s="2" t="s">
        <v>7945</v>
      </c>
      <c r="C6" s="23" t="s">
        <v>7948</v>
      </c>
      <c r="D6" s="23">
        <v>73</v>
      </c>
      <c r="E6" s="23">
        <v>4</v>
      </c>
      <c r="F6" s="23" t="s">
        <v>7964</v>
      </c>
      <c r="G6" s="23">
        <v>41</v>
      </c>
      <c r="H6" s="23" t="s">
        <v>7962</v>
      </c>
      <c r="I6">
        <v>41</v>
      </c>
    </row>
    <row r="7" spans="1:9" x14ac:dyDescent="0.25">
      <c r="A7" s="23">
        <v>4</v>
      </c>
      <c r="B7" s="2" t="s">
        <v>7945</v>
      </c>
      <c r="C7" s="23" t="s">
        <v>7948</v>
      </c>
      <c r="D7" s="23">
        <v>73</v>
      </c>
      <c r="E7" s="23">
        <v>4.5</v>
      </c>
      <c r="F7" s="23" t="s">
        <v>7964</v>
      </c>
      <c r="G7" s="23">
        <v>86</v>
      </c>
      <c r="H7" s="23" t="s">
        <v>7962</v>
      </c>
      <c r="I7">
        <v>86</v>
      </c>
    </row>
    <row r="8" spans="1:9" x14ac:dyDescent="0.25">
      <c r="A8" s="23">
        <v>5</v>
      </c>
      <c r="B8" s="2" t="s">
        <v>7945</v>
      </c>
      <c r="C8" s="23" t="s">
        <v>7949</v>
      </c>
      <c r="D8" s="23">
        <v>73</v>
      </c>
      <c r="E8" s="23">
        <v>3</v>
      </c>
      <c r="F8" s="23" t="s">
        <v>7964</v>
      </c>
      <c r="G8" s="23">
        <v>17</v>
      </c>
      <c r="H8" s="23" t="s">
        <v>7962</v>
      </c>
      <c r="I8">
        <v>17</v>
      </c>
    </row>
    <row r="9" spans="1:9" x14ac:dyDescent="0.25">
      <c r="A9" s="23">
        <v>6</v>
      </c>
      <c r="B9" s="2" t="s">
        <v>7950</v>
      </c>
      <c r="C9" s="23" t="s">
        <v>7949</v>
      </c>
      <c r="D9" s="23"/>
      <c r="E9" s="23">
        <v>3</v>
      </c>
      <c r="F9" s="23" t="s">
        <v>7964</v>
      </c>
      <c r="G9" s="23">
        <v>42</v>
      </c>
      <c r="H9" s="23" t="s">
        <v>7962</v>
      </c>
      <c r="I9">
        <v>42</v>
      </c>
    </row>
    <row r="10" spans="1:9" x14ac:dyDescent="0.25">
      <c r="A10" s="23">
        <v>7</v>
      </c>
      <c r="B10" s="2" t="s">
        <v>7951</v>
      </c>
      <c r="C10" s="23" t="s">
        <v>7949</v>
      </c>
      <c r="D10" s="23"/>
      <c r="E10" s="23"/>
      <c r="F10" s="23"/>
      <c r="G10" s="23">
        <v>65</v>
      </c>
      <c r="H10" s="23" t="s">
        <v>7962</v>
      </c>
      <c r="I10">
        <v>65</v>
      </c>
    </row>
    <row r="11" spans="1:9" x14ac:dyDescent="0.25">
      <c r="A11" s="23">
        <v>8</v>
      </c>
      <c r="B11" s="2"/>
      <c r="C11" s="23"/>
      <c r="D11" s="23"/>
      <c r="E11" s="23"/>
      <c r="F11" s="23"/>
      <c r="G11" s="23"/>
      <c r="H11" s="23"/>
    </row>
    <row r="12" spans="1:9" x14ac:dyDescent="0.25">
      <c r="A12" s="23">
        <v>9</v>
      </c>
      <c r="B12" s="2"/>
      <c r="C12" s="23"/>
      <c r="D12" s="23"/>
      <c r="E12" s="23"/>
      <c r="F12" s="23"/>
      <c r="G12" s="23"/>
      <c r="H12" s="23"/>
    </row>
    <row r="13" spans="1:9" x14ac:dyDescent="0.25">
      <c r="A13" s="23">
        <v>10</v>
      </c>
      <c r="B13" s="2"/>
      <c r="C13" s="2"/>
      <c r="D13" s="2"/>
      <c r="E13" s="2"/>
      <c r="F13" s="2"/>
      <c r="G13" s="2"/>
      <c r="H13" s="2"/>
      <c r="I13">
        <f>SUM(I4:I12)</f>
        <v>327</v>
      </c>
    </row>
    <row r="14" spans="1:9" x14ac:dyDescent="0.25">
      <c r="A14" s="175" t="s">
        <v>7952</v>
      </c>
      <c r="B14" s="175"/>
      <c r="C14" s="175"/>
      <c r="D14" s="175"/>
      <c r="E14" s="175"/>
      <c r="F14" s="171"/>
      <c r="G14" s="171" t="s">
        <v>7953</v>
      </c>
      <c r="H14" s="171" t="s">
        <v>7953</v>
      </c>
    </row>
  </sheetData>
  <mergeCells count="2">
    <mergeCell ref="A1:G1"/>
    <mergeCell ref="A14:E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5FF7F"/>
  </sheetPr>
  <dimension ref="A1:AN111"/>
  <sheetViews>
    <sheetView zoomScaleNormal="100" workbookViewId="0">
      <pane xSplit="2" ySplit="2" topLeftCell="C81" activePane="bottomRight" state="frozen"/>
      <selection pane="topRight" activeCell="C1" sqref="C1"/>
      <selection pane="bottomLeft" activeCell="A3" sqref="A3"/>
      <selection pane="bottomRight" activeCell="F102" sqref="F102"/>
    </sheetView>
  </sheetViews>
  <sheetFormatPr defaultRowHeight="15" x14ac:dyDescent="0.25"/>
  <cols>
    <col min="1" max="1" width="5.140625" style="27" customWidth="1"/>
    <col min="2" max="2" width="41.5703125" customWidth="1"/>
    <col min="3" max="3" width="12.5703125" customWidth="1"/>
    <col min="4" max="4" width="28.7109375" customWidth="1"/>
    <col min="5" max="5" width="17.140625" customWidth="1"/>
    <col min="6" max="6" width="10.5703125" customWidth="1"/>
    <col min="7" max="8" width="7.7109375" customWidth="1"/>
    <col min="9" max="9" width="33.7109375" hidden="1" customWidth="1"/>
    <col min="10" max="10" width="18.7109375" hidden="1" customWidth="1"/>
    <col min="11" max="12" width="18.7109375" customWidth="1"/>
    <col min="13" max="13" width="14.42578125" style="27" customWidth="1"/>
    <col min="14" max="14" width="14.42578125" style="24" customWidth="1"/>
    <col min="15" max="15" width="18.7109375" style="24" customWidth="1"/>
    <col min="16" max="18" width="18.7109375" customWidth="1"/>
    <col min="19" max="19" width="8.5703125" style="24" customWidth="1"/>
    <col min="20" max="20" width="12.140625" style="24" customWidth="1"/>
    <col min="21" max="21" width="7" style="24" customWidth="1"/>
    <col min="22" max="22" width="7" style="24" hidden="1" customWidth="1"/>
    <col min="23" max="25" width="5" style="24" hidden="1" customWidth="1"/>
    <col min="26" max="28" width="4.7109375" style="24" hidden="1" customWidth="1"/>
    <col min="29" max="36" width="8.5703125" style="24" hidden="1" customWidth="1"/>
    <col min="37" max="37" width="26.42578125" style="24" customWidth="1"/>
    <col min="38" max="38" width="26.42578125" style="23" customWidth="1"/>
    <col min="40" max="40" width="11.7109375" bestFit="1" customWidth="1"/>
  </cols>
  <sheetData>
    <row r="1" spans="1:40" s="32" customFormat="1" ht="45" customHeight="1" x14ac:dyDescent="0.2">
      <c r="A1" s="46" t="s">
        <v>1093</v>
      </c>
      <c r="B1" s="47" t="s">
        <v>1092</v>
      </c>
      <c r="C1" s="47" t="s">
        <v>8018</v>
      </c>
      <c r="D1" s="47" t="s">
        <v>2726</v>
      </c>
      <c r="E1" s="47" t="s">
        <v>1762</v>
      </c>
      <c r="F1" s="47" t="s">
        <v>1067</v>
      </c>
      <c r="G1" s="47" t="s">
        <v>1068</v>
      </c>
      <c r="H1" s="47" t="s">
        <v>4020</v>
      </c>
      <c r="I1" s="47" t="s">
        <v>3970</v>
      </c>
      <c r="J1" s="47" t="s">
        <v>3971</v>
      </c>
      <c r="K1" s="177" t="s">
        <v>4638</v>
      </c>
      <c r="L1" s="178"/>
      <c r="M1" s="179"/>
      <c r="N1" s="96"/>
      <c r="O1" s="109" t="s">
        <v>4639</v>
      </c>
      <c r="P1" s="47" t="s">
        <v>4640</v>
      </c>
      <c r="Q1" s="47" t="s">
        <v>4641</v>
      </c>
      <c r="R1" s="47" t="s">
        <v>3978</v>
      </c>
      <c r="S1" s="47" t="s">
        <v>1095</v>
      </c>
      <c r="T1" s="47" t="s">
        <v>3690</v>
      </c>
      <c r="U1" s="47" t="s">
        <v>1324</v>
      </c>
      <c r="V1" s="47" t="s">
        <v>1325</v>
      </c>
      <c r="W1" s="176" t="s">
        <v>1751</v>
      </c>
      <c r="X1" s="176"/>
      <c r="Y1" s="176"/>
      <c r="Z1" s="176" t="s">
        <v>1752</v>
      </c>
      <c r="AA1" s="176"/>
      <c r="AB1" s="176"/>
      <c r="AC1" s="47" t="s">
        <v>3030</v>
      </c>
      <c r="AD1" s="47" t="s">
        <v>3031</v>
      </c>
      <c r="AE1" s="47" t="s">
        <v>3032</v>
      </c>
      <c r="AF1" s="47" t="s">
        <v>3033</v>
      </c>
      <c r="AG1" s="47" t="s">
        <v>3034</v>
      </c>
      <c r="AH1" s="47" t="s">
        <v>3035</v>
      </c>
      <c r="AI1" s="47" t="s">
        <v>1874</v>
      </c>
      <c r="AJ1" s="47" t="s">
        <v>3036</v>
      </c>
      <c r="AK1" s="47" t="s">
        <v>939</v>
      </c>
      <c r="AL1" s="48" t="s">
        <v>3037</v>
      </c>
    </row>
    <row r="2" spans="1:40" s="32" customFormat="1" ht="12.75" customHeight="1" thickBot="1" x14ac:dyDescent="0.25">
      <c r="A2" s="49"/>
      <c r="B2" s="50"/>
      <c r="C2" s="50"/>
      <c r="D2" s="50"/>
      <c r="E2" s="50"/>
      <c r="F2" s="50"/>
      <c r="G2" s="50"/>
      <c r="H2" s="50"/>
      <c r="I2" s="50"/>
      <c r="J2" s="50"/>
      <c r="K2" s="93" t="s">
        <v>4648</v>
      </c>
      <c r="L2" s="93" t="s">
        <v>4712</v>
      </c>
      <c r="M2" s="50" t="s">
        <v>4649</v>
      </c>
      <c r="N2" s="50" t="s">
        <v>939</v>
      </c>
      <c r="O2" s="93"/>
      <c r="P2" s="50"/>
      <c r="Q2" s="50"/>
      <c r="R2" s="50"/>
      <c r="S2" s="50"/>
      <c r="T2" s="50"/>
      <c r="U2" s="50"/>
      <c r="V2" s="50"/>
      <c r="W2" s="51" t="s">
        <v>1754</v>
      </c>
      <c r="X2" s="51" t="s">
        <v>1755</v>
      </c>
      <c r="Y2" s="51" t="s">
        <v>1756</v>
      </c>
      <c r="Z2" s="51" t="s">
        <v>1754</v>
      </c>
      <c r="AA2" s="51" t="s">
        <v>1755</v>
      </c>
      <c r="AB2" s="51" t="s">
        <v>1756</v>
      </c>
      <c r="AC2" s="50"/>
      <c r="AD2" s="50"/>
      <c r="AE2" s="50"/>
      <c r="AF2" s="50"/>
      <c r="AG2" s="50"/>
      <c r="AH2" s="50"/>
      <c r="AI2" s="50"/>
      <c r="AJ2" s="50"/>
      <c r="AK2" s="50"/>
      <c r="AL2" s="52"/>
      <c r="AN2" s="32" t="s">
        <v>1763</v>
      </c>
    </row>
    <row r="3" spans="1:40" ht="15" customHeight="1" thickTop="1" x14ac:dyDescent="0.25">
      <c r="A3" s="136">
        <v>31</v>
      </c>
      <c r="B3" s="137" t="s">
        <v>3592</v>
      </c>
      <c r="C3" s="137"/>
      <c r="D3" s="138" t="s">
        <v>3595</v>
      </c>
      <c r="E3" s="137" t="s">
        <v>1766</v>
      </c>
      <c r="F3" s="137" t="s">
        <v>4403</v>
      </c>
      <c r="G3" s="137" t="s">
        <v>3616</v>
      </c>
      <c r="H3" s="137"/>
      <c r="I3" s="139"/>
      <c r="J3" s="139"/>
      <c r="K3" s="139"/>
      <c r="L3" s="139"/>
      <c r="M3" s="140"/>
      <c r="N3" s="139"/>
      <c r="O3" s="141" t="s">
        <v>4909</v>
      </c>
      <c r="P3" s="139"/>
      <c r="Q3" s="139"/>
      <c r="R3" s="139"/>
      <c r="S3" s="142">
        <v>1</v>
      </c>
      <c r="T3" s="142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1"/>
      <c r="AF3" s="141"/>
      <c r="AG3" s="141"/>
      <c r="AH3" s="141"/>
      <c r="AI3" s="141"/>
      <c r="AJ3" s="141"/>
      <c r="AK3" s="141"/>
      <c r="AL3" s="143"/>
      <c r="AN3" t="s">
        <v>1759</v>
      </c>
    </row>
    <row r="4" spans="1:40" ht="15" customHeight="1" x14ac:dyDescent="0.25">
      <c r="A4" s="85">
        <v>2</v>
      </c>
      <c r="B4" s="88" t="s">
        <v>1070</v>
      </c>
      <c r="C4" s="88"/>
      <c r="D4" s="88"/>
      <c r="E4" s="88" t="s">
        <v>1767</v>
      </c>
      <c r="F4" s="88" t="s">
        <v>1082</v>
      </c>
      <c r="G4" s="88" t="s">
        <v>1083</v>
      </c>
      <c r="H4" s="88"/>
      <c r="I4" s="88"/>
      <c r="J4" s="88"/>
      <c r="K4" s="88"/>
      <c r="L4" s="88"/>
      <c r="M4" s="102"/>
      <c r="N4" s="88"/>
      <c r="O4" s="91" t="s">
        <v>4758</v>
      </c>
      <c r="P4" s="88"/>
      <c r="Q4" s="88"/>
      <c r="R4" s="88"/>
      <c r="S4" s="91">
        <v>0</v>
      </c>
      <c r="T4" s="91"/>
      <c r="U4" s="91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91"/>
      <c r="AL4" s="105"/>
      <c r="AN4" t="s">
        <v>1758</v>
      </c>
    </row>
    <row r="5" spans="1:40" ht="15" customHeight="1" x14ac:dyDescent="0.25">
      <c r="A5" s="85">
        <v>59</v>
      </c>
      <c r="B5" s="86" t="s">
        <v>3622</v>
      </c>
      <c r="C5" s="86"/>
      <c r="D5" s="86"/>
      <c r="E5" s="88" t="s">
        <v>1767</v>
      </c>
      <c r="F5" s="86" t="s">
        <v>3615</v>
      </c>
      <c r="G5" s="86"/>
      <c r="H5" s="86"/>
      <c r="I5" s="86"/>
      <c r="J5" s="86"/>
      <c r="K5" s="86"/>
      <c r="L5" s="86"/>
      <c r="M5" s="103"/>
      <c r="N5" s="86"/>
      <c r="O5" s="90" t="s">
        <v>4909</v>
      </c>
      <c r="P5" s="86"/>
      <c r="Q5" s="86"/>
      <c r="R5" s="86"/>
      <c r="S5" s="89"/>
      <c r="T5" s="89"/>
      <c r="U5" s="90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90"/>
      <c r="AL5" s="110"/>
      <c r="AN5" t="s">
        <v>4060</v>
      </c>
    </row>
    <row r="6" spans="1:40" ht="15" customHeight="1" x14ac:dyDescent="0.25">
      <c r="A6" s="85">
        <v>60</v>
      </c>
      <c r="B6" s="86" t="s">
        <v>3623</v>
      </c>
      <c r="C6" s="86"/>
      <c r="D6" s="86"/>
      <c r="E6" s="88" t="s">
        <v>1767</v>
      </c>
      <c r="F6" s="86" t="s">
        <v>3626</v>
      </c>
      <c r="G6" s="86"/>
      <c r="H6" s="86"/>
      <c r="I6" s="86"/>
      <c r="J6" s="86"/>
      <c r="K6" s="86"/>
      <c r="L6" s="86"/>
      <c r="M6" s="103"/>
      <c r="N6" s="86"/>
      <c r="O6" s="90" t="s">
        <v>4909</v>
      </c>
      <c r="P6" s="86"/>
      <c r="Q6" s="86"/>
      <c r="R6" s="86"/>
      <c r="S6" s="89"/>
      <c r="T6" s="89"/>
      <c r="U6" s="90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90"/>
      <c r="AL6" s="110"/>
      <c r="AN6" t="s">
        <v>4059</v>
      </c>
    </row>
    <row r="7" spans="1:40" ht="15" customHeight="1" x14ac:dyDescent="0.25">
      <c r="A7" s="85">
        <v>62</v>
      </c>
      <c r="B7" s="86" t="s">
        <v>3625</v>
      </c>
      <c r="C7" s="86"/>
      <c r="D7" s="86"/>
      <c r="E7" s="88" t="s">
        <v>1767</v>
      </c>
      <c r="F7" s="86"/>
      <c r="G7" s="86"/>
      <c r="H7" s="86"/>
      <c r="I7" s="86"/>
      <c r="J7" s="86"/>
      <c r="K7" s="86"/>
      <c r="L7" s="86"/>
      <c r="M7" s="103"/>
      <c r="N7" s="86"/>
      <c r="O7" s="90" t="s">
        <v>4909</v>
      </c>
      <c r="P7" s="86"/>
      <c r="Q7" s="86"/>
      <c r="R7" s="86"/>
      <c r="S7" s="90"/>
      <c r="T7" s="90"/>
      <c r="U7" s="90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90"/>
      <c r="AL7" s="110"/>
      <c r="AN7" t="s">
        <v>1764</v>
      </c>
    </row>
    <row r="8" spans="1:40" ht="15" customHeight="1" x14ac:dyDescent="0.25">
      <c r="A8" s="85">
        <v>37</v>
      </c>
      <c r="B8" s="86" t="s">
        <v>3629</v>
      </c>
      <c r="C8" s="86"/>
      <c r="D8" s="87" t="s">
        <v>3618</v>
      </c>
      <c r="E8" s="88" t="s">
        <v>1759</v>
      </c>
      <c r="F8" s="86" t="s">
        <v>1085</v>
      </c>
      <c r="G8" s="86"/>
      <c r="H8" s="86"/>
      <c r="I8" s="86"/>
      <c r="J8" s="86"/>
      <c r="K8" s="86"/>
      <c r="L8" s="86"/>
      <c r="M8" s="103"/>
      <c r="N8" s="86"/>
      <c r="O8" s="90"/>
      <c r="P8" s="86"/>
      <c r="Q8" s="86"/>
      <c r="R8" s="86"/>
      <c r="S8" s="89"/>
      <c r="T8" s="89"/>
      <c r="U8" s="90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90"/>
      <c r="AL8" s="110"/>
      <c r="AN8" t="s">
        <v>1765</v>
      </c>
    </row>
    <row r="9" spans="1:40" ht="15" customHeight="1" x14ac:dyDescent="0.25">
      <c r="A9" s="85">
        <v>38</v>
      </c>
      <c r="B9" s="86" t="s">
        <v>3630</v>
      </c>
      <c r="C9" s="86"/>
      <c r="D9" s="87" t="s">
        <v>3618</v>
      </c>
      <c r="E9" s="88" t="s">
        <v>1767</v>
      </c>
      <c r="F9" s="86" t="s">
        <v>1078</v>
      </c>
      <c r="G9" s="86"/>
      <c r="H9" s="86"/>
      <c r="I9" s="86"/>
      <c r="J9" s="86"/>
      <c r="K9" s="86"/>
      <c r="L9" s="86"/>
      <c r="M9" s="103"/>
      <c r="N9" s="86"/>
      <c r="O9" s="90"/>
      <c r="P9" s="86"/>
      <c r="Q9" s="86"/>
      <c r="R9" s="86"/>
      <c r="S9" s="89"/>
      <c r="T9" s="89"/>
      <c r="U9" s="90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90"/>
      <c r="AL9" s="110"/>
      <c r="AN9" t="s">
        <v>1767</v>
      </c>
    </row>
    <row r="10" spans="1:40" ht="15" customHeight="1" x14ac:dyDescent="0.25">
      <c r="A10" s="85">
        <v>39</v>
      </c>
      <c r="B10" s="86" t="s">
        <v>3631</v>
      </c>
      <c r="C10" s="86"/>
      <c r="D10" s="87" t="s">
        <v>3618</v>
      </c>
      <c r="E10" s="88" t="s">
        <v>1767</v>
      </c>
      <c r="F10" s="86" t="s">
        <v>1078</v>
      </c>
      <c r="G10" s="86"/>
      <c r="H10" s="86"/>
      <c r="I10" s="86"/>
      <c r="J10" s="86"/>
      <c r="K10" s="86"/>
      <c r="L10" s="86"/>
      <c r="M10" s="103"/>
      <c r="N10" s="86"/>
      <c r="O10" s="90"/>
      <c r="P10" s="86"/>
      <c r="Q10" s="86"/>
      <c r="R10" s="86"/>
      <c r="S10" s="89"/>
      <c r="T10" s="89"/>
      <c r="U10" s="90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90"/>
      <c r="AL10" s="110"/>
      <c r="AN10" t="s">
        <v>1766</v>
      </c>
    </row>
    <row r="11" spans="1:40" ht="15" customHeight="1" x14ac:dyDescent="0.25">
      <c r="A11" s="85">
        <v>55</v>
      </c>
      <c r="B11" s="86" t="s">
        <v>3610</v>
      </c>
      <c r="C11" s="86"/>
      <c r="D11" s="87" t="s">
        <v>3620</v>
      </c>
      <c r="E11" s="88" t="s">
        <v>1767</v>
      </c>
      <c r="F11" s="86" t="s">
        <v>3615</v>
      </c>
      <c r="G11" s="86"/>
      <c r="H11" s="86"/>
      <c r="I11" s="86"/>
      <c r="J11" s="86"/>
      <c r="K11" s="86"/>
      <c r="L11" s="86"/>
      <c r="M11" s="103"/>
      <c r="N11" s="86"/>
      <c r="O11" s="90"/>
      <c r="P11" s="86"/>
      <c r="Q11" s="86"/>
      <c r="R11" s="86"/>
      <c r="S11" s="89"/>
      <c r="T11" s="89"/>
      <c r="U11" s="90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90"/>
      <c r="AL11" s="110"/>
    </row>
    <row r="12" spans="1:40" ht="15" customHeight="1" x14ac:dyDescent="0.25">
      <c r="A12" s="85">
        <v>25</v>
      </c>
      <c r="B12" s="88" t="s">
        <v>3025</v>
      </c>
      <c r="C12" s="88"/>
      <c r="D12" s="118" t="s">
        <v>3596</v>
      </c>
      <c r="E12" s="88" t="s">
        <v>1767</v>
      </c>
      <c r="F12" s="88" t="s">
        <v>3628</v>
      </c>
      <c r="G12" s="88"/>
      <c r="H12" s="88"/>
      <c r="I12" s="88"/>
      <c r="J12" s="88"/>
      <c r="K12" s="88"/>
      <c r="L12" s="88"/>
      <c r="M12" s="102"/>
      <c r="N12" s="88"/>
      <c r="O12" s="91" t="s">
        <v>4758</v>
      </c>
      <c r="P12" s="88"/>
      <c r="Q12" s="88"/>
      <c r="R12" s="88"/>
      <c r="S12" s="89">
        <v>0</v>
      </c>
      <c r="T12" s="89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119" t="s">
        <v>1759</v>
      </c>
      <c r="AL12" s="133"/>
    </row>
    <row r="13" spans="1:40" ht="15" customHeight="1" x14ac:dyDescent="0.25">
      <c r="A13" s="85">
        <v>26</v>
      </c>
      <c r="B13" s="88" t="s">
        <v>3026</v>
      </c>
      <c r="C13" s="88"/>
      <c r="D13" s="88"/>
      <c r="E13" s="88" t="s">
        <v>1767</v>
      </c>
      <c r="F13" s="88" t="s">
        <v>3628</v>
      </c>
      <c r="G13" s="88"/>
      <c r="H13" s="88"/>
      <c r="I13" s="88"/>
      <c r="J13" s="88"/>
      <c r="K13" s="88"/>
      <c r="L13" s="88"/>
      <c r="M13" s="102"/>
      <c r="N13" s="88"/>
      <c r="O13" s="91" t="s">
        <v>4758</v>
      </c>
      <c r="P13" s="88"/>
      <c r="Q13" s="88"/>
      <c r="R13" s="88"/>
      <c r="S13" s="89">
        <v>0</v>
      </c>
      <c r="T13" s="89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119" t="s">
        <v>1758</v>
      </c>
      <c r="AL13" s="133"/>
    </row>
    <row r="14" spans="1:40" ht="15" customHeight="1" x14ac:dyDescent="0.25">
      <c r="A14" s="85">
        <v>82</v>
      </c>
      <c r="B14" s="86" t="s">
        <v>4752</v>
      </c>
      <c r="C14" s="86"/>
      <c r="D14" s="86"/>
      <c r="E14" s="88" t="s">
        <v>1767</v>
      </c>
      <c r="F14" s="86" t="s">
        <v>3236</v>
      </c>
      <c r="G14" s="86"/>
      <c r="H14" s="86"/>
      <c r="I14" s="129"/>
      <c r="J14" s="129"/>
      <c r="K14" s="86" t="s">
        <v>4753</v>
      </c>
      <c r="L14" s="86" t="s">
        <v>4754</v>
      </c>
      <c r="M14" s="103">
        <v>0</v>
      </c>
      <c r="N14" s="90" t="s">
        <v>4795</v>
      </c>
      <c r="O14" s="90" t="s">
        <v>4758</v>
      </c>
      <c r="P14" s="86" t="s">
        <v>4733</v>
      </c>
      <c r="Q14" s="86"/>
      <c r="R14" s="86" t="s">
        <v>3981</v>
      </c>
      <c r="S14" s="89">
        <v>7.0000000000000007E-2</v>
      </c>
      <c r="T14" s="90"/>
      <c r="U14" s="90"/>
      <c r="V14" s="130"/>
      <c r="W14" s="130"/>
      <c r="X14" s="130"/>
      <c r="Y14" s="130"/>
      <c r="Z14" s="130"/>
      <c r="AA14" s="130"/>
      <c r="AB14" s="130"/>
      <c r="AC14" s="130"/>
      <c r="AD14" s="130"/>
      <c r="AE14" s="130"/>
      <c r="AF14" s="130"/>
      <c r="AG14" s="130"/>
      <c r="AH14" s="130"/>
      <c r="AI14" s="130"/>
      <c r="AJ14" s="130"/>
      <c r="AK14" s="90"/>
      <c r="AL14" s="110"/>
    </row>
    <row r="15" spans="1:40" ht="15" customHeight="1" x14ac:dyDescent="0.25">
      <c r="A15" s="60">
        <v>1</v>
      </c>
      <c r="B15" s="61" t="s">
        <v>1063</v>
      </c>
      <c r="C15" s="61"/>
      <c r="D15" s="61"/>
      <c r="E15" s="61" t="s">
        <v>1766</v>
      </c>
      <c r="F15" s="61" t="s">
        <v>1064</v>
      </c>
      <c r="G15" s="61" t="s">
        <v>1065</v>
      </c>
      <c r="H15" s="61"/>
      <c r="I15" s="61" t="s">
        <v>1066</v>
      </c>
      <c r="J15" s="61"/>
      <c r="K15" s="61"/>
      <c r="L15" s="61"/>
      <c r="M15" s="99"/>
      <c r="N15" s="61"/>
      <c r="O15" s="64" t="s">
        <v>4758</v>
      </c>
      <c r="P15" s="61"/>
      <c r="Q15" s="61"/>
      <c r="R15" s="61"/>
      <c r="S15" s="63">
        <v>1</v>
      </c>
      <c r="T15" s="63"/>
      <c r="U15" s="64">
        <v>90</v>
      </c>
      <c r="V15" s="64">
        <v>86</v>
      </c>
      <c r="W15" s="64">
        <v>220</v>
      </c>
      <c r="X15" s="64">
        <v>220</v>
      </c>
      <c r="Y15" s="64">
        <v>220</v>
      </c>
      <c r="Z15" s="64">
        <v>175</v>
      </c>
      <c r="AA15" s="64">
        <v>175</v>
      </c>
      <c r="AB15" s="64">
        <v>175</v>
      </c>
      <c r="AC15" s="64">
        <v>0</v>
      </c>
      <c r="AD15" s="64">
        <v>0</v>
      </c>
      <c r="AE15" s="64">
        <v>0</v>
      </c>
      <c r="AF15" s="64">
        <v>0</v>
      </c>
      <c r="AG15" s="64">
        <v>0</v>
      </c>
      <c r="AH15" s="64">
        <v>0</v>
      </c>
      <c r="AI15" s="64"/>
      <c r="AJ15" s="64">
        <v>0</v>
      </c>
      <c r="AK15" s="64" t="s">
        <v>1753</v>
      </c>
      <c r="AL15" s="65"/>
    </row>
    <row r="16" spans="1:40" ht="15" customHeight="1" x14ac:dyDescent="0.25">
      <c r="A16" s="60">
        <v>3</v>
      </c>
      <c r="B16" s="61" t="s">
        <v>1069</v>
      </c>
      <c r="C16" s="61"/>
      <c r="D16" s="62" t="s">
        <v>2727</v>
      </c>
      <c r="E16" s="61" t="s">
        <v>1766</v>
      </c>
      <c r="F16" s="61" t="s">
        <v>1082</v>
      </c>
      <c r="G16" s="61" t="s">
        <v>1083</v>
      </c>
      <c r="H16" s="61"/>
      <c r="I16" s="61"/>
      <c r="J16" s="61"/>
      <c r="K16" s="61"/>
      <c r="L16" s="61"/>
      <c r="M16" s="99"/>
      <c r="N16" s="61"/>
      <c r="O16" s="64" t="s">
        <v>4758</v>
      </c>
      <c r="P16" s="61"/>
      <c r="Q16" s="61"/>
      <c r="R16" s="61"/>
      <c r="S16" s="63">
        <v>1</v>
      </c>
      <c r="T16" s="63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5"/>
    </row>
    <row r="17" spans="1:38" ht="15" customHeight="1" x14ac:dyDescent="0.25">
      <c r="A17" s="60">
        <v>4</v>
      </c>
      <c r="B17" s="61" t="s">
        <v>1071</v>
      </c>
      <c r="C17" s="61"/>
      <c r="D17" s="62" t="s">
        <v>2728</v>
      </c>
      <c r="E17" s="61" t="s">
        <v>1766</v>
      </c>
      <c r="F17" s="61" t="s">
        <v>1084</v>
      </c>
      <c r="G17" s="61"/>
      <c r="H17" s="61"/>
      <c r="I17" s="61"/>
      <c r="J17" s="61"/>
      <c r="K17" s="61"/>
      <c r="L17" s="61"/>
      <c r="M17" s="99"/>
      <c r="N17" s="61"/>
      <c r="O17" s="64" t="s">
        <v>4758</v>
      </c>
      <c r="P17" s="61"/>
      <c r="Q17" s="61"/>
      <c r="R17" s="61"/>
      <c r="S17" s="63">
        <v>1</v>
      </c>
      <c r="T17" s="63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5"/>
    </row>
    <row r="18" spans="1:38" ht="15" customHeight="1" x14ac:dyDescent="0.25">
      <c r="A18" s="60">
        <v>5</v>
      </c>
      <c r="B18" s="61" t="s">
        <v>1072</v>
      </c>
      <c r="C18" s="61"/>
      <c r="D18" s="62" t="s">
        <v>2729</v>
      </c>
      <c r="E18" s="61" t="s">
        <v>1766</v>
      </c>
      <c r="F18" s="61" t="s">
        <v>1085</v>
      </c>
      <c r="G18" s="61" t="s">
        <v>1086</v>
      </c>
      <c r="H18" s="61"/>
      <c r="I18" s="61"/>
      <c r="J18" s="61"/>
      <c r="K18" s="61"/>
      <c r="L18" s="61"/>
      <c r="M18" s="99"/>
      <c r="N18" s="61"/>
      <c r="O18" s="64" t="s">
        <v>4758</v>
      </c>
      <c r="P18" s="61"/>
      <c r="Q18" s="61"/>
      <c r="R18" s="61"/>
      <c r="S18" s="63">
        <v>1</v>
      </c>
      <c r="T18" s="63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5"/>
    </row>
    <row r="19" spans="1:38" ht="15" customHeight="1" x14ac:dyDescent="0.25">
      <c r="A19" s="60">
        <v>6</v>
      </c>
      <c r="B19" s="61" t="s">
        <v>1073</v>
      </c>
      <c r="C19" s="61"/>
      <c r="D19" s="62" t="s">
        <v>2730</v>
      </c>
      <c r="E19" s="61" t="s">
        <v>1766</v>
      </c>
      <c r="F19" s="61" t="s">
        <v>1087</v>
      </c>
      <c r="G19" s="61" t="s">
        <v>1274</v>
      </c>
      <c r="H19" s="61"/>
      <c r="I19" s="61"/>
      <c r="J19" s="61"/>
      <c r="K19" s="61"/>
      <c r="L19" s="61"/>
      <c r="M19" s="99"/>
      <c r="N19" s="61"/>
      <c r="O19" s="64" t="s">
        <v>4758</v>
      </c>
      <c r="P19" s="61"/>
      <c r="Q19" s="61"/>
      <c r="R19" s="61"/>
      <c r="S19" s="63">
        <v>1</v>
      </c>
      <c r="T19" s="63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5"/>
    </row>
    <row r="20" spans="1:38" ht="15" customHeight="1" x14ac:dyDescent="0.25">
      <c r="A20" s="60">
        <v>7</v>
      </c>
      <c r="B20" s="61" t="s">
        <v>1074</v>
      </c>
      <c r="C20" s="61"/>
      <c r="D20" s="62" t="s">
        <v>2731</v>
      </c>
      <c r="E20" s="61" t="s">
        <v>1766</v>
      </c>
      <c r="F20" s="61" t="s">
        <v>3237</v>
      </c>
      <c r="G20" s="61"/>
      <c r="H20" s="61"/>
      <c r="I20" s="61"/>
      <c r="J20" s="61"/>
      <c r="K20" s="61"/>
      <c r="L20" s="61"/>
      <c r="M20" s="99"/>
      <c r="N20" s="61"/>
      <c r="O20" s="64" t="s">
        <v>4758</v>
      </c>
      <c r="P20" s="61"/>
      <c r="Q20" s="61"/>
      <c r="R20" s="61"/>
      <c r="S20" s="63">
        <v>1</v>
      </c>
      <c r="T20" s="63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5"/>
    </row>
    <row r="21" spans="1:38" ht="15" customHeight="1" x14ac:dyDescent="0.25">
      <c r="A21" s="60">
        <v>8</v>
      </c>
      <c r="B21" s="61" t="s">
        <v>1075</v>
      </c>
      <c r="C21" s="61"/>
      <c r="D21" s="62" t="s">
        <v>2732</v>
      </c>
      <c r="E21" s="61" t="s">
        <v>1766</v>
      </c>
      <c r="F21" s="61" t="s">
        <v>1089</v>
      </c>
      <c r="G21" s="61"/>
      <c r="H21" s="61"/>
      <c r="I21" s="61"/>
      <c r="J21" s="61"/>
      <c r="K21" s="61"/>
      <c r="L21" s="61"/>
      <c r="M21" s="99"/>
      <c r="N21" s="61"/>
      <c r="O21" s="64" t="s">
        <v>4758</v>
      </c>
      <c r="P21" s="61"/>
      <c r="Q21" s="61"/>
      <c r="R21" s="61"/>
      <c r="S21" s="63">
        <v>1</v>
      </c>
      <c r="T21" s="63"/>
      <c r="U21" s="64"/>
      <c r="V21" s="64"/>
      <c r="W21" s="64"/>
      <c r="X21" s="64"/>
      <c r="Y21" s="64"/>
      <c r="Z21" s="64"/>
      <c r="AA21" s="64"/>
      <c r="AB21" s="64"/>
      <c r="AC21" s="64">
        <v>67842.28</v>
      </c>
      <c r="AD21" s="64">
        <v>68553.98</v>
      </c>
      <c r="AE21" s="64">
        <f>AD21-AC21</f>
        <v>711.69999999999709</v>
      </c>
      <c r="AF21" s="64">
        <v>500</v>
      </c>
      <c r="AG21" s="64">
        <f>AE21-AF21</f>
        <v>211.69999999999709</v>
      </c>
      <c r="AH21" s="64">
        <v>1699</v>
      </c>
      <c r="AI21" s="64"/>
      <c r="AJ21" s="64">
        <f>AG21*AH21</f>
        <v>359678.29999999504</v>
      </c>
      <c r="AK21" s="64"/>
      <c r="AL21" s="65"/>
    </row>
    <row r="22" spans="1:38" ht="15" customHeight="1" x14ac:dyDescent="0.25">
      <c r="A22" s="60">
        <v>9</v>
      </c>
      <c r="B22" s="61" t="s">
        <v>1076</v>
      </c>
      <c r="C22" s="61"/>
      <c r="D22" s="62" t="s">
        <v>2733</v>
      </c>
      <c r="E22" s="61" t="s">
        <v>1766</v>
      </c>
      <c r="F22" s="61" t="s">
        <v>1090</v>
      </c>
      <c r="G22" s="61" t="s">
        <v>2725</v>
      </c>
      <c r="H22" s="61"/>
      <c r="I22" s="61"/>
      <c r="J22" s="61"/>
      <c r="K22" s="61"/>
      <c r="L22" s="61"/>
      <c r="M22" s="99"/>
      <c r="N22" s="61"/>
      <c r="O22" s="64" t="s">
        <v>4758</v>
      </c>
      <c r="P22" s="61"/>
      <c r="Q22" s="61"/>
      <c r="R22" s="61"/>
      <c r="S22" s="63">
        <v>1</v>
      </c>
      <c r="T22" s="63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5"/>
    </row>
    <row r="23" spans="1:38" ht="15" customHeight="1" x14ac:dyDescent="0.25">
      <c r="A23" s="60">
        <v>10</v>
      </c>
      <c r="B23" s="61" t="s">
        <v>1077</v>
      </c>
      <c r="C23" s="61"/>
      <c r="D23" s="62" t="s">
        <v>2734</v>
      </c>
      <c r="E23" s="61" t="s">
        <v>1766</v>
      </c>
      <c r="F23" s="61" t="s">
        <v>1078</v>
      </c>
      <c r="G23" s="61"/>
      <c r="H23" s="61"/>
      <c r="I23" s="61"/>
      <c r="J23" s="61"/>
      <c r="K23" s="61"/>
      <c r="L23" s="61"/>
      <c r="M23" s="99"/>
      <c r="N23" s="61"/>
      <c r="O23" s="64" t="s">
        <v>4758</v>
      </c>
      <c r="P23" s="61"/>
      <c r="Q23" s="61"/>
      <c r="R23" s="61"/>
      <c r="S23" s="63">
        <v>1</v>
      </c>
      <c r="T23" s="63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5"/>
    </row>
    <row r="24" spans="1:38" ht="15" customHeight="1" x14ac:dyDescent="0.25">
      <c r="A24" s="60">
        <v>11</v>
      </c>
      <c r="B24" s="61" t="s">
        <v>1079</v>
      </c>
      <c r="C24" s="61"/>
      <c r="D24" s="62" t="s">
        <v>2735</v>
      </c>
      <c r="E24" s="61" t="s">
        <v>1766</v>
      </c>
      <c r="F24" s="61" t="s">
        <v>3039</v>
      </c>
      <c r="G24" s="61"/>
      <c r="H24" s="61"/>
      <c r="I24" s="61"/>
      <c r="J24" s="61"/>
      <c r="K24" s="61"/>
      <c r="L24" s="61"/>
      <c r="M24" s="99"/>
      <c r="N24" s="61"/>
      <c r="O24" s="64" t="s">
        <v>4758</v>
      </c>
      <c r="P24" s="61"/>
      <c r="Q24" s="61"/>
      <c r="R24" s="61"/>
      <c r="S24" s="63">
        <v>1</v>
      </c>
      <c r="T24" s="63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 t="s">
        <v>3038</v>
      </c>
      <c r="AL24" s="65"/>
    </row>
    <row r="25" spans="1:38" ht="15" customHeight="1" x14ac:dyDescent="0.25">
      <c r="A25" s="60">
        <v>12</v>
      </c>
      <c r="B25" s="61" t="s">
        <v>1080</v>
      </c>
      <c r="C25" s="61"/>
      <c r="D25" s="62" t="s">
        <v>2736</v>
      </c>
      <c r="E25" s="61" t="s">
        <v>1766</v>
      </c>
      <c r="F25" s="61" t="s">
        <v>3040</v>
      </c>
      <c r="G25" s="61" t="s">
        <v>1091</v>
      </c>
      <c r="H25" s="61"/>
      <c r="I25" s="61"/>
      <c r="J25" s="61"/>
      <c r="K25" s="61"/>
      <c r="L25" s="61"/>
      <c r="M25" s="99"/>
      <c r="N25" s="61"/>
      <c r="O25" s="64" t="s">
        <v>4758</v>
      </c>
      <c r="P25" s="61"/>
      <c r="Q25" s="61"/>
      <c r="R25" s="61"/>
      <c r="S25" s="63">
        <v>1</v>
      </c>
      <c r="T25" s="63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6" t="s">
        <v>1875</v>
      </c>
      <c r="AH25" s="66" t="s">
        <v>1873</v>
      </c>
      <c r="AI25" s="66" t="s">
        <v>1876</v>
      </c>
      <c r="AJ25" s="64" t="s">
        <v>1877</v>
      </c>
      <c r="AK25" s="64" t="s">
        <v>1760</v>
      </c>
      <c r="AL25" s="65"/>
    </row>
    <row r="26" spans="1:38" ht="15" customHeight="1" x14ac:dyDescent="0.25">
      <c r="A26" s="60">
        <v>13</v>
      </c>
      <c r="B26" s="61" t="s">
        <v>1081</v>
      </c>
      <c r="C26" s="61"/>
      <c r="D26" s="62" t="s">
        <v>2737</v>
      </c>
      <c r="E26" s="61" t="s">
        <v>1766</v>
      </c>
      <c r="F26" s="61" t="s">
        <v>1273</v>
      </c>
      <c r="G26" s="61"/>
      <c r="H26" s="61"/>
      <c r="I26" s="61"/>
      <c r="J26" s="61"/>
      <c r="K26" s="61"/>
      <c r="L26" s="61"/>
      <c r="M26" s="99"/>
      <c r="N26" s="61"/>
      <c r="O26" s="64" t="s">
        <v>4758</v>
      </c>
      <c r="P26" s="61"/>
      <c r="Q26" s="61"/>
      <c r="R26" s="61"/>
      <c r="S26" s="63">
        <v>1</v>
      </c>
      <c r="T26" s="63"/>
      <c r="U26" s="64"/>
      <c r="V26" s="64"/>
      <c r="W26" s="64">
        <v>217</v>
      </c>
      <c r="X26" s="64">
        <v>179</v>
      </c>
      <c r="Y26" s="64">
        <v>213</v>
      </c>
      <c r="Z26" s="64">
        <v>202</v>
      </c>
      <c r="AA26" s="64">
        <v>177</v>
      </c>
      <c r="AB26" s="64">
        <v>205</v>
      </c>
      <c r="AC26" s="64"/>
      <c r="AD26" s="64"/>
      <c r="AE26" s="64"/>
      <c r="AF26" s="64"/>
      <c r="AG26" s="64"/>
      <c r="AH26" s="64"/>
      <c r="AI26" s="64"/>
      <c r="AJ26" s="64"/>
      <c r="AK26" s="64"/>
      <c r="AL26" s="65"/>
    </row>
    <row r="27" spans="1:38" ht="15" customHeight="1" thickBot="1" x14ac:dyDescent="0.3">
      <c r="A27" s="60">
        <v>14</v>
      </c>
      <c r="B27" s="68" t="s">
        <v>1251</v>
      </c>
      <c r="C27" s="68"/>
      <c r="D27" s="69" t="s">
        <v>2738</v>
      </c>
      <c r="E27" s="61" t="s">
        <v>1766</v>
      </c>
      <c r="F27" s="68" t="s">
        <v>1088</v>
      </c>
      <c r="G27" s="68"/>
      <c r="H27" s="68"/>
      <c r="I27" s="68"/>
      <c r="J27" s="68"/>
      <c r="K27" s="68"/>
      <c r="L27" s="68"/>
      <c r="M27" s="100"/>
      <c r="N27" s="68"/>
      <c r="O27" s="71" t="s">
        <v>4758</v>
      </c>
      <c r="P27" s="68"/>
      <c r="Q27" s="68"/>
      <c r="R27" s="68"/>
      <c r="S27" s="70">
        <v>1</v>
      </c>
      <c r="T27" s="70"/>
      <c r="U27" s="71"/>
      <c r="V27" s="71"/>
      <c r="W27" s="71"/>
      <c r="X27" s="71"/>
      <c r="Y27" s="71"/>
      <c r="Z27" s="71"/>
      <c r="AA27" s="71"/>
      <c r="AB27" s="71"/>
      <c r="AC27" s="71">
        <v>8331.3799999999992</v>
      </c>
      <c r="AD27" s="71">
        <v>9340.7199999999993</v>
      </c>
      <c r="AE27" s="71">
        <v>1009.34</v>
      </c>
      <c r="AF27" s="71"/>
      <c r="AG27" s="71">
        <v>509.34</v>
      </c>
      <c r="AH27" s="132" t="s">
        <v>1873</v>
      </c>
      <c r="AI27" s="132">
        <v>83.762</v>
      </c>
      <c r="AJ27" s="71">
        <v>921.38199999999995</v>
      </c>
      <c r="AK27" s="71"/>
      <c r="AL27" s="134"/>
    </row>
    <row r="28" spans="1:38" ht="15" customHeight="1" x14ac:dyDescent="0.25">
      <c r="A28" s="60">
        <v>15</v>
      </c>
      <c r="B28" s="80" t="s">
        <v>1252</v>
      </c>
      <c r="C28" s="80"/>
      <c r="D28" s="81" t="s">
        <v>2734</v>
      </c>
      <c r="E28" s="61" t="s">
        <v>1766</v>
      </c>
      <c r="F28" s="80" t="s">
        <v>1078</v>
      </c>
      <c r="G28" s="80"/>
      <c r="H28" s="80"/>
      <c r="I28" s="80"/>
      <c r="J28" s="80"/>
      <c r="K28" s="80"/>
      <c r="L28" s="80"/>
      <c r="M28" s="101"/>
      <c r="N28" s="80"/>
      <c r="O28" s="83" t="s">
        <v>4758</v>
      </c>
      <c r="P28" s="80"/>
      <c r="Q28" s="80"/>
      <c r="R28" s="80"/>
      <c r="S28" s="82">
        <v>1</v>
      </c>
      <c r="T28" s="82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135"/>
    </row>
    <row r="29" spans="1:38" ht="15" customHeight="1" x14ac:dyDescent="0.25">
      <c r="A29" s="60">
        <v>18</v>
      </c>
      <c r="B29" s="61" t="s">
        <v>1769</v>
      </c>
      <c r="C29" s="61"/>
      <c r="D29" s="62" t="s">
        <v>2739</v>
      </c>
      <c r="E29" s="61" t="s">
        <v>1766</v>
      </c>
      <c r="F29" s="61" t="s">
        <v>1064</v>
      </c>
      <c r="G29" s="61" t="s">
        <v>1770</v>
      </c>
      <c r="H29" s="61"/>
      <c r="I29" s="61"/>
      <c r="J29" s="61"/>
      <c r="K29" s="61"/>
      <c r="L29" s="61"/>
      <c r="M29" s="99"/>
      <c r="N29" s="61"/>
      <c r="O29" s="64" t="s">
        <v>4758</v>
      </c>
      <c r="P29" s="61"/>
      <c r="Q29" s="61"/>
      <c r="R29" s="61"/>
      <c r="S29" s="63">
        <v>1</v>
      </c>
      <c r="T29" s="63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7"/>
      <c r="AL29" s="67"/>
    </row>
    <row r="30" spans="1:38" ht="15" customHeight="1" x14ac:dyDescent="0.25">
      <c r="A30" s="60">
        <v>19</v>
      </c>
      <c r="B30" s="61" t="s">
        <v>3020</v>
      </c>
      <c r="C30" s="61"/>
      <c r="D30" s="62" t="s">
        <v>2734</v>
      </c>
      <c r="E30" s="61" t="s">
        <v>1766</v>
      </c>
      <c r="F30" s="61" t="s">
        <v>1078</v>
      </c>
      <c r="G30" s="61"/>
      <c r="H30" s="61"/>
      <c r="I30" s="61"/>
      <c r="J30" s="61"/>
      <c r="K30" s="61"/>
      <c r="L30" s="61"/>
      <c r="M30" s="99"/>
      <c r="N30" s="61"/>
      <c r="O30" s="64" t="s">
        <v>4758</v>
      </c>
      <c r="P30" s="61"/>
      <c r="Q30" s="61"/>
      <c r="R30" s="61"/>
      <c r="S30" s="63">
        <v>1</v>
      </c>
      <c r="T30" s="63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7"/>
      <c r="AL30" s="67"/>
    </row>
    <row r="31" spans="1:38" ht="15" customHeight="1" x14ac:dyDescent="0.25">
      <c r="A31" s="60">
        <v>20</v>
      </c>
      <c r="B31" s="61" t="s">
        <v>3019</v>
      </c>
      <c r="C31" s="61"/>
      <c r="D31" s="62" t="s">
        <v>2734</v>
      </c>
      <c r="E31" s="61" t="s">
        <v>1766</v>
      </c>
      <c r="F31" s="61" t="s">
        <v>1078</v>
      </c>
      <c r="G31" s="61"/>
      <c r="H31" s="61"/>
      <c r="I31" s="61"/>
      <c r="J31" s="61"/>
      <c r="K31" s="61"/>
      <c r="L31" s="61"/>
      <c r="M31" s="99"/>
      <c r="N31" s="61"/>
      <c r="O31" s="64" t="s">
        <v>4758</v>
      </c>
      <c r="P31" s="61"/>
      <c r="Q31" s="61"/>
      <c r="R31" s="61"/>
      <c r="S31" s="63">
        <v>1</v>
      </c>
      <c r="T31" s="63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7" t="s">
        <v>1759</v>
      </c>
      <c r="AL31" s="67"/>
    </row>
    <row r="32" spans="1:38" ht="15" customHeight="1" x14ac:dyDescent="0.25">
      <c r="A32" s="60">
        <v>21</v>
      </c>
      <c r="B32" s="61" t="s">
        <v>3021</v>
      </c>
      <c r="C32" s="61"/>
      <c r="D32" s="62" t="s">
        <v>2777</v>
      </c>
      <c r="E32" s="61" t="s">
        <v>1766</v>
      </c>
      <c r="F32" s="61" t="s">
        <v>3236</v>
      </c>
      <c r="G32" s="61"/>
      <c r="H32" s="61"/>
      <c r="I32" s="61"/>
      <c r="J32" s="61"/>
      <c r="K32" s="61"/>
      <c r="L32" s="61"/>
      <c r="M32" s="99"/>
      <c r="N32" s="61"/>
      <c r="O32" s="64" t="s">
        <v>4758</v>
      </c>
      <c r="P32" s="61"/>
      <c r="Q32" s="61"/>
      <c r="R32" s="61"/>
      <c r="S32" s="63">
        <v>1</v>
      </c>
      <c r="T32" s="63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7"/>
      <c r="AL32" s="67"/>
    </row>
    <row r="33" spans="1:40" ht="15" customHeight="1" x14ac:dyDescent="0.25">
      <c r="A33" s="60">
        <v>22</v>
      </c>
      <c r="B33" s="61" t="s">
        <v>3022</v>
      </c>
      <c r="C33" s="61"/>
      <c r="D33" s="62" t="s">
        <v>2737</v>
      </c>
      <c r="E33" s="61" t="s">
        <v>1766</v>
      </c>
      <c r="F33" s="61" t="s">
        <v>1273</v>
      </c>
      <c r="G33" s="61"/>
      <c r="H33" s="61"/>
      <c r="I33" s="61"/>
      <c r="J33" s="61"/>
      <c r="K33" s="61"/>
      <c r="L33" s="61"/>
      <c r="M33" s="99"/>
      <c r="N33" s="61"/>
      <c r="O33" s="64" t="s">
        <v>4758</v>
      </c>
      <c r="P33" s="61"/>
      <c r="Q33" s="61"/>
      <c r="R33" s="61"/>
      <c r="S33" s="63">
        <v>1</v>
      </c>
      <c r="T33" s="63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7"/>
      <c r="AL33" s="67"/>
    </row>
    <row r="34" spans="1:40" x14ac:dyDescent="0.25">
      <c r="A34" s="60">
        <v>23</v>
      </c>
      <c r="B34" s="61" t="s">
        <v>3023</v>
      </c>
      <c r="C34" s="61"/>
      <c r="D34" s="62" t="s">
        <v>2740</v>
      </c>
      <c r="E34" s="61" t="s">
        <v>1766</v>
      </c>
      <c r="F34" s="61" t="s">
        <v>1761</v>
      </c>
      <c r="G34" s="61"/>
      <c r="H34" s="61"/>
      <c r="I34" s="61"/>
      <c r="J34" s="61"/>
      <c r="K34" s="61"/>
      <c r="L34" s="61"/>
      <c r="M34" s="99"/>
      <c r="N34" s="61"/>
      <c r="O34" s="64" t="s">
        <v>4758</v>
      </c>
      <c r="P34" s="61"/>
      <c r="Q34" s="61"/>
      <c r="R34" s="61"/>
      <c r="S34" s="63">
        <v>1</v>
      </c>
      <c r="T34" s="63"/>
      <c r="U34" s="64">
        <v>120</v>
      </c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7" t="s">
        <v>1757</v>
      </c>
      <c r="AL34" s="67"/>
    </row>
    <row r="35" spans="1:40" ht="15" customHeight="1" x14ac:dyDescent="0.25">
      <c r="A35" s="60">
        <v>24</v>
      </c>
      <c r="B35" s="61" t="s">
        <v>3024</v>
      </c>
      <c r="C35" s="61"/>
      <c r="D35" s="62" t="s">
        <v>2734</v>
      </c>
      <c r="E35" s="61" t="s">
        <v>1766</v>
      </c>
      <c r="F35" s="61" t="s">
        <v>1078</v>
      </c>
      <c r="G35" s="61"/>
      <c r="H35" s="61"/>
      <c r="I35" s="61"/>
      <c r="J35" s="61"/>
      <c r="K35" s="61"/>
      <c r="L35" s="61"/>
      <c r="M35" s="99"/>
      <c r="N35" s="61"/>
      <c r="O35" s="64" t="s">
        <v>4758</v>
      </c>
      <c r="P35" s="61"/>
      <c r="Q35" s="61"/>
      <c r="R35" s="61"/>
      <c r="S35" s="63">
        <v>1</v>
      </c>
      <c r="T35" s="63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7" t="s">
        <v>1878</v>
      </c>
      <c r="AL35" s="67"/>
    </row>
    <row r="36" spans="1:40" ht="15" customHeight="1" x14ac:dyDescent="0.25">
      <c r="A36" s="60">
        <v>27</v>
      </c>
      <c r="B36" s="61" t="s">
        <v>3027</v>
      </c>
      <c r="C36" s="61"/>
      <c r="D36" s="62" t="s">
        <v>2727</v>
      </c>
      <c r="E36" s="61" t="s">
        <v>1766</v>
      </c>
      <c r="F36" s="61" t="s">
        <v>1082</v>
      </c>
      <c r="G36" s="61"/>
      <c r="H36" s="61"/>
      <c r="I36" s="61"/>
      <c r="J36" s="61"/>
      <c r="K36" s="61"/>
      <c r="L36" s="61"/>
      <c r="M36" s="99"/>
      <c r="N36" s="61"/>
      <c r="O36" s="64" t="s">
        <v>4758</v>
      </c>
      <c r="P36" s="61"/>
      <c r="Q36" s="61"/>
      <c r="R36" s="61"/>
      <c r="S36" s="63">
        <v>1</v>
      </c>
      <c r="T36" s="63"/>
      <c r="U36" s="64">
        <v>70</v>
      </c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64"/>
      <c r="AI36" s="64"/>
      <c r="AJ36" s="64"/>
      <c r="AK36" s="64"/>
      <c r="AL36" s="64"/>
    </row>
    <row r="37" spans="1:40" ht="15" customHeight="1" x14ac:dyDescent="0.25">
      <c r="A37" s="60">
        <v>28</v>
      </c>
      <c r="B37" s="61" t="s">
        <v>3028</v>
      </c>
      <c r="C37" s="61"/>
      <c r="D37" s="62" t="s">
        <v>3593</v>
      </c>
      <c r="E37" s="61" t="s">
        <v>1766</v>
      </c>
      <c r="F37" s="61" t="s">
        <v>3627</v>
      </c>
      <c r="G37" s="61"/>
      <c r="H37" s="61"/>
      <c r="I37" s="61"/>
      <c r="J37" s="61"/>
      <c r="K37" s="61"/>
      <c r="L37" s="61"/>
      <c r="M37" s="99"/>
      <c r="N37" s="61"/>
      <c r="O37" s="64" t="s">
        <v>4758</v>
      </c>
      <c r="P37" s="61"/>
      <c r="Q37" s="61"/>
      <c r="R37" s="61"/>
      <c r="S37" s="63">
        <v>1</v>
      </c>
      <c r="T37" s="63"/>
      <c r="U37" s="64">
        <v>100</v>
      </c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  <c r="AG37" s="64"/>
      <c r="AH37" s="64"/>
      <c r="AI37" s="64"/>
      <c r="AJ37" s="64"/>
      <c r="AK37" s="64"/>
      <c r="AL37" s="65"/>
      <c r="AN37" t="s">
        <v>1768</v>
      </c>
    </row>
    <row r="38" spans="1:40" x14ac:dyDescent="0.25">
      <c r="A38" s="60">
        <v>29</v>
      </c>
      <c r="B38" s="61" t="s">
        <v>3590</v>
      </c>
      <c r="C38" s="61"/>
      <c r="D38" s="62" t="s">
        <v>3594</v>
      </c>
      <c r="E38" s="61" t="s">
        <v>1766</v>
      </c>
      <c r="F38" s="61" t="s">
        <v>3040</v>
      </c>
      <c r="G38" s="61"/>
      <c r="H38" s="61"/>
      <c r="I38" s="61"/>
      <c r="J38" s="61"/>
      <c r="K38" s="61"/>
      <c r="L38" s="61"/>
      <c r="M38" s="99"/>
      <c r="N38" s="61"/>
      <c r="O38" s="64" t="s">
        <v>4758</v>
      </c>
      <c r="P38" s="61"/>
      <c r="Q38" s="61"/>
      <c r="R38" s="61"/>
      <c r="S38" s="63">
        <v>0.9</v>
      </c>
      <c r="T38" s="63"/>
      <c r="U38" s="64">
        <v>160</v>
      </c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64"/>
      <c r="AK38" s="64"/>
      <c r="AL38" s="64"/>
    </row>
    <row r="39" spans="1:40" x14ac:dyDescent="0.25">
      <c r="A39" s="60">
        <v>34</v>
      </c>
      <c r="B39" s="72" t="s">
        <v>3602</v>
      </c>
      <c r="C39" s="72"/>
      <c r="D39" s="73" t="s">
        <v>3604</v>
      </c>
      <c r="E39" s="61" t="s">
        <v>1766</v>
      </c>
      <c r="F39" s="72" t="s">
        <v>3606</v>
      </c>
      <c r="G39" s="72"/>
      <c r="H39" s="72"/>
      <c r="I39" s="72"/>
      <c r="J39" s="72"/>
      <c r="K39" s="72"/>
      <c r="L39" s="72"/>
      <c r="M39" s="97"/>
      <c r="N39" s="72"/>
      <c r="O39" s="74" t="s">
        <v>4758</v>
      </c>
      <c r="P39" s="72"/>
      <c r="Q39" s="72"/>
      <c r="R39" s="72"/>
      <c r="S39" s="63">
        <v>1</v>
      </c>
      <c r="T39" s="63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</row>
    <row r="40" spans="1:40" x14ac:dyDescent="0.25">
      <c r="A40" s="60">
        <v>35</v>
      </c>
      <c r="B40" s="72" t="s">
        <v>3603</v>
      </c>
      <c r="C40" s="72"/>
      <c r="D40" s="73" t="s">
        <v>3605</v>
      </c>
      <c r="E40" s="61" t="s">
        <v>1766</v>
      </c>
      <c r="F40" s="72" t="s">
        <v>3607</v>
      </c>
      <c r="G40" s="72"/>
      <c r="H40" s="72"/>
      <c r="I40" s="72"/>
      <c r="J40" s="72"/>
      <c r="K40" s="72"/>
      <c r="L40" s="72"/>
      <c r="M40" s="97"/>
      <c r="N40" s="72"/>
      <c r="O40" s="74" t="s">
        <v>4758</v>
      </c>
      <c r="P40" s="72"/>
      <c r="Q40" s="72"/>
      <c r="R40" s="72"/>
      <c r="S40" s="63">
        <v>1</v>
      </c>
      <c r="T40" s="63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</row>
    <row r="41" spans="1:40" ht="15" customHeight="1" x14ac:dyDescent="0.25">
      <c r="A41" s="60">
        <v>36</v>
      </c>
      <c r="B41" s="72" t="s">
        <v>3612</v>
      </c>
      <c r="C41" s="72"/>
      <c r="D41" s="73" t="s">
        <v>3613</v>
      </c>
      <c r="E41" s="61" t="s">
        <v>1766</v>
      </c>
      <c r="F41" s="72" t="s">
        <v>3614</v>
      </c>
      <c r="G41" s="72"/>
      <c r="H41" s="72"/>
      <c r="I41" s="72"/>
      <c r="J41" s="72"/>
      <c r="K41" s="72"/>
      <c r="L41" s="72"/>
      <c r="M41" s="97"/>
      <c r="N41" s="72"/>
      <c r="O41" s="74" t="s">
        <v>4758</v>
      </c>
      <c r="P41" s="72"/>
      <c r="Q41" s="72"/>
      <c r="R41" s="72"/>
      <c r="S41" s="63">
        <v>1</v>
      </c>
      <c r="T41" s="63"/>
      <c r="U41" s="74"/>
      <c r="V41" s="74"/>
      <c r="W41" s="74"/>
      <c r="X41" s="74"/>
      <c r="Y41" s="74"/>
      <c r="Z41" s="74"/>
      <c r="AA41" s="74"/>
      <c r="AB41" s="74"/>
      <c r="AC41" s="74"/>
      <c r="AD41" s="74"/>
      <c r="AE41" s="74"/>
      <c r="AF41" s="74"/>
      <c r="AG41" s="74"/>
      <c r="AH41" s="74"/>
      <c r="AI41" s="74"/>
      <c r="AJ41" s="74"/>
      <c r="AK41" s="74"/>
      <c r="AL41" s="74"/>
    </row>
    <row r="42" spans="1:40" x14ac:dyDescent="0.25">
      <c r="A42" s="60">
        <v>54</v>
      </c>
      <c r="B42" s="72" t="s">
        <v>3609</v>
      </c>
      <c r="C42" s="72"/>
      <c r="D42" s="73"/>
      <c r="E42" s="61" t="s">
        <v>1766</v>
      </c>
      <c r="F42" s="72" t="s">
        <v>1078</v>
      </c>
      <c r="G42" s="72"/>
      <c r="H42" s="72"/>
      <c r="I42" s="72"/>
      <c r="J42" s="72"/>
      <c r="K42" s="72"/>
      <c r="L42" s="72"/>
      <c r="M42" s="97"/>
      <c r="N42" s="72"/>
      <c r="O42" s="74" t="s">
        <v>4758</v>
      </c>
      <c r="P42" s="72"/>
      <c r="Q42" s="72"/>
      <c r="R42" s="72"/>
      <c r="S42" s="63">
        <v>1</v>
      </c>
      <c r="T42" s="63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4"/>
      <c r="AL42" s="74"/>
    </row>
    <row r="43" spans="1:40" ht="15" customHeight="1" x14ac:dyDescent="0.25">
      <c r="A43" s="60">
        <v>61</v>
      </c>
      <c r="B43" s="72" t="s">
        <v>3624</v>
      </c>
      <c r="C43" s="72"/>
      <c r="D43" s="73"/>
      <c r="E43" s="61" t="s">
        <v>1766</v>
      </c>
      <c r="F43" s="72" t="s">
        <v>1078</v>
      </c>
      <c r="G43" s="72"/>
      <c r="H43" s="72"/>
      <c r="I43" s="72"/>
      <c r="J43" s="72"/>
      <c r="K43" s="72"/>
      <c r="L43" s="72"/>
      <c r="M43" s="97"/>
      <c r="N43" s="72"/>
      <c r="O43" s="74" t="s">
        <v>4758</v>
      </c>
      <c r="P43" s="72"/>
      <c r="Q43" s="72"/>
      <c r="R43" s="72"/>
      <c r="S43" s="63">
        <v>1</v>
      </c>
      <c r="T43" s="63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</row>
    <row r="44" spans="1:40" ht="15" customHeight="1" x14ac:dyDescent="0.25">
      <c r="A44" s="60">
        <v>57</v>
      </c>
      <c r="B44" s="72" t="s">
        <v>3617</v>
      </c>
      <c r="C44" s="72"/>
      <c r="D44" s="72" t="s">
        <v>2777</v>
      </c>
      <c r="E44" s="61" t="s">
        <v>1766</v>
      </c>
      <c r="F44" s="72" t="s">
        <v>1078</v>
      </c>
      <c r="G44" s="72"/>
      <c r="H44" s="72"/>
      <c r="I44" s="72"/>
      <c r="J44" s="72"/>
      <c r="K44" s="72"/>
      <c r="L44" s="72"/>
      <c r="M44" s="97"/>
      <c r="N44" s="72"/>
      <c r="O44" s="74" t="s">
        <v>4758</v>
      </c>
      <c r="P44" s="72"/>
      <c r="Q44" s="72"/>
      <c r="R44" s="72"/>
      <c r="S44" s="63">
        <v>1</v>
      </c>
      <c r="T44" s="84">
        <v>45764</v>
      </c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</row>
    <row r="45" spans="1:40" ht="15" customHeight="1" x14ac:dyDescent="0.25">
      <c r="A45" s="60">
        <v>32</v>
      </c>
      <c r="B45" s="72" t="s">
        <v>3598</v>
      </c>
      <c r="C45" s="72"/>
      <c r="D45" s="73" t="s">
        <v>3599</v>
      </c>
      <c r="E45" s="61" t="s">
        <v>1766</v>
      </c>
      <c r="F45" s="72" t="s">
        <v>3039</v>
      </c>
      <c r="G45" s="72"/>
      <c r="H45" s="72"/>
      <c r="I45" s="72"/>
      <c r="J45" s="72"/>
      <c r="K45" s="74"/>
      <c r="L45" s="74" t="s">
        <v>4739</v>
      </c>
      <c r="M45" s="97" t="s">
        <v>4647</v>
      </c>
      <c r="N45" s="74"/>
      <c r="O45" s="74" t="s">
        <v>4651</v>
      </c>
      <c r="P45" s="72" t="s">
        <v>4733</v>
      </c>
      <c r="Q45" s="72"/>
      <c r="R45" s="72"/>
      <c r="S45" s="63">
        <v>1</v>
      </c>
      <c r="T45" s="63"/>
      <c r="U45" s="74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74"/>
      <c r="AL45" s="74"/>
    </row>
    <row r="46" spans="1:40" x14ac:dyDescent="0.25">
      <c r="A46" s="60">
        <v>33</v>
      </c>
      <c r="B46" s="72" t="s">
        <v>3600</v>
      </c>
      <c r="C46" s="72"/>
      <c r="D46" s="72" t="s">
        <v>3601</v>
      </c>
      <c r="E46" s="61" t="s">
        <v>1766</v>
      </c>
      <c r="F46" s="72" t="s">
        <v>1082</v>
      </c>
      <c r="G46" s="72"/>
      <c r="H46" s="72"/>
      <c r="I46" s="72"/>
      <c r="J46" s="72"/>
      <c r="K46" s="72"/>
      <c r="L46" s="72"/>
      <c r="M46" s="97"/>
      <c r="N46" s="72"/>
      <c r="O46" s="74"/>
      <c r="P46" s="72"/>
      <c r="Q46" s="72"/>
      <c r="R46" s="72"/>
      <c r="S46" s="63">
        <v>0.9</v>
      </c>
      <c r="T46" s="8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</row>
    <row r="47" spans="1:40" x14ac:dyDescent="0.25">
      <c r="A47" s="60">
        <v>46</v>
      </c>
      <c r="B47" s="72" t="s">
        <v>3941</v>
      </c>
      <c r="C47" s="72"/>
      <c r="D47" s="73" t="s">
        <v>3618</v>
      </c>
      <c r="E47" s="61" t="s">
        <v>1766</v>
      </c>
      <c r="F47" s="72" t="s">
        <v>1078</v>
      </c>
      <c r="G47" s="72"/>
      <c r="H47" s="72">
        <v>4</v>
      </c>
      <c r="I47" s="72" t="s">
        <v>3982</v>
      </c>
      <c r="J47" s="72" t="s">
        <v>3983</v>
      </c>
      <c r="K47" s="74" t="s">
        <v>4743</v>
      </c>
      <c r="L47" s="74" t="s">
        <v>4747</v>
      </c>
      <c r="M47" s="97" t="s">
        <v>4645</v>
      </c>
      <c r="N47" s="74" t="s">
        <v>4747</v>
      </c>
      <c r="O47" s="74" t="s">
        <v>4651</v>
      </c>
      <c r="P47" s="72" t="s">
        <v>4733</v>
      </c>
      <c r="Q47" s="72"/>
      <c r="R47" s="72" t="s">
        <v>3981</v>
      </c>
      <c r="S47" s="63">
        <v>1</v>
      </c>
      <c r="T47" s="63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</row>
    <row r="48" spans="1:40" x14ac:dyDescent="0.25">
      <c r="A48" s="60">
        <v>49</v>
      </c>
      <c r="B48" s="72" t="s">
        <v>3968</v>
      </c>
      <c r="C48" s="72"/>
      <c r="D48" s="73" t="s">
        <v>3618</v>
      </c>
      <c r="E48" s="61" t="s">
        <v>1766</v>
      </c>
      <c r="F48" s="72" t="s">
        <v>1078</v>
      </c>
      <c r="G48" s="72"/>
      <c r="H48" s="72">
        <v>7</v>
      </c>
      <c r="I48" s="72" t="s">
        <v>3986</v>
      </c>
      <c r="J48" s="72" t="s">
        <v>3987</v>
      </c>
      <c r="K48" s="74" t="s">
        <v>4748</v>
      </c>
      <c r="L48" s="74" t="s">
        <v>4746</v>
      </c>
      <c r="M48" s="97" t="s">
        <v>4650</v>
      </c>
      <c r="N48" s="74" t="s">
        <v>4747</v>
      </c>
      <c r="O48" s="74" t="s">
        <v>4651</v>
      </c>
      <c r="P48" s="72" t="s">
        <v>4733</v>
      </c>
      <c r="Q48" s="72" t="s">
        <v>4740</v>
      </c>
      <c r="R48" s="72" t="s">
        <v>3981</v>
      </c>
      <c r="S48" s="63">
        <v>1</v>
      </c>
      <c r="T48" s="63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</row>
    <row r="49" spans="1:38" x14ac:dyDescent="0.25">
      <c r="A49" s="60">
        <v>56</v>
      </c>
      <c r="B49" s="72" t="s">
        <v>3611</v>
      </c>
      <c r="C49" s="72"/>
      <c r="D49" s="73" t="s">
        <v>3621</v>
      </c>
      <c r="E49" s="61" t="s">
        <v>1766</v>
      </c>
      <c r="F49" s="72" t="s">
        <v>3614</v>
      </c>
      <c r="G49" s="72"/>
      <c r="H49" s="72"/>
      <c r="I49" s="72"/>
      <c r="J49" s="72"/>
      <c r="K49" s="74" t="s">
        <v>4744</v>
      </c>
      <c r="L49" s="74" t="s">
        <v>4750</v>
      </c>
      <c r="M49" s="97" t="s">
        <v>4645</v>
      </c>
      <c r="N49" s="74" t="s">
        <v>4768</v>
      </c>
      <c r="O49" s="74" t="s">
        <v>4758</v>
      </c>
      <c r="P49" s="72" t="s">
        <v>4733</v>
      </c>
      <c r="Q49" s="72" t="s">
        <v>4740</v>
      </c>
      <c r="R49" s="72" t="s">
        <v>3981</v>
      </c>
      <c r="S49" s="63">
        <v>1</v>
      </c>
      <c r="T49" s="63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  <c r="AI49" s="74"/>
      <c r="AJ49" s="74"/>
      <c r="AK49" s="74"/>
      <c r="AL49" s="74"/>
    </row>
    <row r="50" spans="1:38" x14ac:dyDescent="0.25">
      <c r="A50" s="60">
        <v>63</v>
      </c>
      <c r="B50" s="72" t="s">
        <v>3944</v>
      </c>
      <c r="C50" s="72"/>
      <c r="D50" s="72"/>
      <c r="E50" s="61" t="s">
        <v>1766</v>
      </c>
      <c r="F50" s="72" t="s">
        <v>3040</v>
      </c>
      <c r="G50" s="72"/>
      <c r="H50" s="72"/>
      <c r="I50" s="72"/>
      <c r="J50" s="72"/>
      <c r="K50" s="74" t="s">
        <v>4753</v>
      </c>
      <c r="L50" s="74" t="s">
        <v>4750</v>
      </c>
      <c r="M50" s="97" t="s">
        <v>4769</v>
      </c>
      <c r="N50" s="74" t="s">
        <v>4770</v>
      </c>
      <c r="O50" s="74" t="s">
        <v>4758</v>
      </c>
      <c r="P50" s="72" t="s">
        <v>4733</v>
      </c>
      <c r="Q50" s="72" t="s">
        <v>4740</v>
      </c>
      <c r="R50" s="72" t="s">
        <v>3981</v>
      </c>
      <c r="S50" s="63">
        <v>1</v>
      </c>
      <c r="T50" s="104">
        <v>45792</v>
      </c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</row>
    <row r="51" spans="1:38" x14ac:dyDescent="0.25">
      <c r="A51" s="60">
        <v>64</v>
      </c>
      <c r="B51" s="72" t="s">
        <v>3691</v>
      </c>
      <c r="C51" s="72"/>
      <c r="D51" s="72"/>
      <c r="E51" s="61" t="s">
        <v>1766</v>
      </c>
      <c r="F51" s="72" t="s">
        <v>4283</v>
      </c>
      <c r="G51" s="72"/>
      <c r="H51" s="72"/>
      <c r="I51" s="72"/>
      <c r="J51" s="72"/>
      <c r="K51" s="74">
        <v>0</v>
      </c>
      <c r="L51" s="74" t="s">
        <v>4771</v>
      </c>
      <c r="M51" s="97" t="s">
        <v>4645</v>
      </c>
      <c r="N51" s="74" t="s">
        <v>4747</v>
      </c>
      <c r="O51" s="74" t="s">
        <v>4758</v>
      </c>
      <c r="P51" s="72" t="s">
        <v>4733</v>
      </c>
      <c r="Q51" s="72" t="s">
        <v>4740</v>
      </c>
      <c r="R51" s="72" t="s">
        <v>3981</v>
      </c>
      <c r="S51" s="63">
        <v>1</v>
      </c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</row>
    <row r="52" spans="1:38" x14ac:dyDescent="0.25">
      <c r="A52" s="60">
        <v>66</v>
      </c>
      <c r="B52" s="72" t="s">
        <v>4043</v>
      </c>
      <c r="C52" s="72"/>
      <c r="D52" s="72"/>
      <c r="E52" s="61" t="s">
        <v>1766</v>
      </c>
      <c r="F52" s="72" t="s">
        <v>1078</v>
      </c>
      <c r="G52" s="72"/>
      <c r="H52" s="72"/>
      <c r="I52" s="72"/>
      <c r="J52" s="72"/>
      <c r="K52" s="74" t="s">
        <v>4755</v>
      </c>
      <c r="L52" s="74" t="s">
        <v>4746</v>
      </c>
      <c r="M52" s="97" t="s">
        <v>4756</v>
      </c>
      <c r="N52" s="74" t="s">
        <v>4757</v>
      </c>
      <c r="O52" s="74" t="s">
        <v>4758</v>
      </c>
      <c r="P52" s="72" t="s">
        <v>4733</v>
      </c>
      <c r="Q52" s="72" t="s">
        <v>4740</v>
      </c>
      <c r="R52" s="72" t="s">
        <v>3981</v>
      </c>
      <c r="S52" s="74">
        <v>100</v>
      </c>
      <c r="T52" s="98"/>
      <c r="U52" s="98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98" t="s">
        <v>4759</v>
      </c>
      <c r="AL52" s="74"/>
    </row>
    <row r="53" spans="1:38" x14ac:dyDescent="0.25">
      <c r="A53" s="60">
        <v>40</v>
      </c>
      <c r="B53" s="72" t="s">
        <v>3965</v>
      </c>
      <c r="C53" s="72"/>
      <c r="D53" s="73" t="s">
        <v>3618</v>
      </c>
      <c r="E53" s="61" t="s">
        <v>1766</v>
      </c>
      <c r="F53" s="72" t="s">
        <v>4019</v>
      </c>
      <c r="G53" s="72"/>
      <c r="H53" s="72">
        <v>1</v>
      </c>
      <c r="I53" s="72" t="s">
        <v>3969</v>
      </c>
      <c r="J53" s="72" t="s">
        <v>3974</v>
      </c>
      <c r="K53" s="74" t="s">
        <v>4741</v>
      </c>
      <c r="L53" s="74" t="s">
        <v>4739</v>
      </c>
      <c r="M53" s="97" t="s">
        <v>4644</v>
      </c>
      <c r="N53" s="74"/>
      <c r="O53" s="74" t="s">
        <v>4651</v>
      </c>
      <c r="P53" s="72" t="s">
        <v>4733</v>
      </c>
      <c r="Q53" s="72" t="s">
        <v>4740</v>
      </c>
      <c r="R53" s="72" t="s">
        <v>3979</v>
      </c>
      <c r="S53" s="63">
        <v>1</v>
      </c>
      <c r="T53" s="63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 t="s">
        <v>3060</v>
      </c>
      <c r="AL53" s="74"/>
    </row>
    <row r="54" spans="1:38" x14ac:dyDescent="0.25">
      <c r="A54" s="60">
        <v>41</v>
      </c>
      <c r="B54" s="72" t="s">
        <v>3966</v>
      </c>
      <c r="C54" s="72"/>
      <c r="D54" s="73" t="s">
        <v>3618</v>
      </c>
      <c r="E54" s="61" t="s">
        <v>1766</v>
      </c>
      <c r="F54" s="72" t="s">
        <v>4017</v>
      </c>
      <c r="G54" s="72"/>
      <c r="H54" s="72">
        <v>2</v>
      </c>
      <c r="I54" s="72" t="s">
        <v>3972</v>
      </c>
      <c r="J54" s="72" t="s">
        <v>3973</v>
      </c>
      <c r="K54" s="74" t="s">
        <v>4742</v>
      </c>
      <c r="L54" s="74" t="s">
        <v>4739</v>
      </c>
      <c r="M54" s="97" t="s">
        <v>4643</v>
      </c>
      <c r="N54" s="74"/>
      <c r="O54" s="74" t="s">
        <v>4651</v>
      </c>
      <c r="P54" s="72" t="s">
        <v>4656</v>
      </c>
      <c r="Q54" s="72"/>
      <c r="R54" s="72" t="s">
        <v>3979</v>
      </c>
      <c r="S54" s="63">
        <v>1</v>
      </c>
      <c r="T54" s="63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 t="s">
        <v>3060</v>
      </c>
      <c r="AL54" s="74"/>
    </row>
    <row r="55" spans="1:38" x14ac:dyDescent="0.25">
      <c r="A55" s="60">
        <v>45</v>
      </c>
      <c r="B55" s="72" t="s">
        <v>3940</v>
      </c>
      <c r="C55" s="72"/>
      <c r="D55" s="73" t="s">
        <v>3618</v>
      </c>
      <c r="E55" s="61" t="s">
        <v>1766</v>
      </c>
      <c r="F55" s="72" t="s">
        <v>3939</v>
      </c>
      <c r="G55" s="72"/>
      <c r="H55" s="72">
        <v>3</v>
      </c>
      <c r="I55" s="72" t="s">
        <v>3972</v>
      </c>
      <c r="J55" s="72" t="s">
        <v>3976</v>
      </c>
      <c r="K55" s="74" t="s">
        <v>4744</v>
      </c>
      <c r="L55" s="74" t="s">
        <v>4739</v>
      </c>
      <c r="M55" s="97"/>
      <c r="N55" s="74"/>
      <c r="O55" s="74" t="s">
        <v>4651</v>
      </c>
      <c r="P55" s="72"/>
      <c r="Q55" s="72" t="s">
        <v>4740</v>
      </c>
      <c r="R55" s="72" t="s">
        <v>3980</v>
      </c>
      <c r="S55" s="63">
        <v>1</v>
      </c>
      <c r="T55" s="63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 t="s">
        <v>3060</v>
      </c>
      <c r="AL55" s="74"/>
    </row>
    <row r="56" spans="1:38" x14ac:dyDescent="0.25">
      <c r="A56" s="60">
        <v>47</v>
      </c>
      <c r="B56" s="72" t="s">
        <v>3942</v>
      </c>
      <c r="C56" s="72"/>
      <c r="D56" s="73" t="s">
        <v>3618</v>
      </c>
      <c r="E56" s="61" t="s">
        <v>1766</v>
      </c>
      <c r="F56" s="72" t="s">
        <v>1078</v>
      </c>
      <c r="G56" s="72"/>
      <c r="H56" s="72">
        <v>5</v>
      </c>
      <c r="I56" s="72" t="s">
        <v>3972</v>
      </c>
      <c r="J56" s="72" t="s">
        <v>3976</v>
      </c>
      <c r="K56" s="74" t="s">
        <v>4743</v>
      </c>
      <c r="L56" s="74" t="s">
        <v>4746</v>
      </c>
      <c r="M56" s="97" t="s">
        <v>4645</v>
      </c>
      <c r="N56" s="74" t="s">
        <v>4747</v>
      </c>
      <c r="O56" s="74" t="s">
        <v>4651</v>
      </c>
      <c r="P56" s="72" t="s">
        <v>4655</v>
      </c>
      <c r="Q56" s="72"/>
      <c r="R56" s="72" t="s">
        <v>3981</v>
      </c>
      <c r="S56" s="63">
        <v>1</v>
      </c>
      <c r="T56" s="63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 t="s">
        <v>4745</v>
      </c>
      <c r="AL56" s="74"/>
    </row>
    <row r="57" spans="1:38" x14ac:dyDescent="0.25">
      <c r="A57" s="60">
        <v>48</v>
      </c>
      <c r="B57" s="72" t="s">
        <v>3943</v>
      </c>
      <c r="C57" s="72"/>
      <c r="D57" s="73" t="s">
        <v>3618</v>
      </c>
      <c r="E57" s="61" t="s">
        <v>1766</v>
      </c>
      <c r="F57" s="72" t="s">
        <v>1078</v>
      </c>
      <c r="G57" s="72"/>
      <c r="H57" s="72">
        <v>6</v>
      </c>
      <c r="I57" s="72" t="s">
        <v>3972</v>
      </c>
      <c r="J57" s="72" t="s">
        <v>3974</v>
      </c>
      <c r="K57" s="74" t="s">
        <v>4741</v>
      </c>
      <c r="L57" s="74" t="s">
        <v>4746</v>
      </c>
      <c r="M57" s="97" t="s">
        <v>4644</v>
      </c>
      <c r="N57" s="74" t="s">
        <v>4739</v>
      </c>
      <c r="O57" s="74" t="s">
        <v>4651</v>
      </c>
      <c r="P57" s="72" t="s">
        <v>4654</v>
      </c>
      <c r="Q57" s="72"/>
      <c r="R57" s="72" t="s">
        <v>3981</v>
      </c>
      <c r="S57" s="63">
        <v>1</v>
      </c>
      <c r="T57" s="63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  <c r="AG57" s="74"/>
      <c r="AH57" s="74"/>
      <c r="AI57" s="74"/>
      <c r="AJ57" s="74"/>
      <c r="AK57" s="74"/>
      <c r="AL57" s="74"/>
    </row>
    <row r="58" spans="1:38" x14ac:dyDescent="0.25">
      <c r="A58" s="60">
        <v>50</v>
      </c>
      <c r="B58" s="72" t="s">
        <v>3964</v>
      </c>
      <c r="C58" s="72"/>
      <c r="D58" s="73" t="s">
        <v>3618</v>
      </c>
      <c r="E58" s="61" t="s">
        <v>1766</v>
      </c>
      <c r="F58" s="72" t="s">
        <v>1082</v>
      </c>
      <c r="G58" s="72"/>
      <c r="H58" s="72"/>
      <c r="I58" s="72" t="s">
        <v>3984</v>
      </c>
      <c r="J58" s="72" t="s">
        <v>3974</v>
      </c>
      <c r="K58" s="74" t="s">
        <v>4744</v>
      </c>
      <c r="L58" s="74" t="s">
        <v>4749</v>
      </c>
      <c r="M58" s="97" t="s">
        <v>4645</v>
      </c>
      <c r="N58" s="74" t="s">
        <v>4747</v>
      </c>
      <c r="O58" s="74" t="s">
        <v>4763</v>
      </c>
      <c r="P58" s="72" t="s">
        <v>4733</v>
      </c>
      <c r="Q58" s="72" t="s">
        <v>4740</v>
      </c>
      <c r="R58" s="72" t="s">
        <v>3985</v>
      </c>
      <c r="S58" s="63">
        <v>1</v>
      </c>
      <c r="T58" s="63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4"/>
      <c r="AI58" s="74"/>
      <c r="AJ58" s="74"/>
      <c r="AK58" s="74"/>
      <c r="AL58" s="74"/>
    </row>
    <row r="59" spans="1:38" x14ac:dyDescent="0.25">
      <c r="A59" s="60">
        <v>51</v>
      </c>
      <c r="B59" s="72" t="s">
        <v>4760</v>
      </c>
      <c r="C59" s="72"/>
      <c r="D59" s="73" t="s">
        <v>3618</v>
      </c>
      <c r="E59" s="61" t="s">
        <v>1766</v>
      </c>
      <c r="F59" s="72" t="s">
        <v>4403</v>
      </c>
      <c r="G59" s="72"/>
      <c r="H59" s="72"/>
      <c r="I59" s="72"/>
      <c r="J59" s="72"/>
      <c r="K59" s="72" t="s">
        <v>4743</v>
      </c>
      <c r="L59" s="72" t="s">
        <v>4762</v>
      </c>
      <c r="M59" s="97" t="s">
        <v>4767</v>
      </c>
      <c r="N59" s="72" t="s">
        <v>4908</v>
      </c>
      <c r="O59" s="74" t="s">
        <v>4763</v>
      </c>
      <c r="P59" s="72" t="s">
        <v>4733</v>
      </c>
      <c r="Q59" s="72" t="s">
        <v>4740</v>
      </c>
      <c r="R59" s="72" t="s">
        <v>3980</v>
      </c>
      <c r="S59" s="63">
        <v>1</v>
      </c>
      <c r="T59" s="63"/>
      <c r="U59" s="74"/>
      <c r="V59" s="74"/>
      <c r="W59" s="74"/>
      <c r="X59" s="74"/>
      <c r="Y59" s="74"/>
      <c r="Z59" s="74"/>
      <c r="AA59" s="74"/>
      <c r="AB59" s="74"/>
      <c r="AC59" s="74"/>
      <c r="AD59" s="74"/>
      <c r="AE59" s="74"/>
      <c r="AF59" s="74"/>
      <c r="AG59" s="74"/>
      <c r="AH59" s="74"/>
      <c r="AI59" s="74"/>
      <c r="AJ59" s="74"/>
      <c r="AK59" s="74" t="s">
        <v>3060</v>
      </c>
      <c r="AL59" s="74"/>
    </row>
    <row r="60" spans="1:38" x14ac:dyDescent="0.25">
      <c r="A60" s="60">
        <v>52</v>
      </c>
      <c r="B60" s="72" t="s">
        <v>4761</v>
      </c>
      <c r="C60" s="72"/>
      <c r="D60" s="73" t="s">
        <v>3618</v>
      </c>
      <c r="E60" s="61" t="s">
        <v>1766</v>
      </c>
      <c r="F60" s="72" t="s">
        <v>4403</v>
      </c>
      <c r="G60" s="72"/>
      <c r="H60" s="72"/>
      <c r="I60" s="72"/>
      <c r="J60" s="72"/>
      <c r="K60" s="72" t="s">
        <v>4744</v>
      </c>
      <c r="L60" s="72" t="s">
        <v>4762</v>
      </c>
      <c r="M60" s="97" t="s">
        <v>4907</v>
      </c>
      <c r="N60" s="72" t="s">
        <v>4907</v>
      </c>
      <c r="O60" s="74" t="s">
        <v>4763</v>
      </c>
      <c r="P60" s="72" t="s">
        <v>4733</v>
      </c>
      <c r="Q60" s="72" t="s">
        <v>4740</v>
      </c>
      <c r="R60" s="72" t="s">
        <v>3980</v>
      </c>
      <c r="S60" s="63">
        <v>1</v>
      </c>
      <c r="T60" s="63"/>
      <c r="U60" s="74"/>
      <c r="V60" s="74"/>
      <c r="W60" s="74"/>
      <c r="X60" s="74"/>
      <c r="Y60" s="74"/>
      <c r="Z60" s="74"/>
      <c r="AA60" s="74"/>
      <c r="AB60" s="74"/>
      <c r="AC60" s="74"/>
      <c r="AD60" s="74"/>
      <c r="AE60" s="74"/>
      <c r="AF60" s="74"/>
      <c r="AG60" s="74"/>
      <c r="AH60" s="74"/>
      <c r="AI60" s="74"/>
      <c r="AJ60" s="74"/>
      <c r="AK60" s="74" t="s">
        <v>3060</v>
      </c>
      <c r="AL60" s="74"/>
    </row>
    <row r="61" spans="1:38" x14ac:dyDescent="0.25">
      <c r="A61" s="60">
        <v>53</v>
      </c>
      <c r="B61" s="72" t="s">
        <v>3608</v>
      </c>
      <c r="C61" s="72"/>
      <c r="D61" s="72" t="s">
        <v>3619</v>
      </c>
      <c r="E61" s="61" t="s">
        <v>1766</v>
      </c>
      <c r="F61" s="72" t="s">
        <v>1085</v>
      </c>
      <c r="G61" s="72" t="s">
        <v>3692</v>
      </c>
      <c r="H61" s="72"/>
      <c r="I61" s="72"/>
      <c r="J61" s="72"/>
      <c r="K61" s="72" t="s">
        <v>4741</v>
      </c>
      <c r="L61" s="72" t="s">
        <v>4750</v>
      </c>
      <c r="M61" s="97" t="s">
        <v>4767</v>
      </c>
      <c r="N61" s="72" t="s">
        <v>4766</v>
      </c>
      <c r="O61" s="74"/>
      <c r="P61" s="72" t="s">
        <v>4733</v>
      </c>
      <c r="Q61" s="72" t="s">
        <v>4740</v>
      </c>
      <c r="R61" s="72" t="s">
        <v>3980</v>
      </c>
      <c r="S61" s="63">
        <v>1</v>
      </c>
      <c r="T61" s="84"/>
      <c r="U61" s="74"/>
      <c r="V61" s="74"/>
      <c r="W61" s="74"/>
      <c r="X61" s="74"/>
      <c r="Y61" s="74"/>
      <c r="Z61" s="74"/>
      <c r="AA61" s="74"/>
      <c r="AB61" s="74"/>
      <c r="AC61" s="74"/>
      <c r="AD61" s="74"/>
      <c r="AE61" s="74"/>
      <c r="AF61" s="74"/>
      <c r="AG61" s="74"/>
      <c r="AH61" s="74"/>
      <c r="AI61" s="74"/>
      <c r="AJ61" s="74"/>
      <c r="AK61" s="74" t="s">
        <v>4765</v>
      </c>
      <c r="AL61" s="74"/>
    </row>
    <row r="62" spans="1:38" x14ac:dyDescent="0.25">
      <c r="A62" s="127">
        <v>85</v>
      </c>
      <c r="B62" s="72" t="s">
        <v>4751</v>
      </c>
      <c r="C62" s="72"/>
      <c r="D62" s="73" t="s">
        <v>4991</v>
      </c>
      <c r="E62" s="61" t="s">
        <v>1766</v>
      </c>
      <c r="F62" s="72" t="s">
        <v>4403</v>
      </c>
      <c r="G62" s="72"/>
      <c r="H62" s="72"/>
      <c r="I62" s="72"/>
      <c r="J62" s="72"/>
      <c r="K62" s="72" t="s">
        <v>4742</v>
      </c>
      <c r="L62" s="72" t="s">
        <v>4925</v>
      </c>
      <c r="M62" s="97"/>
      <c r="N62" s="74"/>
      <c r="O62" s="74"/>
      <c r="P62" s="72"/>
      <c r="Q62" s="72"/>
      <c r="R62" s="72"/>
      <c r="S62" s="63">
        <v>1</v>
      </c>
      <c r="T62" s="74"/>
      <c r="U62" s="74"/>
      <c r="V62" s="74"/>
      <c r="W62" s="74"/>
      <c r="X62" s="74"/>
      <c r="Y62" s="74"/>
      <c r="Z62" s="74"/>
      <c r="AA62" s="74"/>
      <c r="AB62" s="74"/>
      <c r="AC62" s="74"/>
      <c r="AD62" s="74"/>
      <c r="AE62" s="74"/>
      <c r="AF62" s="74"/>
      <c r="AG62" s="74"/>
      <c r="AH62" s="74"/>
      <c r="AI62" s="74"/>
      <c r="AJ62" s="74"/>
      <c r="AK62" s="74"/>
      <c r="AL62" s="74"/>
    </row>
    <row r="63" spans="1:38" x14ac:dyDescent="0.25">
      <c r="A63" s="60">
        <v>30</v>
      </c>
      <c r="B63" s="61" t="s">
        <v>3591</v>
      </c>
      <c r="C63" s="61"/>
      <c r="D63" s="62" t="s">
        <v>3595</v>
      </c>
      <c r="E63" s="61" t="s">
        <v>1766</v>
      </c>
      <c r="F63" s="61" t="s">
        <v>1082</v>
      </c>
      <c r="G63" s="61"/>
      <c r="H63" s="61"/>
      <c r="I63" s="61"/>
      <c r="J63" s="61"/>
      <c r="K63" s="61" t="s">
        <v>4741</v>
      </c>
      <c r="L63" s="61" t="s">
        <v>4910</v>
      </c>
      <c r="M63" s="99" t="s">
        <v>4740</v>
      </c>
      <c r="N63" s="61" t="s">
        <v>4770</v>
      </c>
      <c r="O63" s="64" t="s">
        <v>4909</v>
      </c>
      <c r="P63" s="131" t="s">
        <v>4740</v>
      </c>
      <c r="Q63" s="61" t="s">
        <v>4740</v>
      </c>
      <c r="R63" s="61" t="s">
        <v>3981</v>
      </c>
      <c r="S63" s="63">
        <v>1</v>
      </c>
      <c r="T63" s="63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</row>
    <row r="64" spans="1:38" x14ac:dyDescent="0.25">
      <c r="A64" s="60">
        <v>42</v>
      </c>
      <c r="B64" s="72" t="s">
        <v>4018</v>
      </c>
      <c r="C64" s="72"/>
      <c r="D64" s="73" t="s">
        <v>3618</v>
      </c>
      <c r="E64" s="61" t="s">
        <v>1766</v>
      </c>
      <c r="F64" s="72" t="s">
        <v>1085</v>
      </c>
      <c r="G64" s="72"/>
      <c r="H64" s="72"/>
      <c r="I64" s="72" t="s">
        <v>3975</v>
      </c>
      <c r="J64" s="72" t="s">
        <v>3976</v>
      </c>
      <c r="K64" s="74" t="s">
        <v>4743</v>
      </c>
      <c r="L64" s="74" t="s">
        <v>4747</v>
      </c>
      <c r="M64" s="97"/>
      <c r="N64" s="74"/>
      <c r="O64" s="74"/>
      <c r="P64" s="72"/>
      <c r="Q64" s="72" t="s">
        <v>4734</v>
      </c>
      <c r="R64" s="72" t="s">
        <v>3979</v>
      </c>
      <c r="S64" s="63">
        <v>1</v>
      </c>
      <c r="T64" s="63"/>
      <c r="U64" s="74"/>
      <c r="V64" s="74"/>
      <c r="W64" s="74"/>
      <c r="X64" s="74"/>
      <c r="Y64" s="74"/>
      <c r="Z64" s="74"/>
      <c r="AA64" s="74"/>
      <c r="AB64" s="74"/>
      <c r="AC64" s="74"/>
      <c r="AD64" s="74"/>
      <c r="AE64" s="74"/>
      <c r="AF64" s="74"/>
      <c r="AG64" s="74"/>
      <c r="AH64" s="74"/>
      <c r="AI64" s="74"/>
      <c r="AJ64" s="74"/>
      <c r="AK64" s="74"/>
      <c r="AL64" s="74"/>
    </row>
    <row r="65" spans="1:38" ht="15" customHeight="1" x14ac:dyDescent="0.25">
      <c r="A65" s="60">
        <v>43</v>
      </c>
      <c r="B65" s="72" t="s">
        <v>3967</v>
      </c>
      <c r="C65" s="72"/>
      <c r="D65" s="73" t="s">
        <v>3618</v>
      </c>
      <c r="E65" s="61" t="s">
        <v>1766</v>
      </c>
      <c r="F65" s="72" t="s">
        <v>4284</v>
      </c>
      <c r="G65" s="72"/>
      <c r="H65" s="72"/>
      <c r="I65" s="72" t="s">
        <v>3972</v>
      </c>
      <c r="J65" s="72" t="s">
        <v>3977</v>
      </c>
      <c r="K65" s="74" t="s">
        <v>4743</v>
      </c>
      <c r="L65" s="74" t="s">
        <v>4750</v>
      </c>
      <c r="M65" s="97"/>
      <c r="N65" s="74"/>
      <c r="O65" s="74"/>
      <c r="P65" s="72"/>
      <c r="Q65" s="72" t="s">
        <v>4656</v>
      </c>
      <c r="R65" s="72" t="s">
        <v>4016</v>
      </c>
      <c r="S65" s="63">
        <v>1</v>
      </c>
      <c r="T65" s="63"/>
      <c r="U65" s="74"/>
      <c r="V65" s="74"/>
      <c r="W65" s="74"/>
      <c r="X65" s="74"/>
      <c r="Y65" s="74"/>
      <c r="Z65" s="74"/>
      <c r="AA65" s="74"/>
      <c r="AB65" s="74"/>
      <c r="AC65" s="74"/>
      <c r="AD65" s="74"/>
      <c r="AE65" s="74"/>
      <c r="AF65" s="74"/>
      <c r="AG65" s="74"/>
      <c r="AH65" s="74"/>
      <c r="AI65" s="74"/>
      <c r="AJ65" s="74"/>
      <c r="AK65" s="74"/>
      <c r="AL65" s="128"/>
    </row>
    <row r="66" spans="1:38" ht="15" customHeight="1" x14ac:dyDescent="0.25">
      <c r="A66" s="60">
        <v>65</v>
      </c>
      <c r="B66" s="72" t="s">
        <v>4809</v>
      </c>
      <c r="C66" s="72"/>
      <c r="D66" s="73" t="s">
        <v>4990</v>
      </c>
      <c r="E66" s="61" t="s">
        <v>1766</v>
      </c>
      <c r="F66" s="72" t="s">
        <v>3040</v>
      </c>
      <c r="G66" s="72"/>
      <c r="H66" s="72"/>
      <c r="I66" s="72"/>
      <c r="J66" s="72"/>
      <c r="K66" s="72" t="s">
        <v>4774</v>
      </c>
      <c r="L66" s="72" t="s">
        <v>4775</v>
      </c>
      <c r="M66" s="97">
        <v>0</v>
      </c>
      <c r="N66" s="72" t="s">
        <v>4764</v>
      </c>
      <c r="O66" s="74" t="s">
        <v>4909</v>
      </c>
      <c r="P66" s="72" t="s">
        <v>4740</v>
      </c>
      <c r="Q66" s="72" t="s">
        <v>4740</v>
      </c>
      <c r="R66" s="72" t="s">
        <v>3981</v>
      </c>
      <c r="S66" s="63">
        <v>1</v>
      </c>
      <c r="T66" s="74"/>
      <c r="U66" s="74"/>
      <c r="V66" s="74"/>
      <c r="W66" s="74"/>
      <c r="X66" s="74"/>
      <c r="Y66" s="74"/>
      <c r="Z66" s="74"/>
      <c r="AA66" s="74"/>
      <c r="AB66" s="74"/>
      <c r="AC66" s="74"/>
      <c r="AD66" s="74"/>
      <c r="AE66" s="74"/>
      <c r="AF66" s="74"/>
      <c r="AG66" s="74"/>
      <c r="AH66" s="74"/>
      <c r="AI66" s="74"/>
      <c r="AJ66" s="74"/>
      <c r="AK66" s="74"/>
      <c r="AL66" s="128"/>
    </row>
    <row r="67" spans="1:38" x14ac:dyDescent="0.25">
      <c r="A67" s="60">
        <v>16</v>
      </c>
      <c r="B67" s="61" t="s">
        <v>3029</v>
      </c>
      <c r="C67" s="61"/>
      <c r="D67" s="62" t="s">
        <v>2729</v>
      </c>
      <c r="E67" s="61" t="s">
        <v>1766</v>
      </c>
      <c r="F67" s="61" t="s">
        <v>3938</v>
      </c>
      <c r="G67" s="61" t="s">
        <v>3597</v>
      </c>
      <c r="H67" s="61"/>
      <c r="I67" s="61"/>
      <c r="J67" s="61"/>
      <c r="K67" s="64">
        <v>0</v>
      </c>
      <c r="L67" s="64" t="s">
        <v>4772</v>
      </c>
      <c r="M67" s="99" t="s">
        <v>4645</v>
      </c>
      <c r="N67" s="64" t="s">
        <v>4747</v>
      </c>
      <c r="O67" s="64" t="s">
        <v>4758</v>
      </c>
      <c r="P67" s="61" t="s">
        <v>4652</v>
      </c>
      <c r="Q67" s="61" t="s">
        <v>4740</v>
      </c>
      <c r="R67" s="61" t="s">
        <v>3981</v>
      </c>
      <c r="S67" s="63">
        <v>1</v>
      </c>
      <c r="T67" s="63"/>
      <c r="U67" s="64"/>
      <c r="V67" s="64"/>
      <c r="W67" s="64"/>
      <c r="X67" s="64"/>
      <c r="Y67" s="64"/>
      <c r="Z67" s="64"/>
      <c r="AA67" s="64"/>
      <c r="AB67" s="64"/>
      <c r="AC67" s="64">
        <v>14249.38</v>
      </c>
      <c r="AD67" s="64">
        <v>14791.74</v>
      </c>
      <c r="AE67" s="64">
        <v>542.36</v>
      </c>
      <c r="AF67" s="64"/>
      <c r="AG67" s="64">
        <v>42.36</v>
      </c>
      <c r="AH67" s="66" t="s">
        <v>1873</v>
      </c>
      <c r="AI67" s="64">
        <v>6.9660000000000002</v>
      </c>
      <c r="AJ67" s="64">
        <v>76.628</v>
      </c>
      <c r="AK67" s="67" t="s">
        <v>4773</v>
      </c>
      <c r="AL67" s="67"/>
    </row>
    <row r="68" spans="1:38" x14ac:dyDescent="0.25">
      <c r="A68" s="60">
        <v>17</v>
      </c>
      <c r="B68" s="61" t="s">
        <v>3018</v>
      </c>
      <c r="C68" s="61"/>
      <c r="D68" s="62" t="s">
        <v>2730</v>
      </c>
      <c r="E68" s="61" t="s">
        <v>1766</v>
      </c>
      <c r="F68" s="61" t="s">
        <v>1085</v>
      </c>
      <c r="G68" s="61" t="s">
        <v>1085</v>
      </c>
      <c r="H68" s="61"/>
      <c r="I68" s="61"/>
      <c r="J68" s="61"/>
      <c r="K68" s="64">
        <v>0</v>
      </c>
      <c r="L68" s="64" t="s">
        <v>4826</v>
      </c>
      <c r="M68" s="99" t="s">
        <v>4776</v>
      </c>
      <c r="N68" s="64" t="s">
        <v>4747</v>
      </c>
      <c r="O68" s="64" t="s">
        <v>4758</v>
      </c>
      <c r="P68" s="61" t="s">
        <v>4653</v>
      </c>
      <c r="Q68" s="61" t="s">
        <v>4740</v>
      </c>
      <c r="R68" s="61" t="s">
        <v>3981</v>
      </c>
      <c r="S68" s="63">
        <v>1</v>
      </c>
      <c r="T68" s="63"/>
      <c r="U68" s="64"/>
      <c r="V68" s="64"/>
      <c r="W68" s="64"/>
      <c r="X68" s="64"/>
      <c r="Y68" s="64"/>
      <c r="Z68" s="64"/>
      <c r="AA68" s="64"/>
      <c r="AB68" s="64"/>
      <c r="AC68" s="64">
        <v>9493.33</v>
      </c>
      <c r="AD68" s="64"/>
      <c r="AE68" s="64"/>
      <c r="AF68" s="64"/>
      <c r="AG68" s="64"/>
      <c r="AH68" s="64"/>
      <c r="AI68" s="64"/>
      <c r="AJ68" s="64"/>
      <c r="AK68" s="67" t="s">
        <v>4777</v>
      </c>
      <c r="AL68" s="67"/>
    </row>
    <row r="69" spans="1:38" x14ac:dyDescent="0.25">
      <c r="A69" s="60">
        <v>83</v>
      </c>
      <c r="B69" s="72" t="s">
        <v>4905</v>
      </c>
      <c r="C69" s="72"/>
      <c r="D69" s="72"/>
      <c r="E69" s="61" t="s">
        <v>1766</v>
      </c>
      <c r="F69" s="72" t="s">
        <v>1078</v>
      </c>
      <c r="G69" s="72"/>
      <c r="H69" s="72"/>
      <c r="I69" s="72"/>
      <c r="J69" s="72"/>
      <c r="K69" s="72" t="s">
        <v>4906</v>
      </c>
      <c r="L69" s="72" t="s">
        <v>4746</v>
      </c>
      <c r="M69" s="97">
        <v>0</v>
      </c>
      <c r="N69" s="74" t="s">
        <v>5699</v>
      </c>
      <c r="O69" s="74" t="s">
        <v>4758</v>
      </c>
      <c r="P69" s="72" t="s">
        <v>4733</v>
      </c>
      <c r="Q69" s="72"/>
      <c r="R69" s="72" t="s">
        <v>3981</v>
      </c>
      <c r="S69" s="63">
        <v>1</v>
      </c>
      <c r="T69" s="74"/>
      <c r="U69" s="74"/>
      <c r="V69" s="74"/>
      <c r="W69" s="74"/>
      <c r="X69" s="74"/>
      <c r="Y69" s="74"/>
      <c r="Z69" s="74"/>
      <c r="AA69" s="74"/>
      <c r="AB69" s="74"/>
      <c r="AC69" s="74"/>
      <c r="AD69" s="74"/>
      <c r="AE69" s="74"/>
      <c r="AF69" s="74"/>
      <c r="AG69" s="74"/>
      <c r="AH69" s="74"/>
      <c r="AI69" s="74"/>
      <c r="AJ69" s="74"/>
      <c r="AK69" s="74"/>
      <c r="AL69" s="74"/>
    </row>
    <row r="70" spans="1:38" x14ac:dyDescent="0.25">
      <c r="A70" s="60">
        <v>84</v>
      </c>
      <c r="B70" s="72" t="s">
        <v>4987</v>
      </c>
      <c r="C70" s="72"/>
      <c r="D70" s="72"/>
      <c r="E70" s="61" t="s">
        <v>1766</v>
      </c>
      <c r="F70" s="72" t="s">
        <v>3938</v>
      </c>
      <c r="G70" s="72"/>
      <c r="H70" s="72"/>
      <c r="I70" s="72"/>
      <c r="J70" s="72"/>
      <c r="K70" s="72" t="s">
        <v>4741</v>
      </c>
      <c r="L70" s="72" t="s">
        <v>5324</v>
      </c>
      <c r="M70" s="97">
        <v>0</v>
      </c>
      <c r="N70" s="74" t="s">
        <v>4766</v>
      </c>
      <c r="O70" s="74" t="s">
        <v>4758</v>
      </c>
      <c r="P70" s="72" t="s">
        <v>4733</v>
      </c>
      <c r="Q70" s="72"/>
      <c r="R70" s="72" t="s">
        <v>3981</v>
      </c>
      <c r="S70" s="63">
        <v>1</v>
      </c>
      <c r="T70" s="74"/>
      <c r="U70" s="74"/>
      <c r="V70" s="74"/>
      <c r="W70" s="74"/>
      <c r="X70" s="74"/>
      <c r="Y70" s="74"/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</row>
    <row r="71" spans="1:38" x14ac:dyDescent="0.25">
      <c r="A71" s="60">
        <v>73</v>
      </c>
      <c r="B71" s="72" t="s">
        <v>4183</v>
      </c>
      <c r="C71" s="72"/>
      <c r="D71" s="72" t="s">
        <v>4988</v>
      </c>
      <c r="E71" s="61" t="s">
        <v>1766</v>
      </c>
      <c r="F71" s="72" t="s">
        <v>4285</v>
      </c>
      <c r="G71" s="72"/>
      <c r="H71" s="72"/>
      <c r="I71" s="72" t="s">
        <v>4121</v>
      </c>
      <c r="J71" s="72"/>
      <c r="K71" s="72" t="s">
        <v>4784</v>
      </c>
      <c r="L71" s="72" t="s">
        <v>4771</v>
      </c>
      <c r="M71" s="97" t="s">
        <v>4646</v>
      </c>
      <c r="N71" s="74" t="s">
        <v>4786</v>
      </c>
      <c r="O71" s="74" t="s">
        <v>4758</v>
      </c>
      <c r="P71" s="72" t="s">
        <v>4740</v>
      </c>
      <c r="Q71" s="72" t="s">
        <v>4740</v>
      </c>
      <c r="R71" s="72" t="s">
        <v>3980</v>
      </c>
      <c r="S71" s="63">
        <v>0.95</v>
      </c>
      <c r="T71" s="74"/>
      <c r="U71" s="74"/>
      <c r="V71" s="74"/>
      <c r="W71" s="74"/>
      <c r="X71" s="74"/>
      <c r="Y71" s="74"/>
      <c r="Z71" s="74"/>
      <c r="AA71" s="74"/>
      <c r="AB71" s="74"/>
      <c r="AC71" s="74"/>
      <c r="AD71" s="74"/>
      <c r="AE71" s="74"/>
      <c r="AF71" s="74"/>
      <c r="AG71" s="74"/>
      <c r="AH71" s="74"/>
      <c r="AI71" s="74"/>
      <c r="AJ71" s="74"/>
      <c r="AK71" s="74" t="s">
        <v>4781</v>
      </c>
      <c r="AL71" s="74"/>
    </row>
    <row r="72" spans="1:38" x14ac:dyDescent="0.25">
      <c r="A72" s="60">
        <v>70</v>
      </c>
      <c r="B72" s="72" t="s">
        <v>4735</v>
      </c>
      <c r="C72" s="72"/>
      <c r="D72" s="72" t="s">
        <v>4989</v>
      </c>
      <c r="E72" s="61" t="s">
        <v>1766</v>
      </c>
      <c r="F72" s="72" t="s">
        <v>4737</v>
      </c>
      <c r="G72" s="72"/>
      <c r="H72" s="72"/>
      <c r="I72" s="72"/>
      <c r="J72" s="72"/>
      <c r="K72" s="72" t="s">
        <v>4744</v>
      </c>
      <c r="L72" s="72" t="s">
        <v>4750</v>
      </c>
      <c r="M72" s="97">
        <v>0</v>
      </c>
      <c r="N72" s="74" t="s">
        <v>4764</v>
      </c>
      <c r="O72" s="74" t="s">
        <v>4909</v>
      </c>
      <c r="P72" s="72" t="s">
        <v>4740</v>
      </c>
      <c r="Q72" s="72" t="s">
        <v>4738</v>
      </c>
      <c r="R72" s="72" t="s">
        <v>3981</v>
      </c>
      <c r="S72" s="63">
        <v>0.6</v>
      </c>
      <c r="T72" s="74"/>
      <c r="U72" s="74"/>
      <c r="V72" s="74"/>
      <c r="W72" s="74"/>
      <c r="X72" s="74"/>
      <c r="Y72" s="74"/>
      <c r="Z72" s="74"/>
      <c r="AA72" s="74"/>
      <c r="AB72" s="74"/>
      <c r="AC72" s="74"/>
      <c r="AD72" s="74"/>
      <c r="AE72" s="74"/>
      <c r="AF72" s="74"/>
      <c r="AG72" s="74"/>
      <c r="AH72" s="74"/>
      <c r="AI72" s="74"/>
      <c r="AJ72" s="74"/>
      <c r="AK72" s="74"/>
      <c r="AL72" s="74"/>
    </row>
    <row r="73" spans="1:38" x14ac:dyDescent="0.25">
      <c r="A73" s="60">
        <v>71</v>
      </c>
      <c r="B73" s="72" t="s">
        <v>4118</v>
      </c>
      <c r="C73" s="72"/>
      <c r="D73" s="72" t="s">
        <v>4989</v>
      </c>
      <c r="E73" s="61" t="s">
        <v>1766</v>
      </c>
      <c r="F73" s="72" t="s">
        <v>4117</v>
      </c>
      <c r="G73" s="72"/>
      <c r="H73" s="72"/>
      <c r="I73" s="72"/>
      <c r="J73" s="72"/>
      <c r="K73" s="72" t="s">
        <v>4783</v>
      </c>
      <c r="L73" s="72" t="s">
        <v>4750</v>
      </c>
      <c r="M73" s="97">
        <v>0</v>
      </c>
      <c r="N73" s="74" t="s">
        <v>4764</v>
      </c>
      <c r="O73" s="74" t="s">
        <v>4909</v>
      </c>
      <c r="P73" s="72" t="s">
        <v>4658</v>
      </c>
      <c r="Q73" s="72" t="s">
        <v>4740</v>
      </c>
      <c r="R73" s="72" t="s">
        <v>4778</v>
      </c>
      <c r="S73" s="63">
        <v>0.9</v>
      </c>
      <c r="T73" s="74"/>
      <c r="U73" s="74"/>
      <c r="V73" s="74"/>
      <c r="W73" s="74"/>
      <c r="X73" s="74"/>
      <c r="Y73" s="74"/>
      <c r="Z73" s="74"/>
      <c r="AA73" s="74"/>
      <c r="AB73" s="74"/>
      <c r="AC73" s="74"/>
      <c r="AD73" s="74"/>
      <c r="AE73" s="74"/>
      <c r="AF73" s="74"/>
      <c r="AG73" s="74"/>
      <c r="AH73" s="74"/>
      <c r="AI73" s="74"/>
      <c r="AJ73" s="74"/>
      <c r="AK73" s="74" t="s">
        <v>4780</v>
      </c>
      <c r="AL73" s="74"/>
    </row>
    <row r="74" spans="1:38" x14ac:dyDescent="0.25">
      <c r="A74" s="60">
        <v>72</v>
      </c>
      <c r="B74" s="72" t="s">
        <v>4736</v>
      </c>
      <c r="C74" s="72"/>
      <c r="D74" s="72" t="s">
        <v>4989</v>
      </c>
      <c r="E74" s="61" t="s">
        <v>1766</v>
      </c>
      <c r="F74" s="72" t="s">
        <v>4117</v>
      </c>
      <c r="G74" s="72"/>
      <c r="H74" s="72"/>
      <c r="I74" s="72"/>
      <c r="J74" s="72"/>
      <c r="K74" s="72" t="s">
        <v>4753</v>
      </c>
      <c r="L74" s="72" t="s">
        <v>4792</v>
      </c>
      <c r="M74" s="97">
        <v>0</v>
      </c>
      <c r="N74" s="74" t="s">
        <v>4764</v>
      </c>
      <c r="O74" s="74" t="s">
        <v>4909</v>
      </c>
      <c r="P74" s="72" t="s">
        <v>4740</v>
      </c>
      <c r="Q74" s="72" t="s">
        <v>4740</v>
      </c>
      <c r="R74" s="72" t="s">
        <v>3981</v>
      </c>
      <c r="S74" s="63">
        <v>0.2</v>
      </c>
      <c r="T74" s="74"/>
      <c r="U74" s="74"/>
      <c r="V74" s="74"/>
      <c r="W74" s="74"/>
      <c r="X74" s="74"/>
      <c r="Y74" s="74"/>
      <c r="Z74" s="74"/>
      <c r="AA74" s="74"/>
      <c r="AB74" s="74"/>
      <c r="AC74" s="74"/>
      <c r="AD74" s="74"/>
      <c r="AE74" s="74"/>
      <c r="AF74" s="74"/>
      <c r="AG74" s="74"/>
      <c r="AH74" s="74"/>
      <c r="AI74" s="74"/>
      <c r="AJ74" s="74"/>
      <c r="AK74" s="74"/>
      <c r="AL74" s="74"/>
    </row>
    <row r="75" spans="1:38" x14ac:dyDescent="0.25">
      <c r="A75" s="60">
        <v>74</v>
      </c>
      <c r="B75" s="72" t="s">
        <v>4180</v>
      </c>
      <c r="C75" s="72"/>
      <c r="D75" s="72" t="s">
        <v>4988</v>
      </c>
      <c r="E75" s="61" t="s">
        <v>1766</v>
      </c>
      <c r="F75" s="72" t="s">
        <v>4330</v>
      </c>
      <c r="G75" s="72"/>
      <c r="H75" s="72"/>
      <c r="I75" s="72" t="s">
        <v>4121</v>
      </c>
      <c r="J75" s="72"/>
      <c r="K75" s="72" t="s">
        <v>4785</v>
      </c>
      <c r="L75" s="72" t="s">
        <v>4750</v>
      </c>
      <c r="M75" s="97">
        <v>0</v>
      </c>
      <c r="N75" s="74" t="s">
        <v>4764</v>
      </c>
      <c r="O75" s="74" t="s">
        <v>4758</v>
      </c>
      <c r="P75" s="72" t="s">
        <v>4733</v>
      </c>
      <c r="Q75" s="72" t="s">
        <v>4740</v>
      </c>
      <c r="R75" s="72" t="s">
        <v>3981</v>
      </c>
      <c r="S75" s="63">
        <v>0.98</v>
      </c>
      <c r="T75" s="74"/>
      <c r="U75" s="74"/>
      <c r="V75" s="74"/>
      <c r="W75" s="74"/>
      <c r="X75" s="74"/>
      <c r="Y75" s="74"/>
      <c r="Z75" s="74"/>
      <c r="AA75" s="74"/>
      <c r="AB75" s="74"/>
      <c r="AC75" s="74"/>
      <c r="AD75" s="74"/>
      <c r="AE75" s="74"/>
      <c r="AF75" s="74"/>
      <c r="AG75" s="74"/>
      <c r="AH75" s="74"/>
      <c r="AI75" s="74"/>
      <c r="AJ75" s="74"/>
      <c r="AK75" s="74" t="s">
        <v>4782</v>
      </c>
      <c r="AL75" s="74"/>
    </row>
    <row r="76" spans="1:38" x14ac:dyDescent="0.25">
      <c r="A76" s="60">
        <v>75</v>
      </c>
      <c r="B76" s="72" t="s">
        <v>4181</v>
      </c>
      <c r="C76" s="72"/>
      <c r="D76" s="72" t="s">
        <v>4988</v>
      </c>
      <c r="E76" s="61" t="s">
        <v>1766</v>
      </c>
      <c r="F76" s="72" t="s">
        <v>4403</v>
      </c>
      <c r="G76" s="72"/>
      <c r="H76" s="72"/>
      <c r="I76" s="72" t="s">
        <v>4121</v>
      </c>
      <c r="J76" s="72"/>
      <c r="K76" s="72" t="s">
        <v>4741</v>
      </c>
      <c r="L76" s="72" t="s">
        <v>4762</v>
      </c>
      <c r="M76" s="97" t="s">
        <v>4642</v>
      </c>
      <c r="N76" s="74" t="s">
        <v>4786</v>
      </c>
      <c r="O76" s="74" t="s">
        <v>4758</v>
      </c>
      <c r="P76" s="72" t="s">
        <v>4733</v>
      </c>
      <c r="Q76" s="72" t="s">
        <v>4740</v>
      </c>
      <c r="R76" s="72" t="s">
        <v>3981</v>
      </c>
      <c r="S76" s="63">
        <v>0.95</v>
      </c>
      <c r="T76" s="74"/>
      <c r="U76" s="74"/>
      <c r="V76" s="74"/>
      <c r="W76" s="74"/>
      <c r="X76" s="74"/>
      <c r="Y76" s="74"/>
      <c r="Z76" s="74"/>
      <c r="AA76" s="74"/>
      <c r="AB76" s="74"/>
      <c r="AC76" s="74"/>
      <c r="AD76" s="74"/>
      <c r="AE76" s="74"/>
      <c r="AF76" s="74"/>
      <c r="AG76" s="74"/>
      <c r="AH76" s="74"/>
      <c r="AI76" s="74"/>
      <c r="AJ76" s="74"/>
      <c r="AK76" s="74" t="s">
        <v>3060</v>
      </c>
      <c r="AL76" s="74"/>
    </row>
    <row r="77" spans="1:38" x14ac:dyDescent="0.25">
      <c r="A77" s="60">
        <v>76</v>
      </c>
      <c r="B77" s="72" t="s">
        <v>4182</v>
      </c>
      <c r="C77" s="72"/>
      <c r="D77" s="72" t="s">
        <v>4988</v>
      </c>
      <c r="E77" s="61" t="s">
        <v>1766</v>
      </c>
      <c r="F77" s="72" t="s">
        <v>4403</v>
      </c>
      <c r="G77" s="72"/>
      <c r="H77" s="72"/>
      <c r="I77" s="72" t="s">
        <v>4120</v>
      </c>
      <c r="J77" s="72"/>
      <c r="K77" s="72" t="s">
        <v>4744</v>
      </c>
      <c r="L77" s="72" t="s">
        <v>4762</v>
      </c>
      <c r="M77" s="97" t="s">
        <v>4645</v>
      </c>
      <c r="N77" s="74" t="s">
        <v>4747</v>
      </c>
      <c r="O77" s="74" t="s">
        <v>4787</v>
      </c>
      <c r="P77" s="72" t="s">
        <v>4657</v>
      </c>
      <c r="Q77" s="72" t="s">
        <v>4740</v>
      </c>
      <c r="R77" s="72" t="s">
        <v>3981</v>
      </c>
      <c r="S77" s="63">
        <v>0.95</v>
      </c>
      <c r="T77" s="74"/>
      <c r="U77" s="74"/>
      <c r="V77" s="74"/>
      <c r="W77" s="74"/>
      <c r="X77" s="74"/>
      <c r="Y77" s="74"/>
      <c r="Z77" s="74"/>
      <c r="AA77" s="74"/>
      <c r="AB77" s="74"/>
      <c r="AC77" s="74"/>
      <c r="AD77" s="74"/>
      <c r="AE77" s="74"/>
      <c r="AF77" s="74"/>
      <c r="AG77" s="74"/>
      <c r="AH77" s="74"/>
      <c r="AI77" s="74"/>
      <c r="AJ77" s="74"/>
      <c r="AK77" s="74" t="s">
        <v>3060</v>
      </c>
      <c r="AL77" s="74"/>
    </row>
    <row r="78" spans="1:38" x14ac:dyDescent="0.25">
      <c r="A78" s="60">
        <v>77</v>
      </c>
      <c r="B78" s="72" t="s">
        <v>4184</v>
      </c>
      <c r="C78" s="72"/>
      <c r="D78" s="72" t="s">
        <v>4988</v>
      </c>
      <c r="E78" s="61" t="s">
        <v>1766</v>
      </c>
      <c r="F78" s="72" t="s">
        <v>3939</v>
      </c>
      <c r="G78" s="72"/>
      <c r="H78" s="72"/>
      <c r="I78" s="72" t="s">
        <v>4120</v>
      </c>
      <c r="J78" s="72"/>
      <c r="K78" s="72" t="s">
        <v>4789</v>
      </c>
      <c r="L78" s="72" t="s">
        <v>4750</v>
      </c>
      <c r="M78" s="97" t="s">
        <v>4788</v>
      </c>
      <c r="N78" s="74" t="s">
        <v>4786</v>
      </c>
      <c r="O78" s="74" t="s">
        <v>4758</v>
      </c>
      <c r="P78" s="72" t="s">
        <v>4733</v>
      </c>
      <c r="Q78" s="72" t="s">
        <v>4656</v>
      </c>
      <c r="R78" s="72" t="s">
        <v>3981</v>
      </c>
      <c r="S78" s="63">
        <v>0.95</v>
      </c>
      <c r="T78" s="74"/>
      <c r="U78" s="74"/>
      <c r="V78" s="74"/>
      <c r="W78" s="74"/>
      <c r="X78" s="74"/>
      <c r="Y78" s="74"/>
      <c r="Z78" s="74"/>
      <c r="AA78" s="74"/>
      <c r="AB78" s="74"/>
      <c r="AC78" s="74"/>
      <c r="AD78" s="74"/>
      <c r="AE78" s="74"/>
      <c r="AF78" s="74"/>
      <c r="AG78" s="74"/>
      <c r="AH78" s="74"/>
      <c r="AI78" s="74"/>
      <c r="AJ78" s="74"/>
      <c r="AK78" s="74" t="s">
        <v>4781</v>
      </c>
      <c r="AL78" s="74"/>
    </row>
    <row r="79" spans="1:38" x14ac:dyDescent="0.25">
      <c r="A79" s="60">
        <v>78</v>
      </c>
      <c r="B79" s="72" t="s">
        <v>4286</v>
      </c>
      <c r="C79" s="72"/>
      <c r="D79" s="72" t="s">
        <v>4988</v>
      </c>
      <c r="E79" s="61" t="s">
        <v>1766</v>
      </c>
      <c r="F79" s="72" t="s">
        <v>4403</v>
      </c>
      <c r="G79" s="72"/>
      <c r="H79" s="72"/>
      <c r="I79" s="72" t="s">
        <v>4120</v>
      </c>
      <c r="J79" s="72"/>
      <c r="K79" s="72" t="s">
        <v>4742</v>
      </c>
      <c r="L79" s="72" t="s">
        <v>4790</v>
      </c>
      <c r="M79" s="97">
        <v>0</v>
      </c>
      <c r="N79" s="74" t="s">
        <v>4764</v>
      </c>
      <c r="O79" s="74" t="s">
        <v>4758</v>
      </c>
      <c r="P79" s="72" t="s">
        <v>4733</v>
      </c>
      <c r="Q79" s="72" t="s">
        <v>4740</v>
      </c>
      <c r="R79" s="72" t="s">
        <v>3981</v>
      </c>
      <c r="S79" s="63">
        <v>0.95</v>
      </c>
      <c r="T79" s="74"/>
      <c r="U79" s="74"/>
      <c r="V79" s="74"/>
      <c r="W79" s="74"/>
      <c r="X79" s="74"/>
      <c r="Y79" s="74"/>
      <c r="Z79" s="74"/>
      <c r="AA79" s="74"/>
      <c r="AB79" s="74"/>
      <c r="AC79" s="74"/>
      <c r="AD79" s="74"/>
      <c r="AE79" s="74"/>
      <c r="AF79" s="74"/>
      <c r="AG79" s="74"/>
      <c r="AH79" s="74"/>
      <c r="AI79" s="74"/>
      <c r="AJ79" s="74"/>
      <c r="AK79" s="74" t="s">
        <v>4782</v>
      </c>
      <c r="AL79" s="74"/>
    </row>
    <row r="80" spans="1:38" x14ac:dyDescent="0.25">
      <c r="A80" s="60">
        <v>79</v>
      </c>
      <c r="B80" s="72" t="s">
        <v>4056</v>
      </c>
      <c r="C80" s="72"/>
      <c r="D80" s="72" t="s">
        <v>4988</v>
      </c>
      <c r="E80" s="61" t="s">
        <v>1766</v>
      </c>
      <c r="F80" s="72" t="s">
        <v>3614</v>
      </c>
      <c r="G80" s="72"/>
      <c r="H80" s="72"/>
      <c r="I80" s="72" t="s">
        <v>4119</v>
      </c>
      <c r="J80" s="72"/>
      <c r="K80" s="72" t="s">
        <v>4741</v>
      </c>
      <c r="L80" s="72" t="s">
        <v>5325</v>
      </c>
      <c r="M80" s="97">
        <v>0</v>
      </c>
      <c r="N80" s="74" t="s">
        <v>4764</v>
      </c>
      <c r="O80" s="74" t="s">
        <v>4758</v>
      </c>
      <c r="P80" s="72" t="s">
        <v>4733</v>
      </c>
      <c r="Q80" s="72" t="s">
        <v>4656</v>
      </c>
      <c r="R80" s="72" t="s">
        <v>3980</v>
      </c>
      <c r="S80" s="63">
        <v>0.95</v>
      </c>
      <c r="T80" s="74"/>
      <c r="U80" s="74"/>
      <c r="V80" s="74"/>
      <c r="W80" s="74"/>
      <c r="X80" s="74"/>
      <c r="Y80" s="74"/>
      <c r="Z80" s="74"/>
      <c r="AA80" s="74"/>
      <c r="AB80" s="74"/>
      <c r="AC80" s="74"/>
      <c r="AD80" s="74"/>
      <c r="AE80" s="74"/>
      <c r="AF80" s="74"/>
      <c r="AG80" s="74"/>
      <c r="AH80" s="74"/>
      <c r="AI80" s="74"/>
      <c r="AJ80" s="74"/>
      <c r="AK80" s="74"/>
      <c r="AL80" s="74"/>
    </row>
    <row r="81" spans="1:38" x14ac:dyDescent="0.25">
      <c r="A81" s="60">
        <v>80</v>
      </c>
      <c r="B81" s="72" t="s">
        <v>4057</v>
      </c>
      <c r="C81" s="72"/>
      <c r="D81" s="72" t="s">
        <v>4988</v>
      </c>
      <c r="E81" s="61" t="s">
        <v>1766</v>
      </c>
      <c r="F81" s="72" t="s">
        <v>1078</v>
      </c>
      <c r="G81" s="72"/>
      <c r="H81" s="72"/>
      <c r="I81" s="72" t="s">
        <v>4119</v>
      </c>
      <c r="J81" s="72"/>
      <c r="K81" s="72">
        <v>0</v>
      </c>
      <c r="L81" s="72" t="s">
        <v>4791</v>
      </c>
      <c r="M81" s="97" t="s">
        <v>4793</v>
      </c>
      <c r="N81" s="74" t="s">
        <v>4794</v>
      </c>
      <c r="O81" s="74" t="s">
        <v>4758</v>
      </c>
      <c r="P81" s="72" t="s">
        <v>4733</v>
      </c>
      <c r="Q81" s="72" t="s">
        <v>4740</v>
      </c>
      <c r="R81" s="72" t="s">
        <v>3980</v>
      </c>
      <c r="S81" s="63">
        <v>0.95</v>
      </c>
      <c r="T81" s="74"/>
      <c r="U81" s="74"/>
      <c r="V81" s="74"/>
      <c r="W81" s="74"/>
      <c r="X81" s="74"/>
      <c r="Y81" s="74"/>
      <c r="Z81" s="74"/>
      <c r="AA81" s="74"/>
      <c r="AB81" s="74"/>
      <c r="AC81" s="74"/>
      <c r="AD81" s="74"/>
      <c r="AE81" s="74"/>
      <c r="AF81" s="74"/>
      <c r="AG81" s="74"/>
      <c r="AH81" s="74"/>
      <c r="AI81" s="74"/>
      <c r="AJ81" s="74"/>
      <c r="AK81" s="74" t="s">
        <v>3060</v>
      </c>
      <c r="AL81" s="74"/>
    </row>
    <row r="82" spans="1:38" x14ac:dyDescent="0.25">
      <c r="A82" s="60">
        <v>81</v>
      </c>
      <c r="B82" s="72" t="s">
        <v>4058</v>
      </c>
      <c r="C82" s="72"/>
      <c r="D82" s="72" t="s">
        <v>4988</v>
      </c>
      <c r="E82" s="61" t="s">
        <v>1766</v>
      </c>
      <c r="F82" s="72" t="s">
        <v>1078</v>
      </c>
      <c r="G82" s="72"/>
      <c r="H82" s="72"/>
      <c r="I82" s="72" t="s">
        <v>4119</v>
      </c>
      <c r="J82" s="72"/>
      <c r="K82" s="72">
        <v>0</v>
      </c>
      <c r="L82" s="72" t="s">
        <v>4791</v>
      </c>
      <c r="M82" s="97" t="s">
        <v>4645</v>
      </c>
      <c r="N82" s="74" t="s">
        <v>4747</v>
      </c>
      <c r="O82" s="74" t="s">
        <v>4758</v>
      </c>
      <c r="P82" s="72" t="s">
        <v>4733</v>
      </c>
      <c r="Q82" s="72" t="s">
        <v>4740</v>
      </c>
      <c r="R82" s="72" t="s">
        <v>3980</v>
      </c>
      <c r="S82" s="63">
        <v>0.95</v>
      </c>
      <c r="T82" s="74"/>
      <c r="U82" s="74"/>
      <c r="V82" s="74"/>
      <c r="W82" s="74"/>
      <c r="X82" s="74"/>
      <c r="Y82" s="74"/>
      <c r="Z82" s="74"/>
      <c r="AA82" s="74"/>
      <c r="AB82" s="74"/>
      <c r="AC82" s="74"/>
      <c r="AD82" s="74"/>
      <c r="AE82" s="74"/>
      <c r="AF82" s="74"/>
      <c r="AG82" s="74"/>
      <c r="AH82" s="74"/>
      <c r="AI82" s="74"/>
      <c r="AJ82" s="74"/>
      <c r="AK82" s="74" t="s">
        <v>3060</v>
      </c>
      <c r="AL82" s="74"/>
    </row>
    <row r="83" spans="1:38" x14ac:dyDescent="0.25">
      <c r="A83" s="60">
        <v>85</v>
      </c>
      <c r="B83" s="72" t="s">
        <v>5696</v>
      </c>
      <c r="C83" s="72"/>
      <c r="D83" s="72" t="s">
        <v>5697</v>
      </c>
      <c r="E83" s="61" t="s">
        <v>1766</v>
      </c>
      <c r="F83" s="72" t="s">
        <v>3614</v>
      </c>
      <c r="G83" s="72"/>
      <c r="H83" s="72"/>
      <c r="I83" s="72"/>
      <c r="J83" s="72"/>
      <c r="K83" s="72" t="s">
        <v>4742</v>
      </c>
      <c r="L83" s="72" t="s">
        <v>5698</v>
      </c>
      <c r="M83" s="97">
        <v>0</v>
      </c>
      <c r="N83" s="74" t="s">
        <v>5700</v>
      </c>
      <c r="O83" s="74" t="s">
        <v>4909</v>
      </c>
      <c r="P83" s="72"/>
      <c r="Q83" s="72"/>
      <c r="R83" s="72" t="s">
        <v>3981</v>
      </c>
      <c r="S83" s="63">
        <v>0.01</v>
      </c>
      <c r="T83" s="74"/>
      <c r="U83" s="74"/>
      <c r="V83" s="74"/>
      <c r="W83" s="74"/>
      <c r="X83" s="74"/>
      <c r="Y83" s="74"/>
      <c r="Z83" s="74"/>
      <c r="AA83" s="74"/>
      <c r="AB83" s="74"/>
      <c r="AC83" s="74"/>
      <c r="AD83" s="74"/>
      <c r="AE83" s="74"/>
      <c r="AF83" s="74"/>
      <c r="AG83" s="74"/>
      <c r="AH83" s="74"/>
      <c r="AI83" s="74"/>
      <c r="AJ83" s="74"/>
      <c r="AK83" s="74"/>
      <c r="AL83" s="74"/>
    </row>
    <row r="84" spans="1:38" x14ac:dyDescent="0.25">
      <c r="A84" s="60">
        <v>86</v>
      </c>
      <c r="B84" s="72" t="s">
        <v>5701</v>
      </c>
      <c r="C84" s="72"/>
      <c r="D84" s="72" t="s">
        <v>3596</v>
      </c>
      <c r="E84" s="61" t="s">
        <v>1766</v>
      </c>
      <c r="F84" s="72" t="s">
        <v>3938</v>
      </c>
      <c r="G84" s="72"/>
      <c r="H84" s="72"/>
      <c r="I84" s="72"/>
      <c r="J84" s="72"/>
      <c r="K84" s="72">
        <v>0</v>
      </c>
      <c r="L84" s="72" t="s">
        <v>4826</v>
      </c>
      <c r="M84" s="97">
        <v>0</v>
      </c>
      <c r="N84" s="74"/>
      <c r="O84" s="74" t="s">
        <v>4758</v>
      </c>
      <c r="P84" s="72"/>
      <c r="Q84" s="72"/>
      <c r="R84" s="72"/>
      <c r="S84" s="63">
        <v>1</v>
      </c>
      <c r="T84" s="74"/>
      <c r="U84" s="74"/>
      <c r="V84" s="74"/>
      <c r="W84" s="74"/>
      <c r="X84" s="74"/>
      <c r="Y84" s="74"/>
      <c r="Z84" s="74"/>
      <c r="AA84" s="74"/>
      <c r="AB84" s="74"/>
      <c r="AC84" s="74"/>
      <c r="AD84" s="74"/>
      <c r="AE84" s="74"/>
      <c r="AF84" s="74"/>
      <c r="AG84" s="74"/>
      <c r="AH84" s="74"/>
      <c r="AI84" s="74"/>
      <c r="AJ84" s="74"/>
      <c r="AK84" s="74"/>
      <c r="AL84" s="74"/>
    </row>
    <row r="85" spans="1:38" x14ac:dyDescent="0.25">
      <c r="A85" s="60">
        <v>82</v>
      </c>
      <c r="B85" s="72" t="s">
        <v>6865</v>
      </c>
      <c r="C85" s="72"/>
      <c r="D85" s="73" t="s">
        <v>4992</v>
      </c>
      <c r="E85" s="61" t="s">
        <v>1766</v>
      </c>
      <c r="F85" s="72" t="s">
        <v>3040</v>
      </c>
      <c r="G85" s="72"/>
      <c r="H85" s="72"/>
      <c r="I85" s="72"/>
      <c r="J85" s="72"/>
      <c r="K85" s="74" t="s">
        <v>4742</v>
      </c>
      <c r="L85" s="74" t="s">
        <v>4750</v>
      </c>
      <c r="M85" s="97">
        <v>0</v>
      </c>
      <c r="N85" s="74" t="s">
        <v>4770</v>
      </c>
      <c r="O85" s="74" t="s">
        <v>4909</v>
      </c>
      <c r="P85" s="72"/>
      <c r="Q85" s="72"/>
      <c r="R85" s="72"/>
      <c r="S85" s="63">
        <v>1</v>
      </c>
      <c r="T85" s="74"/>
      <c r="U85" s="74"/>
      <c r="V85" s="74"/>
      <c r="W85" s="74"/>
      <c r="X85" s="74"/>
      <c r="Y85" s="74"/>
      <c r="Z85" s="74"/>
      <c r="AA85" s="74"/>
      <c r="AB85" s="74"/>
      <c r="AC85" s="74"/>
      <c r="AD85" s="74"/>
      <c r="AE85" s="74"/>
      <c r="AF85" s="74"/>
      <c r="AG85" s="74"/>
      <c r="AH85" s="74"/>
      <c r="AI85" s="74"/>
      <c r="AJ85" s="74"/>
      <c r="AK85" s="74"/>
      <c r="AL85" s="74"/>
    </row>
    <row r="86" spans="1:38" x14ac:dyDescent="0.25">
      <c r="A86" s="60">
        <v>83</v>
      </c>
      <c r="B86" s="72" t="s">
        <v>6866</v>
      </c>
      <c r="C86" s="72"/>
      <c r="D86" s="73" t="s">
        <v>4992</v>
      </c>
      <c r="E86" s="61" t="s">
        <v>1766</v>
      </c>
      <c r="F86" s="72" t="s">
        <v>3040</v>
      </c>
      <c r="G86" s="72"/>
      <c r="H86" s="72"/>
      <c r="I86" s="72"/>
      <c r="J86" s="72"/>
      <c r="K86" s="74" t="s">
        <v>4742</v>
      </c>
      <c r="L86" s="74" t="s">
        <v>4750</v>
      </c>
      <c r="M86" s="97">
        <v>0</v>
      </c>
      <c r="N86" s="74" t="s">
        <v>4770</v>
      </c>
      <c r="O86" s="74" t="s">
        <v>4909</v>
      </c>
      <c r="P86" s="72"/>
      <c r="Q86" s="72"/>
      <c r="R86" s="72"/>
      <c r="S86" s="63">
        <v>1</v>
      </c>
      <c r="T86" s="74"/>
      <c r="U86" s="74"/>
      <c r="V86" s="74"/>
      <c r="W86" s="74"/>
      <c r="X86" s="74"/>
      <c r="Y86" s="74"/>
      <c r="Z86" s="74"/>
      <c r="AA86" s="74"/>
      <c r="AB86" s="74"/>
      <c r="AC86" s="74"/>
      <c r="AD86" s="74"/>
      <c r="AE86" s="74"/>
      <c r="AF86" s="74"/>
      <c r="AG86" s="74"/>
      <c r="AH86" s="74"/>
      <c r="AI86" s="74"/>
      <c r="AJ86" s="74"/>
      <c r="AK86" s="74"/>
      <c r="AL86" s="74"/>
    </row>
    <row r="87" spans="1:38" x14ac:dyDescent="0.25">
      <c r="A87" s="45">
        <v>84</v>
      </c>
      <c r="B87" s="53" t="s">
        <v>6867</v>
      </c>
      <c r="C87" s="53"/>
      <c r="D87" s="73" t="s">
        <v>4992</v>
      </c>
      <c r="E87" s="43" t="s">
        <v>1766</v>
      </c>
      <c r="F87" s="53" t="s">
        <v>3040</v>
      </c>
      <c r="G87" s="53"/>
      <c r="H87" s="53"/>
      <c r="I87" s="53"/>
      <c r="J87" s="53"/>
      <c r="K87" s="33" t="s">
        <v>4742</v>
      </c>
      <c r="L87" s="33" t="s">
        <v>4750</v>
      </c>
      <c r="M87" s="94">
        <v>0</v>
      </c>
      <c r="N87" s="33" t="s">
        <v>4770</v>
      </c>
      <c r="O87" s="33" t="s">
        <v>4909</v>
      </c>
      <c r="P87" s="53"/>
      <c r="Q87" s="53"/>
      <c r="R87" s="53"/>
      <c r="S87" s="44">
        <v>0.9</v>
      </c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</row>
    <row r="88" spans="1:38" x14ac:dyDescent="0.25">
      <c r="A88" s="95">
        <v>87</v>
      </c>
      <c r="B88" s="53" t="s">
        <v>7376</v>
      </c>
      <c r="C88" s="53"/>
      <c r="D88" s="75" t="s">
        <v>5727</v>
      </c>
      <c r="E88" s="43" t="s">
        <v>1766</v>
      </c>
      <c r="F88" s="53" t="s">
        <v>5728</v>
      </c>
      <c r="G88" s="53"/>
      <c r="H88" s="53"/>
      <c r="I88" s="53"/>
      <c r="J88" s="53"/>
      <c r="K88" s="53" t="s">
        <v>4741</v>
      </c>
      <c r="L88" s="53" t="s">
        <v>4750</v>
      </c>
      <c r="M88" s="94" t="s">
        <v>5729</v>
      </c>
      <c r="N88" s="33" t="s">
        <v>4770</v>
      </c>
      <c r="O88" s="33" t="s">
        <v>4909</v>
      </c>
      <c r="P88" s="53"/>
      <c r="Q88" s="53"/>
      <c r="R88" s="53"/>
      <c r="S88" s="44">
        <v>0.9</v>
      </c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</row>
    <row r="89" spans="1:38" x14ac:dyDescent="0.25">
      <c r="A89" s="60">
        <v>88</v>
      </c>
      <c r="B89" s="72" t="s">
        <v>6725</v>
      </c>
      <c r="C89" s="72"/>
      <c r="D89" s="73" t="s">
        <v>6726</v>
      </c>
      <c r="E89" s="61" t="s">
        <v>1766</v>
      </c>
      <c r="F89" s="72" t="s">
        <v>3938</v>
      </c>
      <c r="G89" s="72"/>
      <c r="H89" s="72"/>
      <c r="I89" s="72"/>
      <c r="J89" s="72"/>
      <c r="K89" s="72"/>
      <c r="L89" s="72"/>
      <c r="M89" s="97"/>
      <c r="N89" s="74"/>
      <c r="O89" s="74"/>
      <c r="P89" s="72"/>
      <c r="Q89" s="72"/>
      <c r="R89" s="72"/>
      <c r="S89" s="63">
        <v>1</v>
      </c>
      <c r="T89" s="74"/>
      <c r="U89" s="74"/>
      <c r="V89" s="74"/>
      <c r="W89" s="74"/>
      <c r="X89" s="74"/>
      <c r="Y89" s="74"/>
      <c r="Z89" s="74"/>
      <c r="AA89" s="74"/>
      <c r="AB89" s="74"/>
      <c r="AC89" s="74"/>
      <c r="AD89" s="74"/>
      <c r="AE89" s="74"/>
      <c r="AF89" s="74"/>
      <c r="AG89" s="74"/>
      <c r="AH89" s="74"/>
      <c r="AI89" s="74"/>
      <c r="AJ89" s="74"/>
      <c r="AK89" s="74"/>
      <c r="AL89" s="74"/>
    </row>
    <row r="90" spans="1:38" x14ac:dyDescent="0.25">
      <c r="A90" s="99">
        <v>89</v>
      </c>
      <c r="B90" s="72" t="s">
        <v>6727</v>
      </c>
      <c r="C90" s="72"/>
      <c r="D90" s="73" t="s">
        <v>2730</v>
      </c>
      <c r="E90" s="72" t="s">
        <v>1766</v>
      </c>
      <c r="F90" s="72" t="s">
        <v>1087</v>
      </c>
      <c r="G90" s="72"/>
      <c r="H90" s="72"/>
      <c r="I90" s="72"/>
      <c r="J90" s="72"/>
      <c r="K90" s="72"/>
      <c r="L90" s="72"/>
      <c r="M90" s="97"/>
      <c r="N90" s="74"/>
      <c r="O90" s="74"/>
      <c r="P90" s="72"/>
      <c r="Q90" s="72"/>
      <c r="R90" s="72"/>
      <c r="S90" s="63">
        <v>1</v>
      </c>
      <c r="T90" s="74"/>
      <c r="U90" s="74"/>
      <c r="V90" s="74"/>
      <c r="W90" s="74"/>
      <c r="X90" s="74"/>
      <c r="Y90" s="74"/>
      <c r="Z90" s="74"/>
      <c r="AA90" s="74"/>
      <c r="AB90" s="74"/>
      <c r="AC90" s="74"/>
      <c r="AD90" s="74"/>
      <c r="AE90" s="74"/>
      <c r="AF90" s="74"/>
      <c r="AG90" s="74"/>
      <c r="AH90" s="74"/>
      <c r="AI90" s="74"/>
      <c r="AJ90" s="74"/>
      <c r="AK90" s="74"/>
      <c r="AL90" s="74"/>
    </row>
    <row r="91" spans="1:38" x14ac:dyDescent="0.25">
      <c r="A91" s="111">
        <v>90</v>
      </c>
      <c r="B91" s="2" t="s">
        <v>6831</v>
      </c>
      <c r="C91" s="2"/>
      <c r="D91" s="145" t="s">
        <v>6835</v>
      </c>
      <c r="E91" s="61" t="s">
        <v>1766</v>
      </c>
      <c r="F91" s="2" t="s">
        <v>6834</v>
      </c>
      <c r="G91" s="2"/>
      <c r="H91" s="2"/>
      <c r="I91" s="2"/>
      <c r="J91" s="2"/>
      <c r="K91" s="2"/>
      <c r="L91" s="2"/>
      <c r="M91" s="25"/>
      <c r="N91" s="23"/>
      <c r="O91" s="23"/>
      <c r="P91" s="2"/>
      <c r="Q91" s="2"/>
      <c r="R91" s="2"/>
      <c r="S91" s="108" t="s">
        <v>4779</v>
      </c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</row>
    <row r="92" spans="1:38" x14ac:dyDescent="0.25">
      <c r="A92" s="25">
        <v>91</v>
      </c>
      <c r="B92" s="2" t="s">
        <v>6832</v>
      </c>
      <c r="C92" s="2"/>
      <c r="D92" s="145" t="s">
        <v>6923</v>
      </c>
      <c r="E92" s="61" t="s">
        <v>1766</v>
      </c>
      <c r="F92" s="2" t="s">
        <v>4284</v>
      </c>
      <c r="G92" s="2"/>
      <c r="H92" s="2"/>
      <c r="I92" s="2"/>
      <c r="J92" s="2"/>
      <c r="K92" s="2"/>
      <c r="L92" s="2"/>
      <c r="M92" s="25"/>
      <c r="N92" s="23"/>
      <c r="O92" s="23"/>
      <c r="P92" s="2"/>
      <c r="Q92" s="2"/>
      <c r="R92" s="2"/>
      <c r="S92" s="108" t="s">
        <v>4779</v>
      </c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</row>
    <row r="93" spans="1:38" x14ac:dyDescent="0.25">
      <c r="A93" s="25">
        <v>92</v>
      </c>
      <c r="B93" s="2" t="s">
        <v>6833</v>
      </c>
      <c r="C93" s="2"/>
      <c r="D93" s="145" t="s">
        <v>6924</v>
      </c>
      <c r="E93" s="61" t="s">
        <v>1766</v>
      </c>
      <c r="F93" s="2" t="s">
        <v>3626</v>
      </c>
      <c r="G93" s="2"/>
      <c r="H93" s="2"/>
      <c r="I93" s="2"/>
      <c r="J93" s="2"/>
      <c r="K93" s="2"/>
      <c r="L93" s="2"/>
      <c r="M93" s="25"/>
      <c r="N93" s="23"/>
      <c r="O93" s="23"/>
      <c r="P93" s="2"/>
      <c r="Q93" s="2"/>
      <c r="R93" s="2"/>
      <c r="S93" s="108" t="s">
        <v>4779</v>
      </c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</row>
    <row r="94" spans="1:38" x14ac:dyDescent="0.25">
      <c r="A94" s="25">
        <v>93</v>
      </c>
      <c r="B94" s="2" t="s">
        <v>6927</v>
      </c>
      <c r="C94" s="2"/>
      <c r="D94" s="2" t="s">
        <v>6925</v>
      </c>
      <c r="E94" s="2" t="s">
        <v>1764</v>
      </c>
      <c r="F94" s="2" t="s">
        <v>6926</v>
      </c>
      <c r="G94" s="2"/>
      <c r="H94" s="2"/>
      <c r="I94" s="2"/>
      <c r="J94" s="2"/>
      <c r="K94" s="2"/>
      <c r="L94" s="2"/>
      <c r="M94" s="25"/>
      <c r="N94" s="23"/>
      <c r="O94" s="23"/>
      <c r="P94" s="2"/>
      <c r="Q94" s="2"/>
      <c r="R94" s="2"/>
      <c r="S94" s="108" t="s">
        <v>4779</v>
      </c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</row>
    <row r="95" spans="1:38" x14ac:dyDescent="0.25">
      <c r="A95" s="25">
        <v>94</v>
      </c>
      <c r="B95" s="2" t="s">
        <v>7377</v>
      </c>
      <c r="C95" s="2"/>
      <c r="D95" s="145" t="s">
        <v>7378</v>
      </c>
      <c r="E95" s="2" t="s">
        <v>1764</v>
      </c>
      <c r="F95" s="2" t="s">
        <v>6926</v>
      </c>
      <c r="G95" s="2"/>
      <c r="H95" s="2"/>
      <c r="I95" s="2"/>
      <c r="J95" s="2"/>
      <c r="K95" s="2"/>
      <c r="L95" s="2"/>
      <c r="M95" s="25"/>
      <c r="N95" s="23"/>
      <c r="O95" s="23"/>
      <c r="P95" s="2"/>
      <c r="Q95" s="2"/>
      <c r="R95" s="2"/>
      <c r="S95" s="108" t="s">
        <v>4779</v>
      </c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</row>
    <row r="96" spans="1:38" x14ac:dyDescent="0.25">
      <c r="A96" s="25">
        <v>95</v>
      </c>
      <c r="B96" s="2" t="s">
        <v>7750</v>
      </c>
      <c r="D96" t="s">
        <v>7553</v>
      </c>
      <c r="E96" s="2" t="s">
        <v>1764</v>
      </c>
      <c r="F96" s="2" t="s">
        <v>7751</v>
      </c>
      <c r="G96" s="2"/>
      <c r="H96" s="2"/>
      <c r="I96" s="2"/>
      <c r="J96" s="2"/>
      <c r="K96" s="2"/>
      <c r="L96" s="2"/>
      <c r="M96" s="25"/>
      <c r="N96" s="23"/>
      <c r="O96" s="23"/>
      <c r="P96" s="2"/>
      <c r="Q96" s="2"/>
      <c r="R96" s="2"/>
      <c r="S96" s="108" t="s">
        <v>4779</v>
      </c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</row>
    <row r="97" spans="1:37" x14ac:dyDescent="0.25">
      <c r="A97" s="25">
        <v>96</v>
      </c>
      <c r="B97" s="2" t="s">
        <v>7752</v>
      </c>
      <c r="D97" t="s">
        <v>7573</v>
      </c>
      <c r="E97" s="2" t="s">
        <v>1764</v>
      </c>
      <c r="F97" s="2" t="s">
        <v>7454</v>
      </c>
      <c r="G97" s="2"/>
      <c r="H97" s="2"/>
      <c r="I97" s="2"/>
      <c r="J97" s="2"/>
      <c r="K97" s="2"/>
      <c r="L97" s="2"/>
      <c r="M97" s="25"/>
      <c r="N97" s="23"/>
      <c r="O97" s="23"/>
      <c r="P97" s="2"/>
      <c r="Q97" s="2"/>
      <c r="R97" s="2"/>
      <c r="S97" s="108" t="s">
        <v>4779</v>
      </c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</row>
    <row r="98" spans="1:37" x14ac:dyDescent="0.25">
      <c r="A98" s="25">
        <v>97</v>
      </c>
      <c r="B98" s="2" t="s">
        <v>7753</v>
      </c>
      <c r="D98" t="s">
        <v>7558</v>
      </c>
      <c r="E98" s="2" t="s">
        <v>1764</v>
      </c>
      <c r="F98" s="2" t="s">
        <v>3614</v>
      </c>
      <c r="G98" s="2"/>
      <c r="H98" s="2"/>
      <c r="I98" s="2"/>
      <c r="J98" s="2"/>
      <c r="K98" s="2"/>
      <c r="L98" s="2"/>
      <c r="M98" s="25"/>
      <c r="N98" s="23"/>
      <c r="O98" s="23"/>
      <c r="P98" s="2"/>
      <c r="Q98" s="2"/>
      <c r="R98" s="2"/>
      <c r="S98" s="108" t="s">
        <v>4779</v>
      </c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</row>
    <row r="99" spans="1:37" x14ac:dyDescent="0.25">
      <c r="A99" s="25">
        <v>98</v>
      </c>
      <c r="B99" s="2" t="s">
        <v>7754</v>
      </c>
      <c r="C99" s="2"/>
      <c r="D99" s="145" t="s">
        <v>7755</v>
      </c>
      <c r="E99" s="2" t="s">
        <v>1764</v>
      </c>
      <c r="F99" s="2" t="s">
        <v>3040</v>
      </c>
      <c r="G99" s="2"/>
      <c r="H99" s="2"/>
      <c r="I99" s="2"/>
      <c r="J99" s="2"/>
      <c r="K99" s="2"/>
      <c r="L99" s="2"/>
      <c r="M99" s="25"/>
      <c r="N99" s="23"/>
      <c r="O99" s="23"/>
      <c r="P99" s="2"/>
      <c r="Q99" s="2"/>
      <c r="R99" s="2"/>
      <c r="S99" s="108" t="s">
        <v>4779</v>
      </c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</row>
    <row r="100" spans="1:37" x14ac:dyDescent="0.25">
      <c r="A100" s="25">
        <v>99</v>
      </c>
      <c r="B100" s="2" t="s">
        <v>7983</v>
      </c>
      <c r="C100" s="2"/>
      <c r="D100" s="2" t="s">
        <v>7988</v>
      </c>
      <c r="E100" s="2"/>
      <c r="F100" s="2" t="s">
        <v>4403</v>
      </c>
      <c r="G100" s="2"/>
      <c r="H100" s="2"/>
      <c r="I100" s="2"/>
      <c r="J100" s="2"/>
      <c r="K100" s="2"/>
      <c r="L100" s="2"/>
      <c r="M100" s="25"/>
      <c r="N100" s="23"/>
      <c r="O100" s="23"/>
      <c r="P100" s="2"/>
      <c r="Q100" s="2"/>
      <c r="R100" s="2"/>
      <c r="S100" s="108" t="s">
        <v>4779</v>
      </c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</row>
    <row r="101" spans="1:37" x14ac:dyDescent="0.25">
      <c r="A101" s="25">
        <v>100</v>
      </c>
      <c r="B101" s="2" t="s">
        <v>7984</v>
      </c>
      <c r="C101" s="2"/>
      <c r="D101" s="2" t="s">
        <v>7988</v>
      </c>
      <c r="E101" s="2"/>
      <c r="F101" s="2" t="s">
        <v>4403</v>
      </c>
      <c r="G101" s="2"/>
      <c r="H101" s="2"/>
      <c r="I101" s="2"/>
      <c r="J101" s="2"/>
      <c r="K101" s="2"/>
      <c r="L101" s="2"/>
      <c r="M101" s="25"/>
      <c r="N101" s="23"/>
      <c r="O101" s="23"/>
      <c r="P101" s="2"/>
      <c r="Q101" s="2"/>
      <c r="R101" s="2"/>
      <c r="S101" s="108" t="s">
        <v>4779</v>
      </c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</row>
    <row r="102" spans="1:37" x14ac:dyDescent="0.25">
      <c r="A102" s="25">
        <v>101</v>
      </c>
      <c r="B102" s="2" t="s">
        <v>8019</v>
      </c>
      <c r="C102" s="2"/>
      <c r="D102" s="2" t="s">
        <v>7988</v>
      </c>
      <c r="E102" s="2"/>
      <c r="F102" s="2"/>
      <c r="G102" s="2"/>
      <c r="H102" s="2"/>
      <c r="I102" s="2"/>
      <c r="J102" s="2"/>
      <c r="K102" s="2"/>
      <c r="L102" s="2"/>
      <c r="M102" s="25"/>
      <c r="N102" s="23"/>
      <c r="O102" s="23"/>
      <c r="P102" s="2"/>
      <c r="Q102" s="2"/>
      <c r="R102" s="2"/>
      <c r="S102" s="108" t="s">
        <v>4779</v>
      </c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</row>
    <row r="103" spans="1:37" x14ac:dyDescent="0.25">
      <c r="A103" s="25">
        <v>102</v>
      </c>
      <c r="B103" s="2" t="s">
        <v>7985</v>
      </c>
      <c r="C103" s="2"/>
      <c r="D103" s="2" t="s">
        <v>7988</v>
      </c>
      <c r="E103" s="2"/>
      <c r="F103" s="2" t="s">
        <v>1087</v>
      </c>
      <c r="G103" s="2"/>
      <c r="H103" s="2"/>
      <c r="I103" s="2"/>
      <c r="J103" s="2"/>
      <c r="K103" s="2"/>
      <c r="L103" s="2"/>
      <c r="M103" s="25"/>
      <c r="N103" s="23"/>
      <c r="O103" s="23"/>
      <c r="P103" s="2"/>
      <c r="Q103" s="2"/>
      <c r="R103" s="2"/>
      <c r="S103" s="108" t="s">
        <v>4779</v>
      </c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</row>
    <row r="104" spans="1:37" x14ac:dyDescent="0.25">
      <c r="A104" s="25">
        <v>103</v>
      </c>
      <c r="B104" s="2" t="s">
        <v>8020</v>
      </c>
      <c r="C104" s="2"/>
      <c r="D104" s="2" t="s">
        <v>7988</v>
      </c>
      <c r="E104" s="2"/>
      <c r="F104" s="2"/>
      <c r="G104" s="2"/>
      <c r="H104" s="2"/>
      <c r="I104" s="2"/>
      <c r="J104" s="2"/>
      <c r="K104" s="2"/>
      <c r="L104" s="2"/>
      <c r="M104" s="25"/>
      <c r="N104" s="23"/>
      <c r="O104" s="23"/>
      <c r="P104" s="2"/>
      <c r="Q104" s="2"/>
      <c r="R104" s="2"/>
      <c r="S104" s="108" t="s">
        <v>4779</v>
      </c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</row>
    <row r="105" spans="1:37" x14ac:dyDescent="0.25">
      <c r="A105" s="25">
        <v>104</v>
      </c>
      <c r="B105" s="2" t="s">
        <v>8021</v>
      </c>
      <c r="C105" s="2"/>
      <c r="D105" s="2" t="s">
        <v>7988</v>
      </c>
      <c r="E105" s="2"/>
      <c r="F105" s="2" t="s">
        <v>4403</v>
      </c>
      <c r="G105" s="2"/>
      <c r="H105" s="2"/>
      <c r="I105" s="2"/>
      <c r="J105" s="2"/>
      <c r="K105" s="2"/>
      <c r="L105" s="2"/>
      <c r="M105" s="25"/>
      <c r="N105" s="23"/>
      <c r="O105" s="23"/>
      <c r="P105" s="2"/>
      <c r="Q105" s="2"/>
      <c r="R105" s="2"/>
      <c r="S105" s="108" t="s">
        <v>4779</v>
      </c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</row>
    <row r="106" spans="1:37" x14ac:dyDescent="0.25">
      <c r="A106" s="25">
        <v>105</v>
      </c>
      <c r="B106" s="2" t="s">
        <v>7986</v>
      </c>
      <c r="C106" s="2"/>
      <c r="D106" s="2" t="s">
        <v>7988</v>
      </c>
      <c r="E106" s="2"/>
      <c r="F106" s="2" t="s">
        <v>1086</v>
      </c>
      <c r="G106" s="2"/>
      <c r="H106" s="2"/>
      <c r="I106" s="2"/>
      <c r="J106" s="2"/>
      <c r="K106" s="2"/>
      <c r="L106" s="2"/>
      <c r="M106" s="25"/>
      <c r="N106" s="23"/>
      <c r="O106" s="23"/>
      <c r="P106" s="2"/>
      <c r="Q106" s="2"/>
      <c r="R106" s="2"/>
      <c r="S106" s="108" t="s">
        <v>4779</v>
      </c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</row>
    <row r="107" spans="1:37" x14ac:dyDescent="0.25">
      <c r="A107" s="25">
        <v>106</v>
      </c>
      <c r="B107" s="2" t="s">
        <v>7987</v>
      </c>
      <c r="C107" s="2"/>
      <c r="D107" s="2" t="s">
        <v>7988</v>
      </c>
      <c r="E107" s="2"/>
      <c r="F107" s="2"/>
      <c r="G107" s="2"/>
      <c r="H107" s="2"/>
      <c r="I107" s="2"/>
      <c r="J107" s="2"/>
      <c r="K107" s="2"/>
      <c r="L107" s="2"/>
      <c r="M107" s="25"/>
      <c r="N107" s="23"/>
      <c r="O107" s="23"/>
      <c r="P107" s="2"/>
      <c r="Q107" s="2"/>
      <c r="R107" s="2"/>
      <c r="S107" s="108" t="s">
        <v>4779</v>
      </c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</row>
    <row r="108" spans="1:37" x14ac:dyDescent="0.25">
      <c r="A108" s="25">
        <v>107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5"/>
      <c r="N108" s="23"/>
      <c r="O108" s="23"/>
      <c r="P108" s="2"/>
      <c r="Q108" s="2"/>
      <c r="R108" s="2"/>
      <c r="S108" s="108" t="s">
        <v>4779</v>
      </c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</row>
    <row r="109" spans="1:37" x14ac:dyDescent="0.25">
      <c r="A109" s="2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5"/>
      <c r="N109" s="23"/>
      <c r="O109" s="23"/>
      <c r="P109" s="2"/>
      <c r="Q109" s="2"/>
      <c r="R109" s="2"/>
      <c r="S109" s="108" t="s">
        <v>4779</v>
      </c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</row>
    <row r="110" spans="1:37" x14ac:dyDescent="0.25">
      <c r="A110" s="2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5"/>
      <c r="N110" s="23"/>
      <c r="O110" s="23"/>
      <c r="P110" s="2"/>
      <c r="Q110" s="2"/>
      <c r="R110" s="2"/>
      <c r="S110" s="108" t="s">
        <v>4779</v>
      </c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</row>
    <row r="111" spans="1:37" x14ac:dyDescent="0.25">
      <c r="A111" s="2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5"/>
      <c r="N111" s="23"/>
      <c r="O111" s="23"/>
      <c r="P111" s="2"/>
      <c r="Q111" s="2"/>
      <c r="R111" s="2"/>
      <c r="S111" s="108" t="s">
        <v>4779</v>
      </c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</row>
  </sheetData>
  <autoFilter ref="A2:AN93" xr:uid="{00000000-0009-0000-0000-000000000000}"/>
  <sortState xmlns:xlrd2="http://schemas.microsoft.com/office/spreadsheetml/2017/richdata2" ref="A3:AL90">
    <sortCondition sortBy="cellColor" ref="A3:A90" dxfId="3"/>
    <sortCondition sortBy="cellColor" ref="A3:A90" dxfId="2"/>
    <sortCondition sortBy="cellColor" ref="A3:A90" dxfId="1"/>
    <sortCondition sortBy="cellColor" ref="A3:A90" dxfId="0"/>
  </sortState>
  <mergeCells count="3">
    <mergeCell ref="W1:Y1"/>
    <mergeCell ref="Z1:AB1"/>
    <mergeCell ref="K1:M1"/>
  </mergeCells>
  <phoneticPr fontId="6" type="noConversion"/>
  <dataValidations count="1">
    <dataValidation type="list" allowBlank="1" showInputMessage="1" showErrorMessage="1" sqref="E3:E89 E91:E93" xr:uid="{00000000-0002-0000-0000-000000000000}">
      <formula1>$AN$3:$AN$10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EC09E-C152-4FAC-A8B5-9C50CF0B417E}">
  <dimension ref="A1:K34"/>
  <sheetViews>
    <sheetView topLeftCell="B19" zoomScaleNormal="100" workbookViewId="0">
      <selection activeCell="D12" sqref="D12"/>
    </sheetView>
  </sheetViews>
  <sheetFormatPr defaultRowHeight="15" x14ac:dyDescent="0.25"/>
  <cols>
    <col min="1" max="1" width="9.140625" style="24"/>
    <col min="2" max="2" width="13.5703125" customWidth="1"/>
    <col min="4" max="4" width="18.140625" bestFit="1" customWidth="1"/>
    <col min="5" max="5" width="18.140625" customWidth="1"/>
    <col min="6" max="7" width="15.28515625" style="24" hidden="1" customWidth="1"/>
    <col min="8" max="8" width="63.140625" hidden="1" customWidth="1"/>
    <col min="9" max="9" width="48" style="13" customWidth="1"/>
    <col min="10" max="10" width="46.5703125" customWidth="1"/>
    <col min="11" max="11" width="24.28515625" bestFit="1" customWidth="1"/>
  </cols>
  <sheetData>
    <row r="1" spans="1:11" s="24" customFormat="1" x14ac:dyDescent="0.25">
      <c r="B1" s="24" t="s">
        <v>7460</v>
      </c>
      <c r="D1" s="24" t="s">
        <v>7417</v>
      </c>
      <c r="E1" s="167">
        <v>46223</v>
      </c>
      <c r="F1" s="164">
        <v>46218</v>
      </c>
      <c r="G1" s="164">
        <v>46219</v>
      </c>
      <c r="H1" s="24" t="s">
        <v>7476</v>
      </c>
      <c r="I1" s="24" t="s">
        <v>7589</v>
      </c>
      <c r="J1" s="24" t="s">
        <v>7477</v>
      </c>
      <c r="K1" s="24" t="s">
        <v>7419</v>
      </c>
    </row>
    <row r="2" spans="1:11" x14ac:dyDescent="0.25">
      <c r="A2" s="24">
        <v>1</v>
      </c>
      <c r="B2" t="s">
        <v>7411</v>
      </c>
      <c r="C2" t="s">
        <v>7441</v>
      </c>
      <c r="D2" t="s">
        <v>7549</v>
      </c>
      <c r="E2" s="24" t="s">
        <v>4651</v>
      </c>
      <c r="F2" s="24" t="s">
        <v>4651</v>
      </c>
      <c r="G2" s="24" t="s">
        <v>4651</v>
      </c>
      <c r="H2" t="s">
        <v>7424</v>
      </c>
      <c r="I2" s="13" t="s">
        <v>7590</v>
      </c>
      <c r="J2" t="s">
        <v>7481</v>
      </c>
      <c r="K2" t="s">
        <v>7427</v>
      </c>
    </row>
    <row r="3" spans="1:11" x14ac:dyDescent="0.25">
      <c r="A3" s="24">
        <v>2</v>
      </c>
      <c r="B3" t="s">
        <v>1091</v>
      </c>
      <c r="C3" t="s">
        <v>7441</v>
      </c>
      <c r="D3" t="s">
        <v>6924</v>
      </c>
      <c r="E3" s="24" t="s">
        <v>4651</v>
      </c>
      <c r="F3" s="24" t="s">
        <v>4651</v>
      </c>
      <c r="G3" s="24" t="s">
        <v>4651</v>
      </c>
      <c r="H3" t="s">
        <v>7428</v>
      </c>
      <c r="I3" s="13" t="s">
        <v>7595</v>
      </c>
      <c r="J3" t="s">
        <v>7428</v>
      </c>
      <c r="K3" t="s">
        <v>7426</v>
      </c>
    </row>
    <row r="4" spans="1:11" x14ac:dyDescent="0.25">
      <c r="A4" s="24">
        <v>3</v>
      </c>
      <c r="B4" t="s">
        <v>7412</v>
      </c>
      <c r="C4" t="s">
        <v>7441</v>
      </c>
      <c r="D4" t="s">
        <v>7550</v>
      </c>
      <c r="E4" s="24" t="s">
        <v>4651</v>
      </c>
      <c r="F4" s="24" t="s">
        <v>4651</v>
      </c>
      <c r="G4" s="24" t="s">
        <v>4651</v>
      </c>
      <c r="H4" t="s">
        <v>7478</v>
      </c>
      <c r="I4" s="13" t="s">
        <v>7591</v>
      </c>
      <c r="J4" t="s">
        <v>7479</v>
      </c>
      <c r="K4" t="s">
        <v>7420</v>
      </c>
    </row>
    <row r="5" spans="1:11" x14ac:dyDescent="0.25">
      <c r="A5" s="24">
        <v>4</v>
      </c>
      <c r="B5" t="s">
        <v>1085</v>
      </c>
      <c r="C5" t="s">
        <v>7441</v>
      </c>
      <c r="D5" t="s">
        <v>7551</v>
      </c>
      <c r="E5" s="24" t="s">
        <v>4651</v>
      </c>
      <c r="F5" s="24" t="s">
        <v>4651</v>
      </c>
      <c r="G5" s="24" t="s">
        <v>4651</v>
      </c>
      <c r="H5" t="s">
        <v>7480</v>
      </c>
      <c r="I5" s="13" t="s">
        <v>7592</v>
      </c>
      <c r="J5" t="s">
        <v>7482</v>
      </c>
      <c r="K5" t="s">
        <v>7422</v>
      </c>
    </row>
    <row r="6" spans="1:11" x14ac:dyDescent="0.25">
      <c r="A6" s="24">
        <v>5</v>
      </c>
      <c r="B6" t="s">
        <v>7413</v>
      </c>
      <c r="C6" t="s">
        <v>7441</v>
      </c>
      <c r="D6" t="s">
        <v>7552</v>
      </c>
      <c r="E6" s="24" t="s">
        <v>7440</v>
      </c>
      <c r="F6" s="24" t="s">
        <v>7440</v>
      </c>
      <c r="G6" s="24" t="s">
        <v>4651</v>
      </c>
      <c r="H6" t="s">
        <v>7425</v>
      </c>
      <c r="I6" s="13" t="s">
        <v>7593</v>
      </c>
      <c r="K6" t="s">
        <v>7423</v>
      </c>
    </row>
    <row r="7" spans="1:11" x14ac:dyDescent="0.25">
      <c r="A7" s="24">
        <v>6</v>
      </c>
      <c r="B7" t="s">
        <v>7414</v>
      </c>
      <c r="C7" t="s">
        <v>7441</v>
      </c>
      <c r="D7" t="s">
        <v>7553</v>
      </c>
      <c r="E7" s="24" t="s">
        <v>4651</v>
      </c>
      <c r="F7" s="24" t="s">
        <v>4651</v>
      </c>
      <c r="G7" s="24" t="s">
        <v>4651</v>
      </c>
      <c r="H7" t="s">
        <v>7430</v>
      </c>
      <c r="I7" s="13" t="s">
        <v>7594</v>
      </c>
      <c r="K7" t="s">
        <v>7429</v>
      </c>
    </row>
    <row r="8" spans="1:11" x14ac:dyDescent="0.25">
      <c r="A8" s="24">
        <v>7</v>
      </c>
      <c r="B8" t="s">
        <v>7415</v>
      </c>
      <c r="C8" t="s">
        <v>7441</v>
      </c>
      <c r="D8" t="s">
        <v>7554</v>
      </c>
      <c r="E8" s="24" t="s">
        <v>4651</v>
      </c>
      <c r="F8" s="24" t="s">
        <v>4651</v>
      </c>
      <c r="G8" s="24" t="s">
        <v>4651</v>
      </c>
      <c r="H8" t="s">
        <v>7421</v>
      </c>
      <c r="K8" t="s">
        <v>7475</v>
      </c>
    </row>
    <row r="9" spans="1:11" x14ac:dyDescent="0.25">
      <c r="A9" s="24">
        <v>8</v>
      </c>
      <c r="B9" t="s">
        <v>7416</v>
      </c>
      <c r="C9" t="s">
        <v>7441</v>
      </c>
      <c r="D9" s="125" t="s">
        <v>7555</v>
      </c>
      <c r="E9" s="154" t="s">
        <v>4651</v>
      </c>
      <c r="F9" s="24" t="s">
        <v>4651</v>
      </c>
      <c r="G9" s="24" t="s">
        <v>4651</v>
      </c>
      <c r="H9" t="s">
        <v>7421</v>
      </c>
      <c r="K9" t="s">
        <v>7475</v>
      </c>
    </row>
    <row r="10" spans="1:11" x14ac:dyDescent="0.25">
      <c r="A10" s="24">
        <v>9</v>
      </c>
      <c r="B10" t="s">
        <v>7749</v>
      </c>
      <c r="C10" t="s">
        <v>7441</v>
      </c>
      <c r="D10" s="125" t="s">
        <v>7556</v>
      </c>
      <c r="E10" s="154" t="s">
        <v>4651</v>
      </c>
      <c r="F10" s="24" t="s">
        <v>4651</v>
      </c>
      <c r="G10" s="24" t="s">
        <v>4651</v>
      </c>
      <c r="H10" t="s">
        <v>7421</v>
      </c>
      <c r="K10" t="s">
        <v>7475</v>
      </c>
    </row>
    <row r="11" spans="1:11" x14ac:dyDescent="0.25">
      <c r="A11" s="24">
        <v>10</v>
      </c>
      <c r="B11" t="s">
        <v>7418</v>
      </c>
      <c r="C11" t="s">
        <v>7441</v>
      </c>
      <c r="D11" s="125" t="s">
        <v>7557</v>
      </c>
      <c r="E11" s="154" t="s">
        <v>4651</v>
      </c>
      <c r="F11" s="24" t="s">
        <v>4651</v>
      </c>
      <c r="G11" s="24" t="s">
        <v>4651</v>
      </c>
      <c r="H11" t="s">
        <v>7421</v>
      </c>
      <c r="K11" t="s">
        <v>7475</v>
      </c>
    </row>
    <row r="12" spans="1:11" x14ac:dyDescent="0.25">
      <c r="A12" s="24">
        <v>11</v>
      </c>
      <c r="B12" t="s">
        <v>7456</v>
      </c>
      <c r="C12" t="s">
        <v>7441</v>
      </c>
      <c r="D12" t="s">
        <v>7558</v>
      </c>
      <c r="E12" s="24"/>
      <c r="F12" s="24" t="s">
        <v>4758</v>
      </c>
      <c r="G12" s="24" t="s">
        <v>1756</v>
      </c>
      <c r="K12" t="s">
        <v>7496</v>
      </c>
    </row>
    <row r="13" spans="1:11" x14ac:dyDescent="0.25">
      <c r="A13" s="24">
        <v>12</v>
      </c>
      <c r="B13" t="s">
        <v>7431</v>
      </c>
      <c r="C13" t="s">
        <v>7442</v>
      </c>
      <c r="D13" t="s">
        <v>7559</v>
      </c>
      <c r="E13" s="24" t="s">
        <v>4651</v>
      </c>
      <c r="F13" s="24" t="s">
        <v>4758</v>
      </c>
      <c r="G13" s="24" t="s">
        <v>4651</v>
      </c>
      <c r="K13" t="s">
        <v>7546</v>
      </c>
    </row>
    <row r="14" spans="1:11" x14ac:dyDescent="0.25">
      <c r="A14" s="24">
        <v>13</v>
      </c>
      <c r="B14" t="s">
        <v>7432</v>
      </c>
      <c r="C14" t="s">
        <v>7442</v>
      </c>
      <c r="D14" t="s">
        <v>7560</v>
      </c>
      <c r="E14" s="24" t="s">
        <v>4651</v>
      </c>
      <c r="F14" s="24" t="s">
        <v>4758</v>
      </c>
      <c r="G14" s="24" t="s">
        <v>4651</v>
      </c>
      <c r="K14" t="s">
        <v>7547</v>
      </c>
    </row>
    <row r="15" spans="1:11" x14ac:dyDescent="0.25">
      <c r="A15" s="24">
        <v>14</v>
      </c>
      <c r="B15" t="s">
        <v>7433</v>
      </c>
      <c r="C15" t="s">
        <v>7442</v>
      </c>
      <c r="D15" t="s">
        <v>7561</v>
      </c>
      <c r="E15" s="24" t="s">
        <v>4651</v>
      </c>
      <c r="F15" s="24" t="s">
        <v>4758</v>
      </c>
      <c r="G15" s="24" t="s">
        <v>4651</v>
      </c>
      <c r="K15" t="s">
        <v>7548</v>
      </c>
    </row>
    <row r="16" spans="1:11" x14ac:dyDescent="0.25">
      <c r="A16" s="24">
        <v>15</v>
      </c>
      <c r="B16" t="s">
        <v>7434</v>
      </c>
      <c r="C16" t="s">
        <v>7442</v>
      </c>
      <c r="D16" t="s">
        <v>7562</v>
      </c>
      <c r="E16" s="24" t="s">
        <v>4651</v>
      </c>
      <c r="F16" s="24" t="s">
        <v>4758</v>
      </c>
      <c r="G16" s="24" t="s">
        <v>4651</v>
      </c>
    </row>
    <row r="17" spans="1:7" x14ac:dyDescent="0.25">
      <c r="A17" s="24">
        <v>16</v>
      </c>
      <c r="B17" t="s">
        <v>7435</v>
      </c>
      <c r="C17" t="s">
        <v>7442</v>
      </c>
      <c r="D17" t="s">
        <v>7563</v>
      </c>
      <c r="E17" s="24" t="s">
        <v>4651</v>
      </c>
      <c r="F17" s="24" t="s">
        <v>4758</v>
      </c>
      <c r="G17" s="24" t="s">
        <v>4651</v>
      </c>
    </row>
    <row r="18" spans="1:7" x14ac:dyDescent="0.25">
      <c r="A18" s="24">
        <v>17</v>
      </c>
      <c r="B18" t="s">
        <v>7436</v>
      </c>
      <c r="C18" t="s">
        <v>7442</v>
      </c>
      <c r="D18" t="s">
        <v>7564</v>
      </c>
      <c r="E18" s="24" t="s">
        <v>4651</v>
      </c>
      <c r="F18" s="24" t="s">
        <v>4758</v>
      </c>
      <c r="G18" s="24" t="s">
        <v>4651</v>
      </c>
    </row>
    <row r="19" spans="1:7" x14ac:dyDescent="0.25">
      <c r="A19" s="24">
        <v>18</v>
      </c>
      <c r="B19" t="s">
        <v>7437</v>
      </c>
      <c r="C19" t="s">
        <v>7442</v>
      </c>
      <c r="D19" s="125" t="s">
        <v>7565</v>
      </c>
      <c r="E19" s="154" t="s">
        <v>4651</v>
      </c>
      <c r="F19" s="24" t="s">
        <v>4758</v>
      </c>
      <c r="G19" s="24" t="s">
        <v>4651</v>
      </c>
    </row>
    <row r="20" spans="1:7" x14ac:dyDescent="0.25">
      <c r="A20" s="24">
        <v>19</v>
      </c>
      <c r="B20" t="s">
        <v>7438</v>
      </c>
      <c r="C20" t="s">
        <v>7442</v>
      </c>
      <c r="D20" t="s">
        <v>7566</v>
      </c>
      <c r="E20" s="24"/>
      <c r="F20" s="24" t="s">
        <v>4758</v>
      </c>
      <c r="G20" s="24" t="s">
        <v>4651</v>
      </c>
    </row>
    <row r="21" spans="1:7" x14ac:dyDescent="0.25">
      <c r="A21" s="24">
        <v>20</v>
      </c>
      <c r="B21" t="s">
        <v>7439</v>
      </c>
      <c r="C21" t="s">
        <v>7442</v>
      </c>
      <c r="D21" t="s">
        <v>7567</v>
      </c>
      <c r="E21" s="24"/>
      <c r="F21" s="24" t="s">
        <v>7440</v>
      </c>
      <c r="G21" s="24" t="s">
        <v>1756</v>
      </c>
    </row>
    <row r="22" spans="1:7" x14ac:dyDescent="0.25">
      <c r="A22" s="24">
        <v>21</v>
      </c>
      <c r="B22" t="s">
        <v>6632</v>
      </c>
      <c r="C22" t="s">
        <v>7442</v>
      </c>
      <c r="D22" t="s">
        <v>7568</v>
      </c>
      <c r="E22" s="24" t="s">
        <v>7473</v>
      </c>
      <c r="F22" s="24" t="s">
        <v>4758</v>
      </c>
      <c r="G22" s="24" t="s">
        <v>7473</v>
      </c>
    </row>
    <row r="23" spans="1:7" x14ac:dyDescent="0.25">
      <c r="A23" s="24">
        <v>22</v>
      </c>
      <c r="B23" t="s">
        <v>7444</v>
      </c>
      <c r="C23" t="s">
        <v>7443</v>
      </c>
      <c r="D23" t="s">
        <v>7569</v>
      </c>
      <c r="E23" s="24"/>
      <c r="G23" s="24" t="s">
        <v>4651</v>
      </c>
    </row>
    <row r="24" spans="1:7" x14ac:dyDescent="0.25">
      <c r="A24" s="24">
        <v>23</v>
      </c>
      <c r="B24" t="s">
        <v>7445</v>
      </c>
      <c r="C24" t="s">
        <v>7443</v>
      </c>
      <c r="D24" s="125" t="s">
        <v>7570</v>
      </c>
      <c r="E24" s="154" t="s">
        <v>4651</v>
      </c>
      <c r="G24" s="24" t="s">
        <v>4651</v>
      </c>
    </row>
    <row r="25" spans="1:7" x14ac:dyDescent="0.25">
      <c r="A25" s="24">
        <v>24</v>
      </c>
      <c r="B25" s="168" t="s">
        <v>7446</v>
      </c>
      <c r="C25" s="168" t="s">
        <v>7443</v>
      </c>
      <c r="D25" s="168" t="s">
        <v>7571</v>
      </c>
      <c r="E25" s="24" t="s">
        <v>4651</v>
      </c>
      <c r="G25" s="24" t="s">
        <v>4651</v>
      </c>
    </row>
    <row r="26" spans="1:7" x14ac:dyDescent="0.25">
      <c r="A26" s="24">
        <v>25</v>
      </c>
      <c r="B26" t="s">
        <v>7447</v>
      </c>
      <c r="C26" t="s">
        <v>7452</v>
      </c>
      <c r="D26" t="s">
        <v>7572</v>
      </c>
      <c r="E26" s="24"/>
      <c r="G26" s="24" t="s">
        <v>1756</v>
      </c>
    </row>
    <row r="27" spans="1:7" x14ac:dyDescent="0.25">
      <c r="A27" s="24">
        <v>26</v>
      </c>
      <c r="B27" t="s">
        <v>7448</v>
      </c>
      <c r="C27" t="s">
        <v>7452</v>
      </c>
      <c r="E27" s="24"/>
      <c r="G27" s="24" t="s">
        <v>4651</v>
      </c>
    </row>
    <row r="28" spans="1:7" x14ac:dyDescent="0.25">
      <c r="A28" s="24">
        <v>27</v>
      </c>
      <c r="B28" t="s">
        <v>7449</v>
      </c>
      <c r="C28" t="s">
        <v>7452</v>
      </c>
      <c r="E28" s="24" t="s">
        <v>4651</v>
      </c>
      <c r="G28" s="24" t="s">
        <v>4651</v>
      </c>
    </row>
    <row r="29" spans="1:7" x14ac:dyDescent="0.25">
      <c r="A29" s="24">
        <v>28</v>
      </c>
      <c r="B29" t="s">
        <v>7450</v>
      </c>
      <c r="C29" t="s">
        <v>7452</v>
      </c>
      <c r="E29" s="24"/>
      <c r="G29" s="24" t="s">
        <v>4651</v>
      </c>
    </row>
    <row r="30" spans="1:7" x14ac:dyDescent="0.25">
      <c r="A30" s="24">
        <v>29</v>
      </c>
      <c r="B30" t="s">
        <v>7451</v>
      </c>
      <c r="C30" t="s">
        <v>7452</v>
      </c>
      <c r="E30" s="24"/>
      <c r="G30" s="24" t="s">
        <v>4651</v>
      </c>
    </row>
    <row r="31" spans="1:7" x14ac:dyDescent="0.25">
      <c r="A31" s="24">
        <v>30</v>
      </c>
      <c r="B31" t="s">
        <v>7454</v>
      </c>
      <c r="C31" t="s">
        <v>7453</v>
      </c>
      <c r="D31" t="s">
        <v>7573</v>
      </c>
      <c r="E31" s="24"/>
      <c r="G31" s="24" t="s">
        <v>7473</v>
      </c>
    </row>
    <row r="32" spans="1:7" x14ac:dyDescent="0.25">
      <c r="A32" s="24">
        <v>31</v>
      </c>
      <c r="B32" t="s">
        <v>7455</v>
      </c>
      <c r="C32" t="s">
        <v>7453</v>
      </c>
      <c r="D32" t="s">
        <v>7574</v>
      </c>
      <c r="E32" s="24"/>
      <c r="G32" s="24" t="s">
        <v>7473</v>
      </c>
    </row>
    <row r="33" spans="1:7" x14ac:dyDescent="0.25">
      <c r="A33" s="24">
        <v>31</v>
      </c>
      <c r="B33" t="s">
        <v>7474</v>
      </c>
      <c r="C33" t="s">
        <v>7453</v>
      </c>
      <c r="D33" s="125" t="s">
        <v>7748</v>
      </c>
      <c r="E33" s="24"/>
      <c r="G33" s="24" t="s">
        <v>7473</v>
      </c>
    </row>
    <row r="34" spans="1:7" x14ac:dyDescent="0.25">
      <c r="B34" t="s">
        <v>7587</v>
      </c>
      <c r="C34" t="s">
        <v>7441</v>
      </c>
      <c r="D34" s="125" t="s">
        <v>7588</v>
      </c>
      <c r="E34" s="154" t="s">
        <v>4651</v>
      </c>
    </row>
  </sheetData>
  <autoFilter ref="A1:K22" xr:uid="{8E8EC09E-C152-4FAC-A8B5-9C50CF0B417E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B2:G135"/>
  <sheetViews>
    <sheetView showGridLines="0" topLeftCell="A118" workbookViewId="0">
      <selection activeCell="C131" sqref="C131"/>
    </sheetView>
  </sheetViews>
  <sheetFormatPr defaultRowHeight="15" x14ac:dyDescent="0.25"/>
  <cols>
    <col min="2" max="2" width="18" bestFit="1" customWidth="1"/>
    <col min="3" max="3" width="72" bestFit="1" customWidth="1"/>
    <col min="4" max="4" width="42.140625" bestFit="1" customWidth="1"/>
    <col min="5" max="5" width="11.85546875" bestFit="1" customWidth="1"/>
    <col min="6" max="6" width="8.42578125" bestFit="1" customWidth="1"/>
    <col min="7" max="7" width="11" bestFit="1" customWidth="1"/>
  </cols>
  <sheetData>
    <row r="2" spans="2:7" x14ac:dyDescent="0.25">
      <c r="C2" t="s">
        <v>2349</v>
      </c>
    </row>
    <row r="4" spans="2:7" ht="15.75" x14ac:dyDescent="0.25">
      <c r="B4" s="10" t="s">
        <v>0</v>
      </c>
      <c r="C4" s="11" t="s">
        <v>1</v>
      </c>
      <c r="D4" s="11" t="s">
        <v>2</v>
      </c>
      <c r="E4" s="11" t="s">
        <v>934</v>
      </c>
      <c r="F4" s="11" t="s">
        <v>1095</v>
      </c>
      <c r="G4" s="11" t="s">
        <v>1507</v>
      </c>
    </row>
    <row r="5" spans="2:7" x14ac:dyDescent="0.25">
      <c r="B5" s="3">
        <v>45595</v>
      </c>
      <c r="C5" s="2" t="s">
        <v>1796</v>
      </c>
      <c r="D5" s="2"/>
      <c r="E5" s="23">
        <v>0</v>
      </c>
      <c r="F5" s="2"/>
      <c r="G5" s="2"/>
    </row>
    <row r="6" spans="2:7" x14ac:dyDescent="0.25">
      <c r="B6" s="3">
        <v>45596</v>
      </c>
      <c r="C6" s="2"/>
      <c r="D6" s="2" t="s">
        <v>2363</v>
      </c>
      <c r="E6" s="23">
        <v>0</v>
      </c>
      <c r="F6" s="2">
        <f t="shared" ref="F6:F30" si="0">E6-E5</f>
        <v>0</v>
      </c>
      <c r="G6" s="2"/>
    </row>
    <row r="7" spans="2:7" x14ac:dyDescent="0.25">
      <c r="B7" s="3">
        <v>45597</v>
      </c>
      <c r="C7" s="2" t="s">
        <v>2376</v>
      </c>
      <c r="D7" s="2"/>
      <c r="E7" s="23">
        <v>0</v>
      </c>
      <c r="F7" s="2">
        <f t="shared" si="0"/>
        <v>0</v>
      </c>
      <c r="G7" s="2"/>
    </row>
    <row r="8" spans="2:7" x14ac:dyDescent="0.25">
      <c r="B8" s="3">
        <v>45598</v>
      </c>
      <c r="C8" s="2" t="s">
        <v>2394</v>
      </c>
      <c r="D8" s="2"/>
      <c r="E8" s="23">
        <v>0</v>
      </c>
      <c r="F8" s="2">
        <f t="shared" si="0"/>
        <v>0</v>
      </c>
      <c r="G8" s="2"/>
    </row>
    <row r="9" spans="2:7" x14ac:dyDescent="0.25">
      <c r="B9" s="3">
        <v>45599</v>
      </c>
      <c r="C9" s="2" t="s">
        <v>1545</v>
      </c>
      <c r="D9" s="2"/>
      <c r="E9" s="23">
        <v>0</v>
      </c>
      <c r="F9" s="2">
        <f t="shared" si="0"/>
        <v>0</v>
      </c>
      <c r="G9" s="2"/>
    </row>
    <row r="10" spans="2:7" x14ac:dyDescent="0.25">
      <c r="B10" s="3">
        <v>45600</v>
      </c>
      <c r="C10" s="2" t="s">
        <v>2401</v>
      </c>
      <c r="D10" s="2"/>
      <c r="E10" s="23">
        <v>0</v>
      </c>
      <c r="F10" s="2">
        <f t="shared" si="0"/>
        <v>0</v>
      </c>
      <c r="G10" s="2"/>
    </row>
    <row r="11" spans="2:7" x14ac:dyDescent="0.25">
      <c r="B11" s="3">
        <v>45601</v>
      </c>
      <c r="C11" s="2" t="s">
        <v>2415</v>
      </c>
      <c r="D11" s="2"/>
      <c r="E11" s="23">
        <v>0</v>
      </c>
      <c r="F11" s="2">
        <f t="shared" si="0"/>
        <v>0</v>
      </c>
      <c r="G11" s="2"/>
    </row>
    <row r="12" spans="2:7" x14ac:dyDescent="0.25">
      <c r="B12" s="3">
        <v>45602</v>
      </c>
      <c r="C12" s="2" t="s">
        <v>2410</v>
      </c>
      <c r="D12" s="2" t="s">
        <v>2411</v>
      </c>
      <c r="E12" s="23">
        <v>1</v>
      </c>
      <c r="F12" s="2">
        <f t="shared" si="0"/>
        <v>1</v>
      </c>
      <c r="G12" s="2"/>
    </row>
    <row r="13" spans="2:7" x14ac:dyDescent="0.25">
      <c r="B13" s="3">
        <v>45603</v>
      </c>
      <c r="C13" s="2" t="s">
        <v>2427</v>
      </c>
      <c r="D13" s="2"/>
      <c r="E13" s="23">
        <v>1.3</v>
      </c>
      <c r="F13" s="2">
        <f t="shared" si="0"/>
        <v>0.30000000000000004</v>
      </c>
      <c r="G13" s="2"/>
    </row>
    <row r="14" spans="2:7" ht="30" x14ac:dyDescent="0.25">
      <c r="B14" s="36">
        <v>45604</v>
      </c>
      <c r="C14" s="30" t="s">
        <v>2439</v>
      </c>
      <c r="D14" s="35" t="s">
        <v>2440</v>
      </c>
      <c r="E14" s="23">
        <v>2.2999999999999998</v>
      </c>
      <c r="F14" s="2">
        <f t="shared" si="0"/>
        <v>0.99999999999999978</v>
      </c>
      <c r="G14" s="2"/>
    </row>
    <row r="15" spans="2:7" x14ac:dyDescent="0.25">
      <c r="B15" s="3">
        <v>45605</v>
      </c>
      <c r="C15" s="2" t="s">
        <v>2454</v>
      </c>
      <c r="D15" s="2"/>
      <c r="E15" s="23">
        <v>5</v>
      </c>
      <c r="F15" s="2">
        <f t="shared" si="0"/>
        <v>2.7</v>
      </c>
      <c r="G15" s="2"/>
    </row>
    <row r="16" spans="2:7" ht="30" x14ac:dyDescent="0.25">
      <c r="B16" s="36">
        <v>45606</v>
      </c>
      <c r="C16" s="30" t="s">
        <v>2455</v>
      </c>
      <c r="D16" s="2"/>
      <c r="E16" s="23">
        <v>3</v>
      </c>
      <c r="F16" s="2">
        <f t="shared" si="0"/>
        <v>-2</v>
      </c>
      <c r="G16" s="2"/>
    </row>
    <row r="17" spans="2:7" x14ac:dyDescent="0.25">
      <c r="B17" s="3">
        <v>45607</v>
      </c>
      <c r="C17" s="2" t="s">
        <v>2464</v>
      </c>
      <c r="D17" s="2"/>
      <c r="E17" s="23">
        <v>4.5</v>
      </c>
      <c r="F17" s="2">
        <f t="shared" si="0"/>
        <v>1.5</v>
      </c>
      <c r="G17" s="2"/>
    </row>
    <row r="18" spans="2:7" x14ac:dyDescent="0.25">
      <c r="B18" s="3">
        <v>45608</v>
      </c>
      <c r="C18" s="2" t="s">
        <v>2481</v>
      </c>
      <c r="D18" s="2"/>
      <c r="E18" s="23">
        <v>6</v>
      </c>
      <c r="F18" s="2">
        <f t="shared" si="0"/>
        <v>1.5</v>
      </c>
      <c r="G18" s="2"/>
    </row>
    <row r="19" spans="2:7" x14ac:dyDescent="0.25">
      <c r="B19" s="3">
        <v>45609</v>
      </c>
      <c r="C19" s="2" t="s">
        <v>2498</v>
      </c>
      <c r="D19" s="2"/>
      <c r="E19" s="23">
        <v>7</v>
      </c>
      <c r="F19" s="2">
        <f t="shared" si="0"/>
        <v>1</v>
      </c>
      <c r="G19" s="2"/>
    </row>
    <row r="20" spans="2:7" x14ac:dyDescent="0.25">
      <c r="B20" s="3">
        <v>45610</v>
      </c>
      <c r="C20" s="2" t="s">
        <v>2512</v>
      </c>
      <c r="D20" s="2"/>
      <c r="E20" s="23">
        <v>8</v>
      </c>
      <c r="F20" s="2">
        <f t="shared" si="0"/>
        <v>1</v>
      </c>
      <c r="G20" s="2"/>
    </row>
    <row r="21" spans="2:7" x14ac:dyDescent="0.25">
      <c r="B21" s="3">
        <v>45611</v>
      </c>
      <c r="C21" s="2" t="s">
        <v>2517</v>
      </c>
      <c r="D21" s="2" t="s">
        <v>2527</v>
      </c>
      <c r="E21" s="23">
        <v>9</v>
      </c>
      <c r="F21" s="2">
        <f t="shared" si="0"/>
        <v>1</v>
      </c>
      <c r="G21" s="2"/>
    </row>
    <row r="22" spans="2:7" x14ac:dyDescent="0.25">
      <c r="B22" s="3">
        <v>45612</v>
      </c>
      <c r="C22" s="2" t="s">
        <v>2532</v>
      </c>
      <c r="D22" s="2"/>
      <c r="E22" s="23">
        <v>9.5</v>
      </c>
      <c r="F22" s="2">
        <f t="shared" si="0"/>
        <v>0.5</v>
      </c>
      <c r="G22" s="2"/>
    </row>
    <row r="23" spans="2:7" x14ac:dyDescent="0.25">
      <c r="B23" s="3">
        <v>45613</v>
      </c>
      <c r="C23" s="2" t="s">
        <v>2531</v>
      </c>
      <c r="D23" s="2"/>
      <c r="E23" s="23">
        <v>10.5</v>
      </c>
      <c r="F23" s="2">
        <f t="shared" si="0"/>
        <v>1</v>
      </c>
      <c r="G23" s="2"/>
    </row>
    <row r="24" spans="2:7" x14ac:dyDescent="0.25">
      <c r="B24" s="3">
        <v>45614</v>
      </c>
      <c r="C24" s="2" t="s">
        <v>2547</v>
      </c>
      <c r="D24" s="2"/>
      <c r="E24" s="23">
        <v>11.25</v>
      </c>
      <c r="F24" s="2">
        <f t="shared" si="0"/>
        <v>0.75</v>
      </c>
      <c r="G24" s="2"/>
    </row>
    <row r="25" spans="2:7" x14ac:dyDescent="0.25">
      <c r="B25" s="3">
        <v>45615</v>
      </c>
      <c r="C25" s="2" t="s">
        <v>2556</v>
      </c>
      <c r="D25" s="2"/>
      <c r="E25" s="23">
        <v>11.75</v>
      </c>
      <c r="F25" s="2">
        <f t="shared" si="0"/>
        <v>0.5</v>
      </c>
      <c r="G25" s="2"/>
    </row>
    <row r="26" spans="2:7" x14ac:dyDescent="0.25">
      <c r="B26" s="3">
        <v>45616</v>
      </c>
      <c r="C26" s="2" t="s">
        <v>2573</v>
      </c>
      <c r="D26" s="2" t="s">
        <v>2571</v>
      </c>
      <c r="E26" s="23">
        <v>12.75</v>
      </c>
      <c r="F26" s="2">
        <f t="shared" si="0"/>
        <v>1</v>
      </c>
      <c r="G26" s="2"/>
    </row>
    <row r="27" spans="2:7" x14ac:dyDescent="0.25">
      <c r="B27" s="3">
        <v>45617</v>
      </c>
      <c r="C27" s="2" t="s">
        <v>2580</v>
      </c>
      <c r="D27" s="2"/>
      <c r="E27" s="23">
        <v>13.25</v>
      </c>
      <c r="F27" s="2">
        <f t="shared" si="0"/>
        <v>0.5</v>
      </c>
      <c r="G27" s="2"/>
    </row>
    <row r="28" spans="2:7" x14ac:dyDescent="0.25">
      <c r="B28" s="3">
        <v>45618</v>
      </c>
      <c r="C28" s="2" t="s">
        <v>2590</v>
      </c>
      <c r="D28" s="2"/>
      <c r="E28" s="23">
        <v>13.75</v>
      </c>
      <c r="F28" s="2">
        <f>E28-E27</f>
        <v>0.5</v>
      </c>
      <c r="G28" s="2"/>
    </row>
    <row r="29" spans="2:7" x14ac:dyDescent="0.25">
      <c r="B29" s="3">
        <v>45619</v>
      </c>
      <c r="C29" s="2" t="s">
        <v>2598</v>
      </c>
      <c r="D29" s="2"/>
      <c r="E29" s="23">
        <v>14.25</v>
      </c>
      <c r="F29" s="2">
        <f t="shared" si="0"/>
        <v>0.5</v>
      </c>
      <c r="G29" s="2"/>
    </row>
    <row r="30" spans="2:7" x14ac:dyDescent="0.25">
      <c r="B30" s="3">
        <v>45620</v>
      </c>
      <c r="C30" s="2" t="s">
        <v>2599</v>
      </c>
      <c r="D30" s="2"/>
      <c r="E30" s="23">
        <v>14.75</v>
      </c>
      <c r="F30" s="2">
        <f t="shared" si="0"/>
        <v>0.5</v>
      </c>
      <c r="G30" s="2"/>
    </row>
    <row r="31" spans="2:7" x14ac:dyDescent="0.25">
      <c r="B31" s="3">
        <v>45621</v>
      </c>
      <c r="C31" s="2" t="s">
        <v>2611</v>
      </c>
      <c r="D31" s="2"/>
      <c r="E31" s="23">
        <v>15.25</v>
      </c>
      <c r="F31" s="2">
        <f>E31-E30</f>
        <v>0.5</v>
      </c>
      <c r="G31" s="2"/>
    </row>
    <row r="32" spans="2:7" x14ac:dyDescent="0.25">
      <c r="B32" s="3">
        <v>45622</v>
      </c>
      <c r="C32" s="2" t="s">
        <v>2623</v>
      </c>
      <c r="D32" s="2"/>
      <c r="E32" s="23">
        <v>15.75</v>
      </c>
      <c r="F32" s="2">
        <f t="shared" ref="F32:F43" si="1">E32-E31</f>
        <v>0.5</v>
      </c>
      <c r="G32" s="2"/>
    </row>
    <row r="33" spans="2:7" x14ac:dyDescent="0.25">
      <c r="B33" s="3">
        <v>45623</v>
      </c>
      <c r="C33" s="2" t="s">
        <v>2630</v>
      </c>
      <c r="D33" s="2"/>
      <c r="E33" s="23">
        <v>16.75</v>
      </c>
      <c r="F33" s="2">
        <f t="shared" si="1"/>
        <v>1</v>
      </c>
      <c r="G33" s="2"/>
    </row>
    <row r="34" spans="2:7" x14ac:dyDescent="0.25">
      <c r="B34" s="3">
        <v>45624</v>
      </c>
      <c r="C34" s="2" t="s">
        <v>2623</v>
      </c>
      <c r="D34" s="2"/>
      <c r="E34" s="23">
        <v>15.75</v>
      </c>
      <c r="F34" s="2">
        <f t="shared" si="1"/>
        <v>-1</v>
      </c>
      <c r="G34" s="2"/>
    </row>
    <row r="35" spans="2:7" x14ac:dyDescent="0.25">
      <c r="B35" s="3">
        <v>45625</v>
      </c>
      <c r="C35" s="2" t="s">
        <v>2643</v>
      </c>
      <c r="D35" s="2"/>
      <c r="E35" s="23">
        <v>16.25</v>
      </c>
      <c r="F35" s="2">
        <f t="shared" si="1"/>
        <v>0.5</v>
      </c>
      <c r="G35" s="2"/>
    </row>
    <row r="36" spans="2:7" x14ac:dyDescent="0.25">
      <c r="B36" s="3">
        <v>45626</v>
      </c>
      <c r="C36" s="2" t="s">
        <v>2662</v>
      </c>
      <c r="D36" s="2"/>
      <c r="E36" s="23">
        <v>16.75</v>
      </c>
      <c r="F36" s="2">
        <f t="shared" si="1"/>
        <v>0.5</v>
      </c>
      <c r="G36" s="2"/>
    </row>
    <row r="37" spans="2:7" x14ac:dyDescent="0.25">
      <c r="B37" s="3">
        <v>45627</v>
      </c>
      <c r="C37" s="2" t="s">
        <v>2661</v>
      </c>
      <c r="D37" s="2"/>
      <c r="E37" s="23">
        <v>17.149999999999999</v>
      </c>
      <c r="F37" s="2">
        <f t="shared" si="1"/>
        <v>0.39999999999999858</v>
      </c>
      <c r="G37" s="2"/>
    </row>
    <row r="38" spans="2:7" x14ac:dyDescent="0.25">
      <c r="B38" s="3">
        <v>45628</v>
      </c>
      <c r="C38" s="2" t="s">
        <v>2660</v>
      </c>
      <c r="D38" s="2"/>
      <c r="E38" s="23">
        <v>17.649999999999999</v>
      </c>
      <c r="F38" s="2">
        <f t="shared" si="1"/>
        <v>0.5</v>
      </c>
      <c r="G38" s="2"/>
    </row>
    <row r="39" spans="2:7" x14ac:dyDescent="0.25">
      <c r="B39" s="3">
        <v>45629</v>
      </c>
      <c r="C39" s="2" t="s">
        <v>2679</v>
      </c>
      <c r="D39" s="2"/>
      <c r="E39" s="23">
        <v>17.649999999999999</v>
      </c>
      <c r="F39" s="2">
        <f t="shared" si="1"/>
        <v>0</v>
      </c>
      <c r="G39" s="2"/>
    </row>
    <row r="40" spans="2:7" x14ac:dyDescent="0.25">
      <c r="B40" s="3">
        <v>45630</v>
      </c>
      <c r="C40" s="2" t="s">
        <v>2688</v>
      </c>
      <c r="D40" s="2"/>
      <c r="E40" s="23">
        <v>18.649999999999999</v>
      </c>
      <c r="F40" s="2">
        <f t="shared" si="1"/>
        <v>1</v>
      </c>
      <c r="G40" s="2"/>
    </row>
    <row r="41" spans="2:7" x14ac:dyDescent="0.25">
      <c r="B41" s="3">
        <v>45631</v>
      </c>
      <c r="C41" s="2" t="s">
        <v>2698</v>
      </c>
      <c r="D41" s="2"/>
      <c r="E41" s="23">
        <v>19.649999999999999</v>
      </c>
      <c r="F41" s="2">
        <f t="shared" si="1"/>
        <v>1</v>
      </c>
      <c r="G41" s="2"/>
    </row>
    <row r="42" spans="2:7" x14ac:dyDescent="0.25">
      <c r="B42" s="3">
        <v>45632</v>
      </c>
      <c r="C42" s="2" t="s">
        <v>2709</v>
      </c>
      <c r="D42" s="2"/>
      <c r="E42" s="23">
        <v>17.649999999999999</v>
      </c>
      <c r="F42" s="2">
        <f t="shared" si="1"/>
        <v>-2</v>
      </c>
      <c r="G42" s="2"/>
    </row>
    <row r="43" spans="2:7" x14ac:dyDescent="0.25">
      <c r="B43" s="3">
        <v>45633</v>
      </c>
      <c r="C43" s="2" t="s">
        <v>2710</v>
      </c>
      <c r="D43" s="2"/>
      <c r="E43" s="23">
        <v>19.149999999999999</v>
      </c>
      <c r="F43" s="2">
        <f t="shared" si="1"/>
        <v>1.5</v>
      </c>
      <c r="G43" s="2"/>
    </row>
    <row r="44" spans="2:7" x14ac:dyDescent="0.25">
      <c r="B44" s="3">
        <v>45634</v>
      </c>
      <c r="C44" s="2" t="s">
        <v>2717</v>
      </c>
      <c r="D44" s="2"/>
      <c r="E44" s="23">
        <v>19.75</v>
      </c>
      <c r="F44" s="2">
        <f>E44-E43</f>
        <v>0.60000000000000142</v>
      </c>
      <c r="G44" s="2"/>
    </row>
    <row r="45" spans="2:7" x14ac:dyDescent="0.25">
      <c r="B45" s="3">
        <v>45635</v>
      </c>
      <c r="C45" s="2" t="s">
        <v>2747</v>
      </c>
      <c r="D45" s="2" t="s">
        <v>2749</v>
      </c>
      <c r="E45" s="23">
        <v>20.25</v>
      </c>
      <c r="F45" s="2">
        <f t="shared" ref="F45:F72" si="2">E45-E44</f>
        <v>0.5</v>
      </c>
      <c r="G45" s="2"/>
    </row>
    <row r="46" spans="2:7" x14ac:dyDescent="0.25">
      <c r="B46" s="3">
        <v>45636</v>
      </c>
      <c r="C46" s="2" t="s">
        <v>2756</v>
      </c>
      <c r="D46" s="2" t="s">
        <v>2758</v>
      </c>
      <c r="E46" s="23">
        <v>21</v>
      </c>
      <c r="F46" s="2">
        <f t="shared" si="2"/>
        <v>0.75</v>
      </c>
      <c r="G46" s="2"/>
    </row>
    <row r="47" spans="2:7" x14ac:dyDescent="0.25">
      <c r="B47" s="3">
        <v>45637</v>
      </c>
      <c r="C47" s="2" t="s">
        <v>2761</v>
      </c>
      <c r="D47" s="2"/>
      <c r="E47" s="23">
        <v>21.5</v>
      </c>
      <c r="F47" s="2">
        <f t="shared" si="2"/>
        <v>0.5</v>
      </c>
      <c r="G47" s="2"/>
    </row>
    <row r="48" spans="2:7" x14ac:dyDescent="0.25">
      <c r="B48" s="3">
        <v>45638</v>
      </c>
      <c r="C48" s="2" t="s">
        <v>2766</v>
      </c>
      <c r="D48" s="2"/>
      <c r="E48" s="23">
        <v>22</v>
      </c>
      <c r="F48" s="2">
        <f t="shared" si="2"/>
        <v>0.5</v>
      </c>
      <c r="G48" s="2"/>
    </row>
    <row r="49" spans="2:7" x14ac:dyDescent="0.25">
      <c r="B49" s="3">
        <v>45639</v>
      </c>
      <c r="C49" s="2" t="s">
        <v>2771</v>
      </c>
      <c r="D49" s="2"/>
      <c r="E49" s="23">
        <v>22.4</v>
      </c>
      <c r="F49" s="2">
        <f t="shared" si="2"/>
        <v>0.39999999999999858</v>
      </c>
      <c r="G49" s="2"/>
    </row>
    <row r="50" spans="2:7" x14ac:dyDescent="0.25">
      <c r="B50" s="3">
        <v>45640</v>
      </c>
      <c r="C50" s="2" t="s">
        <v>2788</v>
      </c>
      <c r="D50" s="2"/>
      <c r="E50" s="23">
        <v>22.9</v>
      </c>
      <c r="F50" s="2">
        <f t="shared" si="2"/>
        <v>0.5</v>
      </c>
      <c r="G50" s="2"/>
    </row>
    <row r="51" spans="2:7" x14ac:dyDescent="0.25">
      <c r="B51" s="3">
        <v>45641</v>
      </c>
      <c r="C51" s="2" t="s">
        <v>2787</v>
      </c>
      <c r="D51" s="2"/>
      <c r="E51" s="23">
        <v>23.4</v>
      </c>
      <c r="F51" s="2">
        <f t="shared" si="2"/>
        <v>0.5</v>
      </c>
      <c r="G51" s="2"/>
    </row>
    <row r="52" spans="2:7" x14ac:dyDescent="0.25">
      <c r="B52" s="3">
        <v>45642</v>
      </c>
      <c r="C52" s="2" t="s">
        <v>2796</v>
      </c>
      <c r="D52" s="2"/>
      <c r="E52" s="23">
        <v>24.4</v>
      </c>
      <c r="F52" s="2">
        <f t="shared" si="2"/>
        <v>1</v>
      </c>
      <c r="G52" s="2"/>
    </row>
    <row r="53" spans="2:7" x14ac:dyDescent="0.25">
      <c r="B53" s="3">
        <v>45643</v>
      </c>
      <c r="C53" s="2" t="s">
        <v>2807</v>
      </c>
      <c r="D53" s="2"/>
      <c r="E53" s="23">
        <v>25.15</v>
      </c>
      <c r="F53" s="2">
        <f t="shared" si="2"/>
        <v>0.75</v>
      </c>
      <c r="G53" s="2"/>
    </row>
    <row r="54" spans="2:7" x14ac:dyDescent="0.25">
      <c r="B54" s="3">
        <v>45644</v>
      </c>
      <c r="C54" s="2" t="s">
        <v>2813</v>
      </c>
      <c r="D54" s="2"/>
      <c r="E54" s="23">
        <v>25.65</v>
      </c>
      <c r="F54" s="2">
        <f t="shared" si="2"/>
        <v>0.5</v>
      </c>
      <c r="G54" s="2"/>
    </row>
    <row r="55" spans="2:7" x14ac:dyDescent="0.25">
      <c r="B55" s="3">
        <v>45645</v>
      </c>
      <c r="C55" s="2" t="s">
        <v>2823</v>
      </c>
      <c r="D55" s="2"/>
      <c r="E55" s="23">
        <v>26.06</v>
      </c>
      <c r="F55" s="2">
        <f t="shared" si="2"/>
        <v>0.41000000000000014</v>
      </c>
      <c r="G55" s="2"/>
    </row>
    <row r="56" spans="2:7" x14ac:dyDescent="0.25">
      <c r="B56" s="3">
        <v>45646</v>
      </c>
      <c r="C56" s="2" t="s">
        <v>2832</v>
      </c>
      <c r="D56" s="2"/>
      <c r="E56" s="23">
        <v>26.65</v>
      </c>
      <c r="F56" s="2">
        <f t="shared" si="2"/>
        <v>0.58999999999999986</v>
      </c>
      <c r="G56" s="2"/>
    </row>
    <row r="57" spans="2:7" x14ac:dyDescent="0.25">
      <c r="B57" s="3">
        <v>45647</v>
      </c>
      <c r="C57" s="2" t="s">
        <v>2844</v>
      </c>
      <c r="D57" s="2"/>
      <c r="E57" s="23">
        <v>27.65</v>
      </c>
      <c r="F57" s="2">
        <f t="shared" si="2"/>
        <v>1</v>
      </c>
      <c r="G57" s="2"/>
    </row>
    <row r="58" spans="2:7" x14ac:dyDescent="0.25">
      <c r="B58" s="3">
        <v>45648</v>
      </c>
      <c r="C58" s="2" t="s">
        <v>2873</v>
      </c>
      <c r="D58" s="2" t="s">
        <v>2874</v>
      </c>
      <c r="E58" s="23">
        <v>27.85</v>
      </c>
      <c r="F58" s="2">
        <f t="shared" si="2"/>
        <v>0.20000000000000284</v>
      </c>
      <c r="G58" s="2"/>
    </row>
    <row r="59" spans="2:7" x14ac:dyDescent="0.25">
      <c r="B59" s="3">
        <v>45649</v>
      </c>
      <c r="C59" s="2" t="s">
        <v>2897</v>
      </c>
      <c r="D59" s="2"/>
      <c r="E59" s="23">
        <v>28.25</v>
      </c>
      <c r="F59" s="2">
        <f t="shared" si="2"/>
        <v>0.39999999999999858</v>
      </c>
      <c r="G59" s="2"/>
    </row>
    <row r="60" spans="2:7" x14ac:dyDescent="0.25">
      <c r="B60" s="3">
        <v>45650</v>
      </c>
      <c r="C60" s="2" t="s">
        <v>2896</v>
      </c>
      <c r="D60" s="2"/>
      <c r="E60" s="23">
        <v>29.45</v>
      </c>
      <c r="F60" s="2">
        <f t="shared" si="2"/>
        <v>1.1999999999999993</v>
      </c>
      <c r="G60" s="2"/>
    </row>
    <row r="61" spans="2:7" x14ac:dyDescent="0.25">
      <c r="B61" s="3">
        <v>45651</v>
      </c>
      <c r="C61" s="2" t="s">
        <v>2905</v>
      </c>
      <c r="D61" s="2"/>
      <c r="E61" s="23">
        <v>29.95</v>
      </c>
      <c r="F61" s="2">
        <f t="shared" si="2"/>
        <v>0.5</v>
      </c>
      <c r="G61" s="2"/>
    </row>
    <row r="62" spans="2:7" x14ac:dyDescent="0.25">
      <c r="B62" s="3">
        <v>45652</v>
      </c>
      <c r="C62" s="2" t="s">
        <v>2913</v>
      </c>
      <c r="D62" s="2"/>
      <c r="E62" s="23">
        <v>30.95</v>
      </c>
      <c r="F62" s="2">
        <f t="shared" si="2"/>
        <v>1</v>
      </c>
      <c r="G62" s="2"/>
    </row>
    <row r="63" spans="2:7" x14ac:dyDescent="0.25">
      <c r="B63" s="3">
        <v>45653</v>
      </c>
      <c r="C63" s="2" t="s">
        <v>2924</v>
      </c>
      <c r="D63" s="2" t="s">
        <v>2931</v>
      </c>
      <c r="E63" s="23">
        <v>32.450000000000003</v>
      </c>
      <c r="F63" s="2">
        <f t="shared" si="2"/>
        <v>1.5000000000000036</v>
      </c>
      <c r="G63" s="2"/>
    </row>
    <row r="64" spans="2:7" x14ac:dyDescent="0.25">
      <c r="B64" s="3">
        <v>45654</v>
      </c>
      <c r="C64" s="2" t="s">
        <v>2939</v>
      </c>
      <c r="D64" s="2"/>
      <c r="E64" s="23">
        <v>32.950000000000003</v>
      </c>
      <c r="F64" s="2">
        <f t="shared" si="2"/>
        <v>0.5</v>
      </c>
      <c r="G64" s="2"/>
    </row>
    <row r="65" spans="2:7" x14ac:dyDescent="0.25">
      <c r="B65" s="3">
        <v>45655</v>
      </c>
      <c r="C65" s="2" t="s">
        <v>2940</v>
      </c>
      <c r="D65" s="2"/>
      <c r="E65" s="23">
        <v>33.950000000000003</v>
      </c>
      <c r="F65" s="2">
        <f t="shared" si="2"/>
        <v>1</v>
      </c>
      <c r="G65" s="2"/>
    </row>
    <row r="66" spans="2:7" x14ac:dyDescent="0.25">
      <c r="B66" s="3">
        <v>45656</v>
      </c>
      <c r="C66" s="2" t="s">
        <v>2964</v>
      </c>
      <c r="D66" s="2" t="s">
        <v>2965</v>
      </c>
      <c r="E66" s="23">
        <v>35.950000000000003</v>
      </c>
      <c r="F66" s="2">
        <f t="shared" si="2"/>
        <v>2</v>
      </c>
      <c r="G66" s="2"/>
    </row>
    <row r="67" spans="2:7" x14ac:dyDescent="0.25">
      <c r="B67" s="3">
        <v>45657</v>
      </c>
      <c r="C67" s="2" t="s">
        <v>2974</v>
      </c>
      <c r="D67" s="2"/>
      <c r="E67" s="23">
        <v>37.950000000000003</v>
      </c>
      <c r="F67" s="2">
        <f t="shared" si="2"/>
        <v>2</v>
      </c>
      <c r="G67" s="2"/>
    </row>
    <row r="68" spans="2:7" x14ac:dyDescent="0.25">
      <c r="B68" s="4">
        <v>45658</v>
      </c>
      <c r="C68" s="2" t="s">
        <v>2973</v>
      </c>
      <c r="D68" s="2"/>
      <c r="E68" s="23">
        <v>39.950000000000003</v>
      </c>
      <c r="F68" s="2">
        <f t="shared" si="2"/>
        <v>2</v>
      </c>
      <c r="G68" s="2"/>
    </row>
    <row r="69" spans="2:7" x14ac:dyDescent="0.25">
      <c r="B69" s="4">
        <v>45659</v>
      </c>
      <c r="C69" s="2" t="s">
        <v>2983</v>
      </c>
      <c r="D69" s="2" t="s">
        <v>2984</v>
      </c>
      <c r="E69" s="23">
        <v>40.450000000000003</v>
      </c>
      <c r="F69" s="2">
        <f t="shared" si="2"/>
        <v>0.5</v>
      </c>
      <c r="G69" s="2"/>
    </row>
    <row r="70" spans="2:7" x14ac:dyDescent="0.25">
      <c r="B70" s="4">
        <v>45660</v>
      </c>
      <c r="C70" s="2" t="s">
        <v>3000</v>
      </c>
      <c r="D70" s="2"/>
      <c r="E70" s="23">
        <v>42.45</v>
      </c>
      <c r="F70" s="2">
        <f t="shared" si="2"/>
        <v>2</v>
      </c>
      <c r="G70" s="2"/>
    </row>
    <row r="71" spans="2:7" x14ac:dyDescent="0.25">
      <c r="B71" s="4">
        <v>45661</v>
      </c>
      <c r="C71" s="2" t="s">
        <v>3004</v>
      </c>
      <c r="D71" s="2" t="s">
        <v>3007</v>
      </c>
      <c r="E71" s="23">
        <v>44.45</v>
      </c>
      <c r="F71" s="2">
        <f t="shared" si="2"/>
        <v>2</v>
      </c>
      <c r="G71" s="2"/>
    </row>
    <row r="72" spans="2:7" x14ac:dyDescent="0.25">
      <c r="B72" s="4">
        <v>45662</v>
      </c>
      <c r="C72" s="2" t="s">
        <v>3005</v>
      </c>
      <c r="D72" s="2" t="s">
        <v>3006</v>
      </c>
      <c r="E72" s="23">
        <v>46.45</v>
      </c>
      <c r="F72" s="2">
        <f t="shared" si="2"/>
        <v>2</v>
      </c>
      <c r="G72" s="2"/>
    </row>
    <row r="73" spans="2:7" x14ac:dyDescent="0.25">
      <c r="B73" s="4">
        <v>45663</v>
      </c>
      <c r="C73" s="2" t="s">
        <v>3054</v>
      </c>
      <c r="D73" s="2" t="s">
        <v>3017</v>
      </c>
      <c r="E73" s="23">
        <v>47.45</v>
      </c>
      <c r="F73" s="2">
        <f>E73-E72</f>
        <v>1</v>
      </c>
      <c r="G73" s="2"/>
    </row>
    <row r="74" spans="2:7" x14ac:dyDescent="0.25">
      <c r="B74" s="4">
        <v>45664</v>
      </c>
      <c r="C74" s="2" t="s">
        <v>3062</v>
      </c>
      <c r="D74" s="2" t="s">
        <v>3069</v>
      </c>
      <c r="E74" s="23">
        <v>48.45</v>
      </c>
      <c r="F74" s="2">
        <f t="shared" ref="F74:F125" si="3">E74-E73</f>
        <v>1</v>
      </c>
      <c r="G74" s="2"/>
    </row>
    <row r="75" spans="2:7" x14ac:dyDescent="0.25">
      <c r="B75" s="4">
        <v>45665</v>
      </c>
      <c r="C75" s="2" t="s">
        <v>3072</v>
      </c>
      <c r="D75" s="2"/>
      <c r="E75" s="23">
        <v>48.45</v>
      </c>
      <c r="F75" s="2">
        <f t="shared" si="3"/>
        <v>0</v>
      </c>
      <c r="G75" s="2"/>
    </row>
    <row r="76" spans="2:7" x14ac:dyDescent="0.25">
      <c r="B76" s="4">
        <v>45666</v>
      </c>
      <c r="C76" s="2" t="s">
        <v>3082</v>
      </c>
      <c r="D76" s="2"/>
      <c r="E76" s="23">
        <v>49.45</v>
      </c>
      <c r="F76" s="2">
        <f t="shared" si="3"/>
        <v>1</v>
      </c>
      <c r="G76" s="2"/>
    </row>
    <row r="77" spans="2:7" x14ac:dyDescent="0.25">
      <c r="B77" s="4">
        <v>45667</v>
      </c>
      <c r="C77" s="2" t="s">
        <v>3099</v>
      </c>
      <c r="D77" s="2" t="s">
        <v>3089</v>
      </c>
      <c r="E77" s="23">
        <v>51.95</v>
      </c>
      <c r="F77" s="2">
        <f t="shared" si="3"/>
        <v>2.5</v>
      </c>
      <c r="G77" s="2"/>
    </row>
    <row r="78" spans="2:7" x14ac:dyDescent="0.25">
      <c r="B78" s="4">
        <v>45668</v>
      </c>
      <c r="C78" s="2" t="s">
        <v>3099</v>
      </c>
      <c r="D78" s="2" t="s">
        <v>3103</v>
      </c>
      <c r="E78" s="23">
        <v>51.95</v>
      </c>
      <c r="F78" s="2">
        <f t="shared" si="3"/>
        <v>0</v>
      </c>
      <c r="G78" s="2"/>
    </row>
    <row r="79" spans="2:7" x14ac:dyDescent="0.25">
      <c r="B79" s="4">
        <v>45669</v>
      </c>
      <c r="C79" s="2" t="s">
        <v>3099</v>
      </c>
      <c r="D79" s="2" t="s">
        <v>3102</v>
      </c>
      <c r="E79" s="23">
        <v>51.95</v>
      </c>
      <c r="F79" s="2">
        <f t="shared" si="3"/>
        <v>0</v>
      </c>
      <c r="G79" s="2"/>
    </row>
    <row r="80" spans="2:7" ht="30" x14ac:dyDescent="0.25">
      <c r="B80" s="5">
        <v>45670</v>
      </c>
      <c r="C80" s="35" t="s">
        <v>3124</v>
      </c>
      <c r="D80" s="30" t="s">
        <v>3104</v>
      </c>
      <c r="E80" s="25">
        <v>42</v>
      </c>
      <c r="F80" s="35">
        <f t="shared" si="3"/>
        <v>-9.9500000000000028</v>
      </c>
      <c r="G80" s="2"/>
    </row>
    <row r="81" spans="2:7" x14ac:dyDescent="0.25">
      <c r="B81" s="4">
        <v>45671</v>
      </c>
      <c r="C81" s="35" t="s">
        <v>3148</v>
      </c>
      <c r="D81" s="2"/>
      <c r="E81" s="23">
        <v>48</v>
      </c>
      <c r="F81" s="2">
        <f t="shared" si="3"/>
        <v>6</v>
      </c>
      <c r="G81" s="2"/>
    </row>
    <row r="82" spans="2:7" x14ac:dyDescent="0.25">
      <c r="B82" s="4">
        <v>45672</v>
      </c>
      <c r="C82" s="35" t="s">
        <v>3147</v>
      </c>
      <c r="D82" s="2"/>
      <c r="E82" s="23">
        <v>49</v>
      </c>
      <c r="F82" s="2">
        <f t="shared" si="3"/>
        <v>1</v>
      </c>
      <c r="G82" s="2"/>
    </row>
    <row r="83" spans="2:7" x14ac:dyDescent="0.25">
      <c r="B83" s="4">
        <v>45673</v>
      </c>
      <c r="C83" s="35" t="s">
        <v>3151</v>
      </c>
      <c r="D83" s="2"/>
      <c r="E83" s="23">
        <v>50</v>
      </c>
      <c r="F83" s="2">
        <f t="shared" si="3"/>
        <v>1</v>
      </c>
      <c r="G83" s="2"/>
    </row>
    <row r="84" spans="2:7" x14ac:dyDescent="0.25">
      <c r="B84" s="4">
        <v>45674</v>
      </c>
      <c r="C84" s="35" t="s">
        <v>3163</v>
      </c>
      <c r="D84" s="2"/>
      <c r="E84" s="23">
        <v>51</v>
      </c>
      <c r="F84" s="2">
        <f t="shared" si="3"/>
        <v>1</v>
      </c>
      <c r="G84" s="2"/>
    </row>
    <row r="85" spans="2:7" x14ac:dyDescent="0.25">
      <c r="B85" s="4">
        <v>45675</v>
      </c>
      <c r="C85" s="35" t="s">
        <v>3170</v>
      </c>
      <c r="D85" s="2"/>
      <c r="E85" s="23">
        <v>51.5</v>
      </c>
      <c r="F85" s="2">
        <f t="shared" si="3"/>
        <v>0.5</v>
      </c>
      <c r="G85" s="2"/>
    </row>
    <row r="86" spans="2:7" x14ac:dyDescent="0.25">
      <c r="B86" s="4">
        <v>45676</v>
      </c>
      <c r="C86" s="2" t="s">
        <v>1178</v>
      </c>
      <c r="D86" s="2"/>
      <c r="E86" s="23">
        <v>51.5</v>
      </c>
      <c r="F86" s="2">
        <f t="shared" si="3"/>
        <v>0</v>
      </c>
      <c r="G86" s="2"/>
    </row>
    <row r="87" spans="2:7" x14ac:dyDescent="0.25">
      <c r="B87" s="4">
        <v>45677</v>
      </c>
      <c r="C87" s="2" t="s">
        <v>1166</v>
      </c>
      <c r="D87" s="2" t="s">
        <v>3171</v>
      </c>
      <c r="E87" s="23">
        <v>51.5</v>
      </c>
      <c r="F87" s="2">
        <f t="shared" si="3"/>
        <v>0</v>
      </c>
      <c r="G87" s="2"/>
    </row>
    <row r="88" spans="2:7" x14ac:dyDescent="0.25">
      <c r="B88" s="4">
        <v>45678</v>
      </c>
      <c r="C88" s="2" t="s">
        <v>1166</v>
      </c>
      <c r="D88" s="2"/>
      <c r="E88" s="23">
        <v>51.5</v>
      </c>
      <c r="F88" s="2">
        <f t="shared" si="3"/>
        <v>0</v>
      </c>
      <c r="G88" s="2"/>
    </row>
    <row r="89" spans="2:7" x14ac:dyDescent="0.25">
      <c r="B89" s="4">
        <v>45679</v>
      </c>
      <c r="C89" s="2" t="s">
        <v>3195</v>
      </c>
      <c r="D89" s="2"/>
      <c r="E89" s="23">
        <v>51.5</v>
      </c>
      <c r="F89" s="2">
        <f t="shared" si="3"/>
        <v>0</v>
      </c>
      <c r="G89" s="2"/>
    </row>
    <row r="90" spans="2:7" x14ac:dyDescent="0.25">
      <c r="B90" s="4">
        <v>45680</v>
      </c>
      <c r="C90" s="2" t="s">
        <v>3207</v>
      </c>
      <c r="D90" s="2"/>
      <c r="E90" s="23">
        <v>51.5</v>
      </c>
      <c r="F90" s="2">
        <f t="shared" si="3"/>
        <v>0</v>
      </c>
      <c r="G90" s="2"/>
    </row>
    <row r="91" spans="2:7" x14ac:dyDescent="0.25">
      <c r="B91" s="4">
        <v>45681</v>
      </c>
      <c r="C91" s="2" t="s">
        <v>3209</v>
      </c>
      <c r="D91" s="2" t="s">
        <v>3211</v>
      </c>
      <c r="E91" s="23">
        <v>53</v>
      </c>
      <c r="F91" s="2">
        <f t="shared" si="3"/>
        <v>1.5</v>
      </c>
      <c r="G91" s="2"/>
    </row>
    <row r="92" spans="2:7" x14ac:dyDescent="0.25">
      <c r="B92" s="4">
        <v>45682</v>
      </c>
      <c r="C92" s="2" t="s">
        <v>3210</v>
      </c>
      <c r="D92" s="2" t="s">
        <v>3211</v>
      </c>
      <c r="E92" s="23">
        <v>54</v>
      </c>
      <c r="F92" s="2">
        <f t="shared" si="3"/>
        <v>1</v>
      </c>
      <c r="G92" s="2"/>
    </row>
    <row r="93" spans="2:7" x14ac:dyDescent="0.25">
      <c r="B93" s="4">
        <v>45683</v>
      </c>
      <c r="C93" s="2" t="s">
        <v>3212</v>
      </c>
      <c r="D93" s="2" t="s">
        <v>3211</v>
      </c>
      <c r="E93" s="23">
        <v>56</v>
      </c>
      <c r="F93" s="2">
        <f t="shared" si="3"/>
        <v>2</v>
      </c>
      <c r="G93" s="2"/>
    </row>
    <row r="94" spans="2:7" x14ac:dyDescent="0.25">
      <c r="B94" s="4">
        <v>45684</v>
      </c>
      <c r="C94" s="2" t="s">
        <v>3213</v>
      </c>
      <c r="D94" s="2" t="s">
        <v>3214</v>
      </c>
      <c r="E94" s="23">
        <v>58</v>
      </c>
      <c r="F94" s="2">
        <f t="shared" si="3"/>
        <v>2</v>
      </c>
      <c r="G94" s="2"/>
    </row>
    <row r="95" spans="2:7" x14ac:dyDescent="0.25">
      <c r="B95" s="4">
        <v>45685</v>
      </c>
      <c r="C95" s="2" t="s">
        <v>3238</v>
      </c>
      <c r="D95" s="2" t="s">
        <v>3239</v>
      </c>
      <c r="E95" s="23">
        <v>58</v>
      </c>
      <c r="F95" s="2">
        <f t="shared" si="3"/>
        <v>0</v>
      </c>
      <c r="G95" s="2"/>
    </row>
    <row r="96" spans="2:7" x14ac:dyDescent="0.25">
      <c r="B96" s="4">
        <v>45686</v>
      </c>
      <c r="C96" s="2" t="s">
        <v>3251</v>
      </c>
      <c r="D96" s="2"/>
      <c r="E96" s="23">
        <v>60</v>
      </c>
      <c r="F96" s="2">
        <f t="shared" si="3"/>
        <v>2</v>
      </c>
      <c r="G96" s="2"/>
    </row>
    <row r="97" spans="2:7" x14ac:dyDescent="0.25">
      <c r="B97" s="4">
        <v>45687</v>
      </c>
      <c r="C97" s="2" t="s">
        <v>3257</v>
      </c>
      <c r="D97" s="2"/>
      <c r="E97" s="23">
        <v>61</v>
      </c>
      <c r="F97" s="2">
        <f t="shared" si="3"/>
        <v>1</v>
      </c>
      <c r="G97" s="2"/>
    </row>
    <row r="98" spans="2:7" x14ac:dyDescent="0.25">
      <c r="B98" s="4">
        <v>45688</v>
      </c>
      <c r="C98" s="2" t="s">
        <v>1166</v>
      </c>
      <c r="D98" s="2"/>
      <c r="E98" s="23">
        <v>61</v>
      </c>
      <c r="F98" s="2">
        <f t="shared" si="3"/>
        <v>0</v>
      </c>
      <c r="G98" s="2"/>
    </row>
    <row r="99" spans="2:7" x14ac:dyDescent="0.25">
      <c r="B99" s="4">
        <v>45689</v>
      </c>
      <c r="C99" s="2" t="s">
        <v>3274</v>
      </c>
      <c r="D99" s="2"/>
      <c r="E99" s="23">
        <v>61</v>
      </c>
      <c r="F99" s="2">
        <f t="shared" si="3"/>
        <v>0</v>
      </c>
      <c r="G99" s="2"/>
    </row>
    <row r="100" spans="2:7" x14ac:dyDescent="0.25">
      <c r="B100" s="4">
        <v>45690</v>
      </c>
      <c r="C100" s="2" t="s">
        <v>3276</v>
      </c>
      <c r="D100" s="2" t="s">
        <v>3275</v>
      </c>
      <c r="E100" s="23">
        <v>62</v>
      </c>
      <c r="F100" s="2">
        <f t="shared" si="3"/>
        <v>1</v>
      </c>
      <c r="G100" s="2"/>
    </row>
    <row r="101" spans="2:7" x14ac:dyDescent="0.25">
      <c r="B101" s="4">
        <v>45691</v>
      </c>
      <c r="C101" s="2" t="s">
        <v>3285</v>
      </c>
      <c r="D101" s="2"/>
      <c r="E101" s="23">
        <v>63</v>
      </c>
      <c r="F101" s="2">
        <f t="shared" si="3"/>
        <v>1</v>
      </c>
      <c r="G101" s="2"/>
    </row>
    <row r="102" spans="2:7" x14ac:dyDescent="0.25">
      <c r="B102" s="4">
        <v>45692</v>
      </c>
      <c r="C102" s="2" t="s">
        <v>3291</v>
      </c>
      <c r="D102" s="2"/>
      <c r="E102" s="23">
        <v>64.5</v>
      </c>
      <c r="F102" s="2">
        <f t="shared" si="3"/>
        <v>1.5</v>
      </c>
      <c r="G102" s="2"/>
    </row>
    <row r="103" spans="2:7" x14ac:dyDescent="0.25">
      <c r="B103" s="4">
        <v>45693</v>
      </c>
      <c r="C103" s="2" t="s">
        <v>3296</v>
      </c>
      <c r="D103" s="2"/>
      <c r="E103" s="23">
        <v>65.5</v>
      </c>
      <c r="F103" s="2">
        <f t="shared" si="3"/>
        <v>1</v>
      </c>
      <c r="G103" s="2"/>
    </row>
    <row r="104" spans="2:7" x14ac:dyDescent="0.25">
      <c r="B104" s="4">
        <v>45694</v>
      </c>
      <c r="C104" s="2" t="s">
        <v>3306</v>
      </c>
      <c r="D104" s="2"/>
      <c r="E104" s="23">
        <v>66.5</v>
      </c>
      <c r="F104" s="2">
        <f t="shared" si="3"/>
        <v>1</v>
      </c>
      <c r="G104" s="2"/>
    </row>
    <row r="105" spans="2:7" x14ac:dyDescent="0.25">
      <c r="B105" s="4">
        <v>45695</v>
      </c>
      <c r="C105" s="2" t="s">
        <v>3319</v>
      </c>
      <c r="D105" s="2"/>
      <c r="E105" s="23">
        <v>67.5</v>
      </c>
      <c r="F105" s="2">
        <f t="shared" si="3"/>
        <v>1</v>
      </c>
      <c r="G105" s="2"/>
    </row>
    <row r="106" spans="2:7" x14ac:dyDescent="0.25">
      <c r="B106" s="4">
        <v>45696</v>
      </c>
      <c r="C106" s="2" t="s">
        <v>3320</v>
      </c>
      <c r="D106" s="2"/>
      <c r="E106" s="23">
        <v>68.5</v>
      </c>
      <c r="F106" s="2">
        <f t="shared" si="3"/>
        <v>1</v>
      </c>
      <c r="G106" s="2"/>
    </row>
    <row r="107" spans="2:7" x14ac:dyDescent="0.25">
      <c r="B107" s="4">
        <v>45697</v>
      </c>
      <c r="C107" s="2" t="s">
        <v>3322</v>
      </c>
      <c r="D107" s="2"/>
      <c r="E107" s="23">
        <v>69.25</v>
      </c>
      <c r="F107" s="2">
        <f t="shared" si="3"/>
        <v>0.75</v>
      </c>
      <c r="G107" s="2"/>
    </row>
    <row r="108" spans="2:7" x14ac:dyDescent="0.25">
      <c r="B108" s="4">
        <v>45698</v>
      </c>
      <c r="C108" s="2" t="s">
        <v>3326</v>
      </c>
      <c r="D108" s="2"/>
      <c r="E108" s="23">
        <f>51.5+3</f>
        <v>54.5</v>
      </c>
      <c r="F108" s="2">
        <f t="shared" si="3"/>
        <v>-14.75</v>
      </c>
      <c r="G108" s="2"/>
    </row>
    <row r="109" spans="2:7" x14ac:dyDescent="0.25">
      <c r="B109" s="4">
        <v>45699</v>
      </c>
      <c r="C109" s="2" t="s">
        <v>3334</v>
      </c>
      <c r="D109" s="2"/>
      <c r="E109" s="23">
        <v>58</v>
      </c>
      <c r="F109" s="2">
        <f t="shared" si="3"/>
        <v>3.5</v>
      </c>
      <c r="G109" s="2"/>
    </row>
    <row r="110" spans="2:7" x14ac:dyDescent="0.25">
      <c r="B110" s="4">
        <v>45700</v>
      </c>
      <c r="C110" s="2" t="s">
        <v>3335</v>
      </c>
      <c r="D110" s="2"/>
      <c r="E110" s="23">
        <v>62</v>
      </c>
      <c r="F110" s="2">
        <f t="shared" si="3"/>
        <v>4</v>
      </c>
      <c r="G110" s="2"/>
    </row>
    <row r="111" spans="2:7" x14ac:dyDescent="0.25">
      <c r="B111" s="4">
        <v>45701</v>
      </c>
      <c r="C111" s="2" t="s">
        <v>3342</v>
      </c>
      <c r="D111" s="2"/>
      <c r="E111" s="23">
        <v>64</v>
      </c>
      <c r="F111" s="2">
        <f t="shared" si="3"/>
        <v>2</v>
      </c>
      <c r="G111" s="2"/>
    </row>
    <row r="112" spans="2:7" x14ac:dyDescent="0.25">
      <c r="B112" s="4">
        <v>45702</v>
      </c>
      <c r="C112" s="2" t="s">
        <v>3346</v>
      </c>
      <c r="D112" s="2"/>
      <c r="E112" s="23">
        <v>66</v>
      </c>
      <c r="F112" s="2">
        <f t="shared" si="3"/>
        <v>2</v>
      </c>
      <c r="G112" s="2"/>
    </row>
    <row r="113" spans="2:7" x14ac:dyDescent="0.25">
      <c r="B113" s="4">
        <v>45703</v>
      </c>
      <c r="C113" s="2" t="s">
        <v>3352</v>
      </c>
      <c r="D113" s="2"/>
      <c r="E113" s="23">
        <v>68</v>
      </c>
      <c r="F113" s="2">
        <f t="shared" si="3"/>
        <v>2</v>
      </c>
      <c r="G113" s="2"/>
    </row>
    <row r="114" spans="2:7" x14ac:dyDescent="0.25">
      <c r="B114" s="4">
        <v>45704</v>
      </c>
      <c r="C114" s="2" t="s">
        <v>3351</v>
      </c>
      <c r="D114" s="2"/>
      <c r="E114" s="23">
        <v>68</v>
      </c>
      <c r="F114" s="2">
        <f t="shared" si="3"/>
        <v>0</v>
      </c>
      <c r="G114" s="2"/>
    </row>
    <row r="115" spans="2:7" x14ac:dyDescent="0.25">
      <c r="B115" s="4">
        <v>45705</v>
      </c>
      <c r="C115" s="2" t="s">
        <v>1166</v>
      </c>
      <c r="D115" s="2"/>
      <c r="E115" s="23">
        <v>68</v>
      </c>
      <c r="F115" s="2">
        <f t="shared" si="3"/>
        <v>0</v>
      </c>
      <c r="G115" s="2"/>
    </row>
    <row r="116" spans="2:7" x14ac:dyDescent="0.25">
      <c r="B116" s="4">
        <v>45706</v>
      </c>
      <c r="C116" s="2" t="s">
        <v>1166</v>
      </c>
      <c r="D116" s="2"/>
      <c r="E116" s="23">
        <v>68</v>
      </c>
      <c r="F116" s="2">
        <f t="shared" si="3"/>
        <v>0</v>
      </c>
      <c r="G116" s="2"/>
    </row>
    <row r="117" spans="2:7" x14ac:dyDescent="0.25">
      <c r="B117" s="4">
        <v>45707</v>
      </c>
      <c r="C117" s="2" t="s">
        <v>1166</v>
      </c>
      <c r="D117" s="2"/>
      <c r="E117" s="23">
        <v>68</v>
      </c>
      <c r="F117" s="2">
        <f t="shared" si="3"/>
        <v>0</v>
      </c>
      <c r="G117" s="2"/>
    </row>
    <row r="118" spans="2:7" x14ac:dyDescent="0.25">
      <c r="B118" s="4">
        <v>45708</v>
      </c>
      <c r="C118" s="2" t="s">
        <v>1166</v>
      </c>
      <c r="D118" s="2"/>
      <c r="E118" s="23">
        <v>68</v>
      </c>
      <c r="F118" s="2">
        <f t="shared" si="3"/>
        <v>0</v>
      </c>
      <c r="G118" s="2"/>
    </row>
    <row r="119" spans="2:7" x14ac:dyDescent="0.25">
      <c r="B119" s="4">
        <v>45709</v>
      </c>
      <c r="C119" s="2" t="s">
        <v>1299</v>
      </c>
      <c r="D119" s="2"/>
      <c r="E119" s="23">
        <v>68</v>
      </c>
      <c r="F119" s="2">
        <f t="shared" si="3"/>
        <v>0</v>
      </c>
      <c r="G119" s="2"/>
    </row>
    <row r="120" spans="2:7" x14ac:dyDescent="0.25">
      <c r="B120" s="4">
        <v>45710</v>
      </c>
      <c r="C120" s="2" t="s">
        <v>1166</v>
      </c>
      <c r="D120" s="2"/>
      <c r="E120" s="23">
        <v>68</v>
      </c>
      <c r="F120" s="2">
        <f t="shared" si="3"/>
        <v>0</v>
      </c>
      <c r="G120" s="2"/>
    </row>
    <row r="121" spans="2:7" x14ac:dyDescent="0.25">
      <c r="B121" s="4">
        <v>45711</v>
      </c>
      <c r="C121" s="2" t="s">
        <v>3381</v>
      </c>
      <c r="D121" s="2"/>
      <c r="E121" s="23">
        <v>68</v>
      </c>
      <c r="F121" s="2">
        <f t="shared" si="3"/>
        <v>0</v>
      </c>
      <c r="G121" s="2"/>
    </row>
    <row r="122" spans="2:7" x14ac:dyDescent="0.25">
      <c r="B122" s="4">
        <v>45712</v>
      </c>
      <c r="C122" s="2" t="s">
        <v>3389</v>
      </c>
      <c r="D122" s="2"/>
      <c r="E122" s="23">
        <v>68</v>
      </c>
      <c r="F122" s="2">
        <f t="shared" si="3"/>
        <v>0</v>
      </c>
      <c r="G122" s="2"/>
    </row>
    <row r="123" spans="2:7" x14ac:dyDescent="0.25">
      <c r="B123" s="4">
        <v>45713</v>
      </c>
      <c r="C123" s="2" t="s">
        <v>3391</v>
      </c>
      <c r="D123" s="2"/>
      <c r="E123" s="23">
        <v>68</v>
      </c>
      <c r="F123" s="2">
        <f t="shared" si="3"/>
        <v>0</v>
      </c>
      <c r="G123" s="2"/>
    </row>
    <row r="124" spans="2:7" x14ac:dyDescent="0.25">
      <c r="B124" s="4">
        <v>45714</v>
      </c>
      <c r="C124" s="2" t="s">
        <v>3396</v>
      </c>
      <c r="D124" s="2"/>
      <c r="E124" s="23">
        <v>68</v>
      </c>
      <c r="F124" s="2">
        <f t="shared" si="3"/>
        <v>0</v>
      </c>
      <c r="G124" s="2"/>
    </row>
    <row r="125" spans="2:7" x14ac:dyDescent="0.25">
      <c r="B125" s="4">
        <v>45715</v>
      </c>
      <c r="C125" s="2" t="s">
        <v>3404</v>
      </c>
      <c r="D125" s="2"/>
      <c r="E125" s="23">
        <v>68</v>
      </c>
      <c r="F125" s="2">
        <f t="shared" si="3"/>
        <v>0</v>
      </c>
      <c r="G125" s="2"/>
    </row>
    <row r="126" spans="2:7" x14ac:dyDescent="0.25">
      <c r="B126" s="4">
        <v>45716</v>
      </c>
      <c r="C126" s="2" t="s">
        <v>3405</v>
      </c>
      <c r="D126" s="2"/>
      <c r="E126" s="2"/>
      <c r="F126" s="2"/>
      <c r="G126" s="2"/>
    </row>
    <row r="127" spans="2:7" x14ac:dyDescent="0.25">
      <c r="B127" s="4">
        <v>45717</v>
      </c>
      <c r="C127" s="2" t="s">
        <v>480</v>
      </c>
      <c r="D127" s="2"/>
      <c r="E127" s="2"/>
      <c r="F127" s="2"/>
      <c r="G127" s="2"/>
    </row>
    <row r="128" spans="2:7" x14ac:dyDescent="0.25">
      <c r="B128" s="4">
        <v>45718</v>
      </c>
      <c r="C128" s="2" t="s">
        <v>480</v>
      </c>
      <c r="D128" s="2"/>
      <c r="E128" s="2"/>
      <c r="F128" s="2"/>
      <c r="G128" s="2"/>
    </row>
    <row r="129" spans="2:7" x14ac:dyDescent="0.25">
      <c r="B129" s="4">
        <v>45719</v>
      </c>
      <c r="C129" s="2" t="s">
        <v>1796</v>
      </c>
      <c r="D129" s="2"/>
      <c r="E129" s="2"/>
      <c r="F129" s="2"/>
      <c r="G129" s="2"/>
    </row>
    <row r="130" spans="2:7" x14ac:dyDescent="0.25">
      <c r="B130" s="2"/>
      <c r="C130" s="2"/>
      <c r="D130" s="2"/>
      <c r="E130" s="2"/>
      <c r="F130" s="2"/>
      <c r="G130" s="2"/>
    </row>
    <row r="131" spans="2:7" x14ac:dyDescent="0.25">
      <c r="B131" s="2"/>
      <c r="C131" s="2"/>
      <c r="D131" s="2"/>
      <c r="E131" s="2"/>
      <c r="F131" s="2"/>
      <c r="G131" s="2"/>
    </row>
    <row r="132" spans="2:7" x14ac:dyDescent="0.25">
      <c r="B132" s="2"/>
      <c r="C132" s="2"/>
      <c r="D132" s="2"/>
      <c r="E132" s="2"/>
      <c r="F132" s="2"/>
      <c r="G132" s="2"/>
    </row>
    <row r="133" spans="2:7" x14ac:dyDescent="0.25">
      <c r="B133" s="2"/>
      <c r="C133" s="2"/>
      <c r="D133" s="2"/>
      <c r="E133" s="2"/>
      <c r="F133" s="2"/>
      <c r="G133" s="2"/>
    </row>
    <row r="134" spans="2:7" x14ac:dyDescent="0.25">
      <c r="B134" s="2"/>
      <c r="C134" s="2"/>
      <c r="D134" s="2"/>
      <c r="E134" s="2"/>
      <c r="F134" s="2"/>
      <c r="G134" s="2"/>
    </row>
    <row r="135" spans="2:7" x14ac:dyDescent="0.25">
      <c r="B135" s="2"/>
      <c r="C135" s="2"/>
      <c r="D135" s="2"/>
      <c r="E135" s="2"/>
      <c r="F135" s="2"/>
      <c r="G135" s="2"/>
    </row>
  </sheetData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2060"/>
  </sheetPr>
  <dimension ref="A2:G203"/>
  <sheetViews>
    <sheetView showGridLines="0" topLeftCell="A184" workbookViewId="0">
      <selection activeCell="C197" sqref="C197"/>
    </sheetView>
  </sheetViews>
  <sheetFormatPr defaultRowHeight="15" x14ac:dyDescent="0.25"/>
  <cols>
    <col min="1" max="1" width="6.85546875" style="24" customWidth="1"/>
    <col min="2" max="2" width="18" bestFit="1" customWidth="1"/>
    <col min="3" max="3" width="72" bestFit="1" customWidth="1"/>
    <col min="4" max="4" width="42.140625" bestFit="1" customWidth="1"/>
    <col min="5" max="5" width="11.85546875" bestFit="1" customWidth="1"/>
    <col min="6" max="6" width="8.42578125" bestFit="1" customWidth="1"/>
    <col min="7" max="7" width="11" bestFit="1" customWidth="1"/>
  </cols>
  <sheetData>
    <row r="2" spans="1:7" x14ac:dyDescent="0.25">
      <c r="C2" t="s">
        <v>2216</v>
      </c>
    </row>
    <row r="4" spans="1:7" ht="15.75" x14ac:dyDescent="0.25">
      <c r="A4" s="24" t="s">
        <v>1093</v>
      </c>
      <c r="B4" s="10" t="s">
        <v>0</v>
      </c>
      <c r="C4" s="11" t="s">
        <v>1</v>
      </c>
      <c r="D4" s="11" t="s">
        <v>2</v>
      </c>
      <c r="E4" s="11" t="s">
        <v>934</v>
      </c>
      <c r="F4" s="11" t="s">
        <v>1095</v>
      </c>
      <c r="G4" s="11" t="s">
        <v>1507</v>
      </c>
    </row>
    <row r="5" spans="1:7" x14ac:dyDescent="0.25">
      <c r="B5" s="4">
        <v>45574</v>
      </c>
      <c r="C5" s="2" t="s">
        <v>1796</v>
      </c>
      <c r="D5" s="2"/>
      <c r="E5" s="23">
        <v>0</v>
      </c>
      <c r="F5" s="2"/>
      <c r="G5" s="2"/>
    </row>
    <row r="6" spans="1:7" x14ac:dyDescent="0.25">
      <c r="B6" s="4">
        <v>45579</v>
      </c>
      <c r="C6" s="2" t="s">
        <v>1545</v>
      </c>
      <c r="D6" s="2"/>
      <c r="E6" s="23">
        <v>0</v>
      </c>
      <c r="F6" s="2">
        <f t="shared" ref="F6:F69" si="0">E6-E5</f>
        <v>0</v>
      </c>
      <c r="G6" s="2"/>
    </row>
    <row r="7" spans="1:7" x14ac:dyDescent="0.25">
      <c r="B7" s="4">
        <v>45580</v>
      </c>
      <c r="C7" s="2" t="s">
        <v>1545</v>
      </c>
      <c r="D7" s="2"/>
      <c r="E7" s="23">
        <v>0</v>
      </c>
      <c r="F7" s="2">
        <f t="shared" si="0"/>
        <v>0</v>
      </c>
      <c r="G7" s="2"/>
    </row>
    <row r="8" spans="1:7" x14ac:dyDescent="0.25">
      <c r="A8" s="24">
        <v>1</v>
      </c>
      <c r="B8" s="4">
        <v>45581</v>
      </c>
      <c r="C8" s="2" t="s">
        <v>2218</v>
      </c>
      <c r="D8" s="2"/>
      <c r="E8" s="23">
        <v>0</v>
      </c>
      <c r="F8" s="2">
        <f t="shared" si="0"/>
        <v>0</v>
      </c>
      <c r="G8" s="2"/>
    </row>
    <row r="9" spans="1:7" x14ac:dyDescent="0.25">
      <c r="B9" s="4">
        <v>45582</v>
      </c>
      <c r="C9" s="2" t="s">
        <v>622</v>
      </c>
      <c r="D9" s="2"/>
      <c r="E9" s="23">
        <v>0</v>
      </c>
      <c r="F9" s="2">
        <f t="shared" si="0"/>
        <v>0</v>
      </c>
      <c r="G9" s="2"/>
    </row>
    <row r="10" spans="1:7" x14ac:dyDescent="0.25">
      <c r="B10" s="4">
        <v>45583</v>
      </c>
      <c r="C10" s="2" t="s">
        <v>2239</v>
      </c>
      <c r="D10" s="2" t="s">
        <v>2243</v>
      </c>
      <c r="E10" s="23">
        <v>0</v>
      </c>
      <c r="F10" s="2">
        <f t="shared" si="0"/>
        <v>0</v>
      </c>
      <c r="G10" s="2"/>
    </row>
    <row r="11" spans="1:7" x14ac:dyDescent="0.25">
      <c r="B11" s="4">
        <v>45584</v>
      </c>
      <c r="C11" s="2" t="s">
        <v>2255</v>
      </c>
      <c r="D11" s="2"/>
      <c r="E11" s="23">
        <v>0</v>
      </c>
      <c r="F11" s="2">
        <f t="shared" si="0"/>
        <v>0</v>
      </c>
      <c r="G11" s="2"/>
    </row>
    <row r="12" spans="1:7" x14ac:dyDescent="0.25">
      <c r="A12" s="24">
        <v>1</v>
      </c>
      <c r="B12" s="4">
        <v>45585</v>
      </c>
      <c r="C12" s="2" t="s">
        <v>2194</v>
      </c>
      <c r="D12" s="2"/>
      <c r="E12" s="23">
        <v>0</v>
      </c>
      <c r="F12" s="2">
        <f t="shared" si="0"/>
        <v>0</v>
      </c>
      <c r="G12" s="2"/>
    </row>
    <row r="13" spans="1:7" x14ac:dyDescent="0.25">
      <c r="B13" s="4">
        <v>45586</v>
      </c>
      <c r="C13" s="2" t="s">
        <v>2261</v>
      </c>
      <c r="D13" s="2"/>
      <c r="E13" s="23">
        <v>0</v>
      </c>
      <c r="F13" s="2">
        <f t="shared" si="0"/>
        <v>0</v>
      </c>
      <c r="G13" s="2"/>
    </row>
    <row r="14" spans="1:7" x14ac:dyDescent="0.25">
      <c r="B14" s="4">
        <v>45587</v>
      </c>
      <c r="C14" s="2" t="s">
        <v>2263</v>
      </c>
      <c r="D14" s="2" t="s">
        <v>2264</v>
      </c>
      <c r="E14" s="23">
        <v>3</v>
      </c>
      <c r="F14" s="2">
        <f t="shared" si="0"/>
        <v>3</v>
      </c>
      <c r="G14" s="2"/>
    </row>
    <row r="15" spans="1:7" x14ac:dyDescent="0.25">
      <c r="B15" s="4">
        <v>45588</v>
      </c>
      <c r="C15" s="2" t="s">
        <v>2290</v>
      </c>
      <c r="D15" s="2"/>
      <c r="E15" s="23">
        <v>12</v>
      </c>
      <c r="F15" s="2">
        <f t="shared" si="0"/>
        <v>9</v>
      </c>
      <c r="G15" s="2"/>
    </row>
    <row r="16" spans="1:7" x14ac:dyDescent="0.25">
      <c r="B16" s="4">
        <v>45589</v>
      </c>
      <c r="C16" s="2" t="s">
        <v>2289</v>
      </c>
      <c r="D16" s="2"/>
      <c r="E16" s="23">
        <v>16</v>
      </c>
      <c r="F16" s="2">
        <f t="shared" si="0"/>
        <v>4</v>
      </c>
      <c r="G16" s="2"/>
    </row>
    <row r="17" spans="1:7" x14ac:dyDescent="0.25">
      <c r="B17" s="4">
        <v>45590</v>
      </c>
      <c r="C17" s="2" t="s">
        <v>2309</v>
      </c>
      <c r="D17" s="2"/>
      <c r="E17" s="23">
        <v>29</v>
      </c>
      <c r="F17" s="2">
        <f t="shared" si="0"/>
        <v>13</v>
      </c>
      <c r="G17" s="2"/>
    </row>
    <row r="18" spans="1:7" x14ac:dyDescent="0.25">
      <c r="B18" s="4">
        <v>45591</v>
      </c>
      <c r="C18" s="2" t="s">
        <v>2328</v>
      </c>
      <c r="D18" s="2"/>
      <c r="E18" s="23">
        <v>37</v>
      </c>
      <c r="F18" s="2">
        <f t="shared" si="0"/>
        <v>8</v>
      </c>
      <c r="G18" s="2"/>
    </row>
    <row r="19" spans="1:7" x14ac:dyDescent="0.25">
      <c r="A19" s="24">
        <v>1</v>
      </c>
      <c r="B19" s="4">
        <v>45592</v>
      </c>
      <c r="C19" s="2" t="s">
        <v>480</v>
      </c>
      <c r="D19" s="2"/>
      <c r="E19" s="23">
        <v>37</v>
      </c>
      <c r="F19" s="2">
        <f t="shared" si="0"/>
        <v>0</v>
      </c>
      <c r="G19" s="2"/>
    </row>
    <row r="20" spans="1:7" x14ac:dyDescent="0.25">
      <c r="B20" s="4">
        <v>45593</v>
      </c>
      <c r="C20" s="2" t="s">
        <v>2342</v>
      </c>
      <c r="D20" s="2"/>
      <c r="E20" s="23">
        <v>42</v>
      </c>
      <c r="F20" s="2">
        <f t="shared" si="0"/>
        <v>5</v>
      </c>
      <c r="G20" s="2"/>
    </row>
    <row r="21" spans="1:7" x14ac:dyDescent="0.25">
      <c r="B21" s="4">
        <v>45594</v>
      </c>
      <c r="C21" s="2" t="s">
        <v>2348</v>
      </c>
      <c r="D21" s="2"/>
      <c r="E21" s="23">
        <v>54</v>
      </c>
      <c r="F21" s="2">
        <f t="shared" si="0"/>
        <v>12</v>
      </c>
      <c r="G21" s="2"/>
    </row>
    <row r="22" spans="1:7" x14ac:dyDescent="0.25">
      <c r="A22" s="24">
        <v>1</v>
      </c>
      <c r="B22" s="4">
        <v>45595</v>
      </c>
      <c r="C22" s="2" t="s">
        <v>480</v>
      </c>
      <c r="D22" s="2"/>
      <c r="E22" s="23">
        <v>54</v>
      </c>
      <c r="F22" s="2">
        <f t="shared" si="0"/>
        <v>0</v>
      </c>
      <c r="G22" s="2"/>
    </row>
    <row r="23" spans="1:7" x14ac:dyDescent="0.25">
      <c r="B23" s="4">
        <v>45596</v>
      </c>
      <c r="C23" s="2" t="s">
        <v>2367</v>
      </c>
      <c r="D23" s="2" t="s">
        <v>2368</v>
      </c>
      <c r="E23" s="23">
        <v>54</v>
      </c>
      <c r="F23" s="2">
        <f t="shared" si="0"/>
        <v>0</v>
      </c>
      <c r="G23" s="2"/>
    </row>
    <row r="24" spans="1:7" x14ac:dyDescent="0.25">
      <c r="A24" s="24">
        <v>1</v>
      </c>
      <c r="B24" s="4">
        <v>45597</v>
      </c>
      <c r="C24" s="2" t="s">
        <v>1844</v>
      </c>
      <c r="D24" s="2"/>
      <c r="E24" s="23">
        <v>54</v>
      </c>
      <c r="F24" s="2">
        <f t="shared" si="0"/>
        <v>0</v>
      </c>
      <c r="G24" s="2"/>
    </row>
    <row r="25" spans="1:7" x14ac:dyDescent="0.25">
      <c r="B25" s="4">
        <v>45598</v>
      </c>
      <c r="C25" s="2" t="s">
        <v>2269</v>
      </c>
      <c r="D25" s="2"/>
      <c r="E25" s="23">
        <v>54</v>
      </c>
      <c r="F25" s="2">
        <f t="shared" si="0"/>
        <v>0</v>
      </c>
      <c r="G25" s="2"/>
    </row>
    <row r="26" spans="1:7" x14ac:dyDescent="0.25">
      <c r="A26" s="24">
        <v>1</v>
      </c>
      <c r="B26" s="4">
        <v>45599</v>
      </c>
      <c r="C26" s="2" t="s">
        <v>480</v>
      </c>
      <c r="D26" s="2"/>
      <c r="E26" s="23">
        <v>54</v>
      </c>
      <c r="F26" s="2">
        <f t="shared" si="0"/>
        <v>0</v>
      </c>
      <c r="G26" s="2"/>
    </row>
    <row r="27" spans="1:7" x14ac:dyDescent="0.25">
      <c r="B27" s="4">
        <v>45600</v>
      </c>
      <c r="C27" s="2" t="s">
        <v>2399</v>
      </c>
      <c r="D27" s="2"/>
      <c r="E27" s="23">
        <v>58.5</v>
      </c>
      <c r="F27" s="2">
        <f t="shared" si="0"/>
        <v>4.5</v>
      </c>
      <c r="G27" s="2"/>
    </row>
    <row r="28" spans="1:7" x14ac:dyDescent="0.25">
      <c r="B28" s="4">
        <v>45601</v>
      </c>
      <c r="C28" s="2" t="s">
        <v>2412</v>
      </c>
      <c r="D28" s="2"/>
      <c r="E28" s="23">
        <v>65.5</v>
      </c>
      <c r="F28" s="2">
        <f t="shared" si="0"/>
        <v>7</v>
      </c>
      <c r="G28" s="2"/>
    </row>
    <row r="29" spans="1:7" x14ac:dyDescent="0.25">
      <c r="A29" s="24">
        <v>1</v>
      </c>
      <c r="B29" s="4">
        <v>45602</v>
      </c>
      <c r="C29" s="2" t="s">
        <v>480</v>
      </c>
      <c r="D29" s="2"/>
      <c r="E29" s="23">
        <v>65.5</v>
      </c>
      <c r="F29" s="2">
        <f t="shared" si="0"/>
        <v>0</v>
      </c>
      <c r="G29" s="2"/>
    </row>
    <row r="30" spans="1:7" x14ac:dyDescent="0.25">
      <c r="A30" s="24">
        <v>1</v>
      </c>
      <c r="B30" s="4">
        <v>45603</v>
      </c>
      <c r="C30" s="2" t="s">
        <v>2428</v>
      </c>
      <c r="D30" s="2"/>
      <c r="E30" s="23">
        <v>65.5</v>
      </c>
      <c r="F30" s="2">
        <f t="shared" si="0"/>
        <v>0</v>
      </c>
      <c r="G30" s="2"/>
    </row>
    <row r="31" spans="1:7" x14ac:dyDescent="0.25">
      <c r="A31" s="24">
        <v>1</v>
      </c>
      <c r="B31" s="4">
        <v>45604</v>
      </c>
      <c r="C31" s="2" t="s">
        <v>2428</v>
      </c>
      <c r="D31" s="2"/>
      <c r="E31" s="23">
        <v>65.5</v>
      </c>
      <c r="F31" s="2">
        <f t="shared" si="0"/>
        <v>0</v>
      </c>
      <c r="G31" s="2"/>
    </row>
    <row r="32" spans="1:7" x14ac:dyDescent="0.25">
      <c r="A32" s="24">
        <v>1</v>
      </c>
      <c r="B32" s="4">
        <v>45605</v>
      </c>
      <c r="C32" s="2" t="s">
        <v>2428</v>
      </c>
      <c r="D32" s="2"/>
      <c r="E32" s="23">
        <v>65.5</v>
      </c>
      <c r="F32" s="2">
        <f t="shared" si="0"/>
        <v>0</v>
      </c>
      <c r="G32" s="2"/>
    </row>
    <row r="33" spans="1:7" x14ac:dyDescent="0.25">
      <c r="B33" s="4">
        <v>45606</v>
      </c>
      <c r="C33" s="2" t="s">
        <v>2456</v>
      </c>
      <c r="D33" s="2" t="s">
        <v>2457</v>
      </c>
      <c r="E33" s="23">
        <v>76</v>
      </c>
      <c r="F33" s="2">
        <f t="shared" si="0"/>
        <v>10.5</v>
      </c>
      <c r="G33" s="2"/>
    </row>
    <row r="34" spans="1:7" x14ac:dyDescent="0.25">
      <c r="B34" s="4">
        <v>45607</v>
      </c>
      <c r="C34" s="2" t="s">
        <v>2463</v>
      </c>
      <c r="D34" s="2"/>
      <c r="E34" s="23">
        <v>76</v>
      </c>
      <c r="F34" s="2">
        <f t="shared" si="0"/>
        <v>0</v>
      </c>
      <c r="G34" s="2"/>
    </row>
    <row r="35" spans="1:7" x14ac:dyDescent="0.25">
      <c r="B35" s="4">
        <v>45608</v>
      </c>
      <c r="C35" s="2" t="s">
        <v>2482</v>
      </c>
      <c r="D35" s="2"/>
      <c r="E35" s="23">
        <v>78</v>
      </c>
      <c r="F35" s="2">
        <f t="shared" si="0"/>
        <v>2</v>
      </c>
      <c r="G35" s="2"/>
    </row>
    <row r="36" spans="1:7" x14ac:dyDescent="0.25">
      <c r="B36" s="4">
        <v>45609</v>
      </c>
      <c r="C36" s="2" t="s">
        <v>2499</v>
      </c>
      <c r="D36" s="2"/>
      <c r="E36" s="23">
        <v>79.5</v>
      </c>
      <c r="F36" s="2">
        <f t="shared" si="0"/>
        <v>1.5</v>
      </c>
      <c r="G36" s="2"/>
    </row>
    <row r="37" spans="1:7" x14ac:dyDescent="0.25">
      <c r="A37" s="24">
        <v>1</v>
      </c>
      <c r="B37" s="4">
        <v>45610</v>
      </c>
      <c r="C37" s="2" t="s">
        <v>2194</v>
      </c>
      <c r="D37" s="2"/>
      <c r="E37" s="23">
        <v>79.5</v>
      </c>
      <c r="F37" s="2">
        <f t="shared" si="0"/>
        <v>0</v>
      </c>
      <c r="G37" s="2"/>
    </row>
    <row r="38" spans="1:7" x14ac:dyDescent="0.25">
      <c r="A38" s="24">
        <v>1</v>
      </c>
      <c r="B38" s="4">
        <v>45611</v>
      </c>
      <c r="C38" s="2" t="s">
        <v>2218</v>
      </c>
      <c r="D38" s="2"/>
      <c r="E38" s="23">
        <v>79.5</v>
      </c>
      <c r="F38" s="2">
        <f t="shared" si="0"/>
        <v>0</v>
      </c>
      <c r="G38" s="2"/>
    </row>
    <row r="39" spans="1:7" x14ac:dyDescent="0.25">
      <c r="A39" s="24">
        <v>1</v>
      </c>
      <c r="B39" s="4">
        <v>45612</v>
      </c>
      <c r="C39" s="2" t="s">
        <v>2218</v>
      </c>
      <c r="D39" s="2"/>
      <c r="E39" s="23">
        <v>79.5</v>
      </c>
      <c r="F39" s="2">
        <f t="shared" si="0"/>
        <v>0</v>
      </c>
      <c r="G39" s="2"/>
    </row>
    <row r="40" spans="1:7" x14ac:dyDescent="0.25">
      <c r="B40" s="4">
        <v>45613</v>
      </c>
      <c r="C40" s="2" t="s">
        <v>2530</v>
      </c>
      <c r="D40" s="2"/>
      <c r="E40" s="23">
        <v>86</v>
      </c>
      <c r="F40" s="2">
        <f t="shared" si="0"/>
        <v>6.5</v>
      </c>
      <c r="G40" s="2"/>
    </row>
    <row r="41" spans="1:7" x14ac:dyDescent="0.25">
      <c r="B41" s="4">
        <v>45614</v>
      </c>
      <c r="C41" s="2" t="s">
        <v>2548</v>
      </c>
      <c r="D41" s="2"/>
      <c r="E41" s="23">
        <v>88.5</v>
      </c>
      <c r="F41" s="2">
        <f t="shared" si="0"/>
        <v>2.5</v>
      </c>
      <c r="G41" s="2"/>
    </row>
    <row r="42" spans="1:7" x14ac:dyDescent="0.25">
      <c r="A42" s="24">
        <v>1</v>
      </c>
      <c r="B42" s="4">
        <v>45615</v>
      </c>
      <c r="C42" s="2" t="s">
        <v>2194</v>
      </c>
      <c r="D42" s="2" t="s">
        <v>2564</v>
      </c>
      <c r="E42" s="23">
        <v>88.5</v>
      </c>
      <c r="F42" s="2">
        <f t="shared" si="0"/>
        <v>0</v>
      </c>
      <c r="G42" s="2"/>
    </row>
    <row r="43" spans="1:7" x14ac:dyDescent="0.25">
      <c r="A43" s="24">
        <v>1</v>
      </c>
      <c r="B43" s="4">
        <v>45616</v>
      </c>
      <c r="C43" s="2" t="s">
        <v>480</v>
      </c>
      <c r="D43" s="2" t="s">
        <v>2571</v>
      </c>
      <c r="E43" s="23">
        <v>88.5</v>
      </c>
      <c r="F43" s="2">
        <f t="shared" si="0"/>
        <v>0</v>
      </c>
      <c r="G43" s="2"/>
    </row>
    <row r="44" spans="1:7" x14ac:dyDescent="0.25">
      <c r="A44" s="24">
        <v>1</v>
      </c>
      <c r="B44" s="4">
        <v>45617</v>
      </c>
      <c r="C44" s="2" t="s">
        <v>480</v>
      </c>
      <c r="D44" s="2"/>
      <c r="E44" s="23">
        <v>88.5</v>
      </c>
      <c r="F44" s="2">
        <f t="shared" si="0"/>
        <v>0</v>
      </c>
      <c r="G44" s="2"/>
    </row>
    <row r="45" spans="1:7" x14ac:dyDescent="0.25">
      <c r="A45" s="24">
        <v>1</v>
      </c>
      <c r="B45" s="4">
        <v>45618</v>
      </c>
      <c r="C45" s="2" t="s">
        <v>480</v>
      </c>
      <c r="D45" s="2"/>
      <c r="E45" s="23">
        <v>88.5</v>
      </c>
      <c r="F45" s="2">
        <f t="shared" si="0"/>
        <v>0</v>
      </c>
      <c r="G45" s="2"/>
    </row>
    <row r="46" spans="1:7" x14ac:dyDescent="0.25">
      <c r="A46" s="24">
        <v>1</v>
      </c>
      <c r="B46" s="4">
        <v>45619</v>
      </c>
      <c r="C46" s="2" t="s">
        <v>2194</v>
      </c>
      <c r="D46" s="2"/>
      <c r="E46" s="23">
        <v>88.5</v>
      </c>
      <c r="F46" s="2">
        <f t="shared" si="0"/>
        <v>0</v>
      </c>
      <c r="G46" s="2"/>
    </row>
    <row r="47" spans="1:7" x14ac:dyDescent="0.25">
      <c r="A47" s="24">
        <v>1</v>
      </c>
      <c r="B47" s="4">
        <v>45620</v>
      </c>
      <c r="C47" s="2" t="s">
        <v>2194</v>
      </c>
      <c r="D47" s="2"/>
      <c r="E47" s="23">
        <v>88.5</v>
      </c>
      <c r="F47" s="2">
        <f t="shared" si="0"/>
        <v>0</v>
      </c>
      <c r="G47" s="2"/>
    </row>
    <row r="48" spans="1:7" x14ac:dyDescent="0.25">
      <c r="B48" s="4">
        <v>45621</v>
      </c>
      <c r="C48" s="2" t="s">
        <v>2614</v>
      </c>
      <c r="D48" s="2"/>
      <c r="E48" s="23">
        <v>107</v>
      </c>
      <c r="F48" s="2">
        <f t="shared" si="0"/>
        <v>18.5</v>
      </c>
      <c r="G48" s="2"/>
    </row>
    <row r="49" spans="1:7" x14ac:dyDescent="0.25">
      <c r="A49" s="24">
        <v>1</v>
      </c>
      <c r="B49" s="4">
        <v>45622</v>
      </c>
      <c r="C49" s="2" t="s">
        <v>2194</v>
      </c>
      <c r="D49" s="2"/>
      <c r="E49" s="23">
        <v>107</v>
      </c>
      <c r="F49" s="2">
        <f t="shared" si="0"/>
        <v>0</v>
      </c>
      <c r="G49" s="2"/>
    </row>
    <row r="50" spans="1:7" x14ac:dyDescent="0.25">
      <c r="B50" s="4">
        <v>45623</v>
      </c>
      <c r="C50" s="2" t="s">
        <v>2626</v>
      </c>
      <c r="D50" s="2"/>
      <c r="E50" s="23">
        <v>112</v>
      </c>
      <c r="F50" s="2">
        <f t="shared" si="0"/>
        <v>5</v>
      </c>
      <c r="G50" s="2"/>
    </row>
    <row r="51" spans="1:7" x14ac:dyDescent="0.25">
      <c r="A51" s="24">
        <v>1</v>
      </c>
      <c r="B51" s="4">
        <v>45624</v>
      </c>
      <c r="C51" s="2" t="s">
        <v>2194</v>
      </c>
      <c r="D51" s="2"/>
      <c r="E51" s="23">
        <v>112</v>
      </c>
      <c r="F51" s="2">
        <f t="shared" si="0"/>
        <v>0</v>
      </c>
      <c r="G51" s="2"/>
    </row>
    <row r="52" spans="1:7" x14ac:dyDescent="0.25">
      <c r="B52" s="4">
        <v>45625</v>
      </c>
      <c r="C52" s="2" t="s">
        <v>2648</v>
      </c>
      <c r="D52" s="2"/>
      <c r="E52" s="23">
        <v>115</v>
      </c>
      <c r="F52" s="2">
        <f t="shared" si="0"/>
        <v>3</v>
      </c>
      <c r="G52" s="2"/>
    </row>
    <row r="53" spans="1:7" x14ac:dyDescent="0.25">
      <c r="B53" s="4">
        <v>45626</v>
      </c>
      <c r="C53" s="2" t="s">
        <v>2667</v>
      </c>
      <c r="D53" s="2"/>
      <c r="E53" s="23">
        <v>117.5</v>
      </c>
      <c r="F53" s="2">
        <f t="shared" si="0"/>
        <v>2.5</v>
      </c>
      <c r="G53" s="2"/>
    </row>
    <row r="54" spans="1:7" x14ac:dyDescent="0.25">
      <c r="A54" s="24">
        <v>1</v>
      </c>
      <c r="B54" s="4">
        <v>45627</v>
      </c>
      <c r="C54" s="2"/>
      <c r="D54" s="2"/>
      <c r="E54" s="23">
        <v>117.5</v>
      </c>
      <c r="F54" s="2">
        <f t="shared" si="0"/>
        <v>0</v>
      </c>
      <c r="G54" s="2"/>
    </row>
    <row r="55" spans="1:7" x14ac:dyDescent="0.25">
      <c r="B55" s="4">
        <v>45628</v>
      </c>
      <c r="C55" s="2" t="s">
        <v>2666</v>
      </c>
      <c r="D55" s="2"/>
      <c r="E55" s="23">
        <v>120</v>
      </c>
      <c r="F55" s="2">
        <f t="shared" si="0"/>
        <v>2.5</v>
      </c>
      <c r="G55" s="2"/>
    </row>
    <row r="56" spans="1:7" x14ac:dyDescent="0.25">
      <c r="B56" s="4">
        <v>45629</v>
      </c>
      <c r="C56" s="2" t="s">
        <v>2678</v>
      </c>
      <c r="D56" s="2"/>
      <c r="E56" s="23">
        <v>121</v>
      </c>
      <c r="F56" s="2">
        <f t="shared" si="0"/>
        <v>1</v>
      </c>
      <c r="G56" s="2"/>
    </row>
    <row r="57" spans="1:7" x14ac:dyDescent="0.25">
      <c r="B57" s="4">
        <v>45630</v>
      </c>
      <c r="C57" s="2" t="s">
        <v>2724</v>
      </c>
      <c r="D57" s="2"/>
      <c r="E57" s="23">
        <v>123.5</v>
      </c>
      <c r="F57" s="2">
        <f t="shared" si="0"/>
        <v>2.5</v>
      </c>
      <c r="G57" s="2"/>
    </row>
    <row r="58" spans="1:7" x14ac:dyDescent="0.25">
      <c r="A58" s="24">
        <v>1</v>
      </c>
      <c r="B58" s="4">
        <v>45631</v>
      </c>
      <c r="C58" s="2" t="s">
        <v>2218</v>
      </c>
      <c r="D58" s="2"/>
      <c r="E58" s="23">
        <v>123.5</v>
      </c>
      <c r="F58" s="2">
        <f t="shared" si="0"/>
        <v>0</v>
      </c>
      <c r="G58" s="2"/>
    </row>
    <row r="59" spans="1:7" x14ac:dyDescent="0.25">
      <c r="B59" s="4">
        <v>45632</v>
      </c>
      <c r="C59" s="2" t="s">
        <v>2723</v>
      </c>
      <c r="D59" s="2"/>
      <c r="E59" s="23">
        <v>125</v>
      </c>
      <c r="F59" s="2">
        <f t="shared" si="0"/>
        <v>1.5</v>
      </c>
      <c r="G59" s="2"/>
    </row>
    <row r="60" spans="1:7" x14ac:dyDescent="0.25">
      <c r="A60" s="24">
        <v>1</v>
      </c>
      <c r="B60" s="4">
        <v>45633</v>
      </c>
      <c r="C60" s="2" t="s">
        <v>480</v>
      </c>
      <c r="D60" s="2"/>
      <c r="E60" s="23">
        <v>125</v>
      </c>
      <c r="F60" s="2">
        <f t="shared" si="0"/>
        <v>0</v>
      </c>
      <c r="G60" s="2"/>
    </row>
    <row r="61" spans="1:7" x14ac:dyDescent="0.25">
      <c r="A61" s="24">
        <v>1</v>
      </c>
      <c r="B61" s="4">
        <v>45634</v>
      </c>
      <c r="C61" s="2" t="s">
        <v>480</v>
      </c>
      <c r="D61" s="2"/>
      <c r="E61" s="23">
        <v>125</v>
      </c>
      <c r="F61" s="2">
        <f t="shared" si="0"/>
        <v>0</v>
      </c>
      <c r="G61" s="2"/>
    </row>
    <row r="62" spans="1:7" x14ac:dyDescent="0.25">
      <c r="A62" s="24">
        <v>1</v>
      </c>
      <c r="B62" s="4">
        <v>45635</v>
      </c>
      <c r="C62" s="2" t="s">
        <v>480</v>
      </c>
      <c r="D62" s="2"/>
      <c r="E62" s="23">
        <v>125</v>
      </c>
      <c r="F62" s="2">
        <f t="shared" si="0"/>
        <v>0</v>
      </c>
      <c r="G62" s="2"/>
    </row>
    <row r="63" spans="1:7" x14ac:dyDescent="0.25">
      <c r="B63" s="4">
        <v>45636</v>
      </c>
      <c r="C63" s="2" t="s">
        <v>2757</v>
      </c>
      <c r="D63" s="2"/>
      <c r="E63" s="23">
        <v>125</v>
      </c>
      <c r="F63" s="2">
        <f t="shared" si="0"/>
        <v>0</v>
      </c>
      <c r="G63" s="2"/>
    </row>
    <row r="64" spans="1:7" x14ac:dyDescent="0.25">
      <c r="B64" s="4">
        <v>45637</v>
      </c>
      <c r="C64" s="2" t="s">
        <v>2776</v>
      </c>
      <c r="D64" s="2"/>
      <c r="E64" s="23">
        <v>32</v>
      </c>
      <c r="F64" s="2">
        <f t="shared" si="0"/>
        <v>-93</v>
      </c>
      <c r="G64" s="2"/>
    </row>
    <row r="65" spans="1:7" x14ac:dyDescent="0.25">
      <c r="B65" s="4">
        <v>45638</v>
      </c>
      <c r="C65" s="2" t="s">
        <v>2775</v>
      </c>
      <c r="D65" s="2"/>
      <c r="E65" s="23">
        <v>43</v>
      </c>
      <c r="F65" s="2">
        <f t="shared" si="0"/>
        <v>11</v>
      </c>
      <c r="G65" s="2"/>
    </row>
    <row r="66" spans="1:7" x14ac:dyDescent="0.25">
      <c r="B66" s="4">
        <v>45639</v>
      </c>
      <c r="C66" s="2" t="s">
        <v>2774</v>
      </c>
      <c r="D66" s="2"/>
      <c r="E66" s="23">
        <v>55</v>
      </c>
      <c r="F66" s="2">
        <f t="shared" si="0"/>
        <v>12</v>
      </c>
      <c r="G66" s="2"/>
    </row>
    <row r="67" spans="1:7" x14ac:dyDescent="0.25">
      <c r="A67" s="24">
        <v>1</v>
      </c>
      <c r="B67" s="4">
        <v>45640</v>
      </c>
      <c r="C67" s="2"/>
      <c r="D67" s="2"/>
      <c r="E67" s="23">
        <v>55</v>
      </c>
      <c r="F67" s="2">
        <f t="shared" si="0"/>
        <v>0</v>
      </c>
      <c r="G67" s="2"/>
    </row>
    <row r="68" spans="1:7" x14ac:dyDescent="0.25">
      <c r="A68" s="24">
        <v>1</v>
      </c>
      <c r="B68" s="4">
        <v>45641</v>
      </c>
      <c r="C68" s="2"/>
      <c r="D68" s="2"/>
      <c r="E68" s="23">
        <v>55</v>
      </c>
      <c r="F68" s="2">
        <f t="shared" si="0"/>
        <v>0</v>
      </c>
      <c r="G68" s="2"/>
    </row>
    <row r="69" spans="1:7" x14ac:dyDescent="0.25">
      <c r="B69" s="4">
        <v>45642</v>
      </c>
      <c r="C69" s="2" t="s">
        <v>2797</v>
      </c>
      <c r="D69" s="2"/>
      <c r="E69" s="23">
        <v>90</v>
      </c>
      <c r="F69" s="2">
        <f t="shared" si="0"/>
        <v>35</v>
      </c>
      <c r="G69" s="2"/>
    </row>
    <row r="70" spans="1:7" x14ac:dyDescent="0.25">
      <c r="B70" s="4">
        <v>45643</v>
      </c>
      <c r="C70" s="2" t="s">
        <v>2806</v>
      </c>
      <c r="D70" s="2"/>
      <c r="E70" s="23">
        <v>119</v>
      </c>
      <c r="F70" s="2">
        <f t="shared" ref="F70:F120" si="1">E70-E69</f>
        <v>29</v>
      </c>
      <c r="G70" s="2"/>
    </row>
    <row r="71" spans="1:7" x14ac:dyDescent="0.25">
      <c r="B71" s="4">
        <v>45644</v>
      </c>
      <c r="C71" s="2" t="s">
        <v>2817</v>
      </c>
      <c r="D71" s="2"/>
      <c r="E71" s="23">
        <v>124</v>
      </c>
      <c r="F71" s="2">
        <f t="shared" si="1"/>
        <v>5</v>
      </c>
      <c r="G71" s="2"/>
    </row>
    <row r="72" spans="1:7" x14ac:dyDescent="0.25">
      <c r="B72" s="4">
        <v>45645</v>
      </c>
      <c r="C72" s="2" t="s">
        <v>2827</v>
      </c>
      <c r="D72" s="2"/>
      <c r="E72" s="23">
        <v>125</v>
      </c>
      <c r="F72" s="2">
        <f t="shared" si="1"/>
        <v>1</v>
      </c>
      <c r="G72" s="2"/>
    </row>
    <row r="73" spans="1:7" x14ac:dyDescent="0.25">
      <c r="B73" s="4">
        <v>45646</v>
      </c>
      <c r="C73" s="2" t="s">
        <v>2836</v>
      </c>
      <c r="D73" s="2"/>
      <c r="E73" s="23">
        <v>130</v>
      </c>
      <c r="F73" s="2">
        <f t="shared" si="1"/>
        <v>5</v>
      </c>
      <c r="G73" s="2"/>
    </row>
    <row r="74" spans="1:7" x14ac:dyDescent="0.25">
      <c r="B74" s="4">
        <v>45647</v>
      </c>
      <c r="C74" s="2" t="s">
        <v>2854</v>
      </c>
      <c r="D74" s="2"/>
      <c r="E74" s="23">
        <v>130</v>
      </c>
      <c r="F74" s="2">
        <f t="shared" si="1"/>
        <v>0</v>
      </c>
      <c r="G74" s="2"/>
    </row>
    <row r="75" spans="1:7" x14ac:dyDescent="0.25">
      <c r="B75" s="4">
        <v>45648</v>
      </c>
      <c r="C75" s="2" t="s">
        <v>2853</v>
      </c>
      <c r="D75" s="2"/>
      <c r="E75" s="23">
        <v>142</v>
      </c>
      <c r="F75" s="2">
        <f t="shared" si="1"/>
        <v>12</v>
      </c>
      <c r="G75" s="2"/>
    </row>
    <row r="76" spans="1:7" x14ac:dyDescent="0.25">
      <c r="B76" s="4">
        <v>45649</v>
      </c>
      <c r="C76" s="2" t="s">
        <v>2879</v>
      </c>
      <c r="D76" s="2"/>
      <c r="E76" s="23">
        <v>158</v>
      </c>
      <c r="F76" s="2">
        <f t="shared" si="1"/>
        <v>16</v>
      </c>
      <c r="G76" s="2"/>
    </row>
    <row r="77" spans="1:7" x14ac:dyDescent="0.25">
      <c r="B77" s="4">
        <v>45650</v>
      </c>
      <c r="C77" s="2" t="s">
        <v>2901</v>
      </c>
      <c r="D77" s="2"/>
      <c r="E77" s="23">
        <v>164</v>
      </c>
      <c r="F77" s="2">
        <f t="shared" si="1"/>
        <v>6</v>
      </c>
      <c r="G77" s="2"/>
    </row>
    <row r="78" spans="1:7" x14ac:dyDescent="0.25">
      <c r="A78" s="24">
        <v>1</v>
      </c>
      <c r="B78" s="4">
        <v>45651</v>
      </c>
      <c r="C78" s="2" t="s">
        <v>480</v>
      </c>
      <c r="D78" s="2"/>
      <c r="E78" s="23">
        <v>164</v>
      </c>
      <c r="F78" s="2">
        <f t="shared" si="1"/>
        <v>0</v>
      </c>
      <c r="G78" s="2"/>
    </row>
    <row r="79" spans="1:7" x14ac:dyDescent="0.25">
      <c r="B79" s="4">
        <v>45652</v>
      </c>
      <c r="C79" s="2" t="s">
        <v>2918</v>
      </c>
      <c r="D79" s="2"/>
      <c r="E79" s="23">
        <v>164</v>
      </c>
      <c r="F79" s="2">
        <f t="shared" si="1"/>
        <v>0</v>
      </c>
      <c r="G79" s="2"/>
    </row>
    <row r="80" spans="1:7" x14ac:dyDescent="0.25">
      <c r="B80" s="4">
        <v>45653</v>
      </c>
      <c r="C80" s="2" t="s">
        <v>2927</v>
      </c>
      <c r="D80" s="2"/>
      <c r="E80" s="23">
        <v>166</v>
      </c>
      <c r="F80" s="2">
        <f t="shared" si="1"/>
        <v>2</v>
      </c>
      <c r="G80" s="2"/>
    </row>
    <row r="81" spans="1:7" x14ac:dyDescent="0.25">
      <c r="B81" s="4">
        <v>45654</v>
      </c>
      <c r="C81" s="2" t="s">
        <v>2949</v>
      </c>
      <c r="D81" s="2"/>
      <c r="E81" s="23">
        <v>170</v>
      </c>
      <c r="F81" s="2">
        <f t="shared" si="1"/>
        <v>4</v>
      </c>
      <c r="G81" s="2"/>
    </row>
    <row r="82" spans="1:7" x14ac:dyDescent="0.25">
      <c r="B82" s="4">
        <v>45655</v>
      </c>
      <c r="C82" s="2" t="s">
        <v>2950</v>
      </c>
      <c r="D82" s="2"/>
      <c r="E82" s="23">
        <v>173</v>
      </c>
      <c r="F82" s="2">
        <f t="shared" si="1"/>
        <v>3</v>
      </c>
      <c r="G82" s="2"/>
    </row>
    <row r="83" spans="1:7" x14ac:dyDescent="0.25">
      <c r="B83" s="4">
        <v>45656</v>
      </c>
      <c r="C83" s="2" t="s">
        <v>2966</v>
      </c>
      <c r="D83" s="2" t="s">
        <v>2967</v>
      </c>
      <c r="E83" s="23">
        <v>180</v>
      </c>
      <c r="F83" s="2">
        <f t="shared" si="1"/>
        <v>7</v>
      </c>
      <c r="G83" s="2"/>
    </row>
    <row r="84" spans="1:7" x14ac:dyDescent="0.25">
      <c r="B84" s="4">
        <v>45657</v>
      </c>
      <c r="C84" s="2" t="s">
        <v>2981</v>
      </c>
      <c r="D84" s="2"/>
      <c r="E84" s="23">
        <v>130</v>
      </c>
      <c r="F84" s="2">
        <f t="shared" si="1"/>
        <v>-50</v>
      </c>
      <c r="G84" s="2"/>
    </row>
    <row r="85" spans="1:7" x14ac:dyDescent="0.25">
      <c r="A85" s="24">
        <v>1</v>
      </c>
      <c r="B85" s="4">
        <v>45658</v>
      </c>
      <c r="C85" s="2" t="s">
        <v>480</v>
      </c>
      <c r="D85" s="2"/>
      <c r="E85" s="23">
        <v>130</v>
      </c>
      <c r="F85" s="2">
        <f t="shared" si="1"/>
        <v>0</v>
      </c>
      <c r="G85" s="2"/>
    </row>
    <row r="86" spans="1:7" x14ac:dyDescent="0.25">
      <c r="B86" s="4">
        <v>45659</v>
      </c>
      <c r="C86" s="2" t="s">
        <v>2988</v>
      </c>
      <c r="D86" s="2"/>
      <c r="E86" s="23">
        <v>130</v>
      </c>
      <c r="F86" s="2">
        <f t="shared" si="1"/>
        <v>0</v>
      </c>
      <c r="G86" s="2"/>
    </row>
    <row r="87" spans="1:7" x14ac:dyDescent="0.25">
      <c r="B87" s="4">
        <v>45660</v>
      </c>
      <c r="C87" s="2" t="s">
        <v>3001</v>
      </c>
      <c r="D87" s="2"/>
      <c r="E87" s="23">
        <v>136</v>
      </c>
      <c r="F87" s="2">
        <f t="shared" si="1"/>
        <v>6</v>
      </c>
      <c r="G87" s="2"/>
    </row>
    <row r="88" spans="1:7" x14ac:dyDescent="0.25">
      <c r="B88" s="4">
        <v>45661</v>
      </c>
      <c r="C88" s="2" t="s">
        <v>3041</v>
      </c>
      <c r="D88" s="2"/>
      <c r="E88" s="23">
        <v>136</v>
      </c>
      <c r="F88" s="2">
        <f t="shared" si="1"/>
        <v>0</v>
      </c>
      <c r="G88" s="2"/>
    </row>
    <row r="89" spans="1:7" x14ac:dyDescent="0.25">
      <c r="A89" s="24">
        <v>1</v>
      </c>
      <c r="B89" s="4">
        <v>45662</v>
      </c>
      <c r="C89" s="2" t="s">
        <v>480</v>
      </c>
      <c r="D89" s="2"/>
      <c r="E89" s="23">
        <v>136</v>
      </c>
      <c r="F89" s="2">
        <f t="shared" si="1"/>
        <v>0</v>
      </c>
      <c r="G89" s="2"/>
    </row>
    <row r="90" spans="1:7" x14ac:dyDescent="0.25">
      <c r="B90" s="4">
        <v>45663</v>
      </c>
      <c r="C90" s="2" t="s">
        <v>328</v>
      </c>
      <c r="D90" s="2"/>
      <c r="E90" s="23">
        <v>136</v>
      </c>
      <c r="F90" s="2">
        <f t="shared" si="1"/>
        <v>0</v>
      </c>
      <c r="G90" s="2"/>
    </row>
    <row r="91" spans="1:7" x14ac:dyDescent="0.25">
      <c r="B91" s="4">
        <v>45664</v>
      </c>
      <c r="C91" s="2" t="s">
        <v>3064</v>
      </c>
      <c r="D91" s="2"/>
      <c r="E91" s="23">
        <v>162</v>
      </c>
      <c r="F91" s="2">
        <f t="shared" si="1"/>
        <v>26</v>
      </c>
      <c r="G91" s="2"/>
    </row>
    <row r="92" spans="1:7" x14ac:dyDescent="0.25">
      <c r="A92" s="24">
        <v>1</v>
      </c>
      <c r="B92" s="4">
        <v>45665</v>
      </c>
      <c r="C92" s="2" t="s">
        <v>3084</v>
      </c>
      <c r="D92" s="2"/>
      <c r="E92" s="23">
        <v>162</v>
      </c>
      <c r="F92" s="2">
        <f t="shared" si="1"/>
        <v>0</v>
      </c>
      <c r="G92" s="2"/>
    </row>
    <row r="93" spans="1:7" x14ac:dyDescent="0.25">
      <c r="A93" s="24">
        <v>1</v>
      </c>
      <c r="B93" s="4">
        <v>45666</v>
      </c>
      <c r="C93" s="2" t="s">
        <v>3084</v>
      </c>
      <c r="D93" s="2"/>
      <c r="E93" s="23">
        <v>162</v>
      </c>
      <c r="F93" s="2">
        <f t="shared" si="1"/>
        <v>0</v>
      </c>
      <c r="G93" s="2"/>
    </row>
    <row r="94" spans="1:7" x14ac:dyDescent="0.25">
      <c r="B94" s="4">
        <v>45667</v>
      </c>
      <c r="C94" s="2" t="s">
        <v>3093</v>
      </c>
      <c r="D94" s="2"/>
      <c r="E94" s="23">
        <v>165</v>
      </c>
      <c r="F94" s="2">
        <f t="shared" si="1"/>
        <v>3</v>
      </c>
      <c r="G94" s="2"/>
    </row>
    <row r="95" spans="1:7" x14ac:dyDescent="0.25">
      <c r="B95" s="4">
        <v>45668</v>
      </c>
      <c r="C95" s="2" t="s">
        <v>3108</v>
      </c>
      <c r="D95" s="2"/>
      <c r="E95" s="23">
        <v>168</v>
      </c>
      <c r="F95" s="2">
        <f t="shared" si="1"/>
        <v>3</v>
      </c>
      <c r="G95" s="2"/>
    </row>
    <row r="96" spans="1:7" x14ac:dyDescent="0.25">
      <c r="B96" s="4">
        <v>45669</v>
      </c>
      <c r="C96" s="2" t="s">
        <v>3108</v>
      </c>
      <c r="D96" s="2"/>
      <c r="E96" s="23">
        <v>168</v>
      </c>
      <c r="F96" s="2">
        <f t="shared" si="1"/>
        <v>0</v>
      </c>
      <c r="G96" s="2"/>
    </row>
    <row r="97" spans="1:7" x14ac:dyDescent="0.25">
      <c r="B97" s="4">
        <v>45670</v>
      </c>
      <c r="C97" s="2" t="s">
        <v>3118</v>
      </c>
      <c r="D97" s="2"/>
      <c r="E97" s="23">
        <v>168</v>
      </c>
      <c r="F97" s="2">
        <f t="shared" si="1"/>
        <v>0</v>
      </c>
      <c r="G97" s="2"/>
    </row>
    <row r="98" spans="1:7" x14ac:dyDescent="0.25">
      <c r="B98" s="4">
        <v>45671</v>
      </c>
      <c r="C98" s="2" t="s">
        <v>3131</v>
      </c>
      <c r="D98" s="2"/>
      <c r="E98" s="23">
        <v>171.5</v>
      </c>
      <c r="F98" s="2">
        <f t="shared" si="1"/>
        <v>3.5</v>
      </c>
      <c r="G98" s="2"/>
    </row>
    <row r="99" spans="1:7" x14ac:dyDescent="0.25">
      <c r="B99" s="4">
        <v>45672</v>
      </c>
      <c r="C99" s="2" t="s">
        <v>3142</v>
      </c>
      <c r="D99" s="2"/>
      <c r="E99" s="23">
        <v>171.5</v>
      </c>
      <c r="F99" s="2">
        <f t="shared" si="1"/>
        <v>0</v>
      </c>
      <c r="G99" s="2"/>
    </row>
    <row r="100" spans="1:7" x14ac:dyDescent="0.25">
      <c r="B100" s="4">
        <v>45673</v>
      </c>
      <c r="C100" s="2" t="s">
        <v>3154</v>
      </c>
      <c r="D100" s="2"/>
      <c r="E100" s="23">
        <v>171.5</v>
      </c>
      <c r="F100" s="2">
        <f t="shared" si="1"/>
        <v>0</v>
      </c>
      <c r="G100" s="2"/>
    </row>
    <row r="101" spans="1:7" x14ac:dyDescent="0.25">
      <c r="B101" s="4">
        <v>45674</v>
      </c>
      <c r="C101" s="2" t="s">
        <v>3165</v>
      </c>
      <c r="D101" s="2"/>
      <c r="E101" s="23">
        <v>71</v>
      </c>
      <c r="F101" s="2">
        <f t="shared" si="1"/>
        <v>-100.5</v>
      </c>
      <c r="G101" s="2"/>
    </row>
    <row r="102" spans="1:7" x14ac:dyDescent="0.25">
      <c r="B102" s="4">
        <v>45675</v>
      </c>
      <c r="C102" s="2" t="s">
        <v>3175</v>
      </c>
      <c r="D102" s="2"/>
      <c r="E102" s="23">
        <v>155</v>
      </c>
      <c r="F102" s="2">
        <f t="shared" si="1"/>
        <v>84</v>
      </c>
      <c r="G102" s="2"/>
    </row>
    <row r="103" spans="1:7" x14ac:dyDescent="0.25">
      <c r="A103" s="24">
        <v>1</v>
      </c>
      <c r="B103" s="4">
        <v>45676</v>
      </c>
      <c r="C103" s="2"/>
      <c r="D103" s="2"/>
      <c r="E103" s="23">
        <v>155</v>
      </c>
      <c r="F103" s="2">
        <f t="shared" si="1"/>
        <v>0</v>
      </c>
      <c r="G103" s="2"/>
    </row>
    <row r="104" spans="1:7" x14ac:dyDescent="0.25">
      <c r="B104" s="4">
        <v>45677</v>
      </c>
      <c r="C104" s="2" t="s">
        <v>3176</v>
      </c>
      <c r="D104" s="2"/>
      <c r="E104" s="23">
        <v>176</v>
      </c>
      <c r="F104" s="2">
        <f t="shared" si="1"/>
        <v>21</v>
      </c>
      <c r="G104" s="2"/>
    </row>
    <row r="105" spans="1:7" x14ac:dyDescent="0.25">
      <c r="B105" s="4">
        <v>45678</v>
      </c>
      <c r="C105" s="2" t="s">
        <v>3186</v>
      </c>
      <c r="D105" s="2" t="s">
        <v>3187</v>
      </c>
      <c r="E105" s="23">
        <v>181</v>
      </c>
      <c r="F105" s="2">
        <f t="shared" si="1"/>
        <v>5</v>
      </c>
      <c r="G105" s="2"/>
    </row>
    <row r="106" spans="1:7" x14ac:dyDescent="0.25">
      <c r="B106" s="4">
        <v>45679</v>
      </c>
      <c r="C106" s="2" t="s">
        <v>1388</v>
      </c>
      <c r="D106" s="2"/>
      <c r="E106" s="23">
        <v>181</v>
      </c>
      <c r="F106" s="2">
        <f t="shared" si="1"/>
        <v>0</v>
      </c>
      <c r="G106" s="2"/>
    </row>
    <row r="107" spans="1:7" x14ac:dyDescent="0.25">
      <c r="B107" s="4">
        <v>45680</v>
      </c>
      <c r="C107" s="2" t="s">
        <v>1388</v>
      </c>
      <c r="D107" s="2"/>
      <c r="E107" s="23">
        <v>181</v>
      </c>
      <c r="F107" s="2">
        <f t="shared" si="1"/>
        <v>0</v>
      </c>
      <c r="G107" s="2"/>
    </row>
    <row r="108" spans="1:7" x14ac:dyDescent="0.25">
      <c r="A108" s="24">
        <v>1</v>
      </c>
      <c r="B108" s="4">
        <v>45681</v>
      </c>
      <c r="C108" s="2" t="s">
        <v>3234</v>
      </c>
      <c r="D108" s="2"/>
      <c r="E108" s="23">
        <v>181</v>
      </c>
      <c r="F108" s="2">
        <f t="shared" si="1"/>
        <v>0</v>
      </c>
      <c r="G108" s="2"/>
    </row>
    <row r="109" spans="1:7" x14ac:dyDescent="0.25">
      <c r="A109" s="24">
        <v>1</v>
      </c>
      <c r="B109" s="4">
        <v>45682</v>
      </c>
      <c r="C109" s="2" t="s">
        <v>3234</v>
      </c>
      <c r="D109" s="2"/>
      <c r="E109" s="23">
        <v>181</v>
      </c>
      <c r="F109" s="2">
        <f t="shared" si="1"/>
        <v>0</v>
      </c>
      <c r="G109" s="2"/>
    </row>
    <row r="110" spans="1:7" x14ac:dyDescent="0.25">
      <c r="A110" s="24">
        <v>1</v>
      </c>
      <c r="B110" s="4">
        <v>45683</v>
      </c>
      <c r="C110" s="2" t="s">
        <v>3234</v>
      </c>
      <c r="D110" s="2"/>
      <c r="E110" s="23">
        <v>181</v>
      </c>
      <c r="F110" s="2">
        <f t="shared" si="1"/>
        <v>0</v>
      </c>
      <c r="G110" s="2"/>
    </row>
    <row r="111" spans="1:7" x14ac:dyDescent="0.25">
      <c r="B111" s="4">
        <v>45684</v>
      </c>
      <c r="C111" s="2" t="s">
        <v>3241</v>
      </c>
      <c r="D111" s="2"/>
      <c r="E111" s="23">
        <v>181</v>
      </c>
      <c r="F111" s="2">
        <f t="shared" si="1"/>
        <v>0</v>
      </c>
      <c r="G111" s="2"/>
    </row>
    <row r="112" spans="1:7" x14ac:dyDescent="0.25">
      <c r="B112" s="4">
        <v>45685</v>
      </c>
      <c r="C112" s="2" t="s">
        <v>3242</v>
      </c>
      <c r="D112" s="2"/>
      <c r="E112" s="23">
        <v>181</v>
      </c>
      <c r="F112" s="2">
        <f t="shared" si="1"/>
        <v>0</v>
      </c>
      <c r="G112" s="2"/>
    </row>
    <row r="113" spans="2:7" x14ac:dyDescent="0.25">
      <c r="B113" s="4">
        <v>45686</v>
      </c>
      <c r="C113" s="2" t="s">
        <v>3242</v>
      </c>
      <c r="D113" s="2"/>
      <c r="E113" s="23">
        <v>181</v>
      </c>
      <c r="F113" s="2">
        <f t="shared" si="1"/>
        <v>0</v>
      </c>
      <c r="G113" s="2"/>
    </row>
    <row r="114" spans="2:7" x14ac:dyDescent="0.25">
      <c r="B114" s="4">
        <v>45687</v>
      </c>
      <c r="C114" s="2" t="s">
        <v>1178</v>
      </c>
      <c r="D114" s="2"/>
      <c r="E114" s="23">
        <v>181</v>
      </c>
      <c r="F114" s="2">
        <f t="shared" si="1"/>
        <v>0</v>
      </c>
      <c r="G114" s="2"/>
    </row>
    <row r="115" spans="2:7" x14ac:dyDescent="0.25">
      <c r="B115" s="4">
        <v>45688</v>
      </c>
      <c r="C115" s="2" t="s">
        <v>3242</v>
      </c>
      <c r="D115" s="2"/>
      <c r="E115" s="23">
        <v>181</v>
      </c>
      <c r="F115" s="2">
        <f t="shared" si="1"/>
        <v>0</v>
      </c>
      <c r="G115" s="2"/>
    </row>
    <row r="116" spans="2:7" x14ac:dyDescent="0.25">
      <c r="B116" s="4">
        <v>45689</v>
      </c>
      <c r="C116" s="2" t="s">
        <v>3242</v>
      </c>
      <c r="D116" s="2"/>
      <c r="E116" s="23">
        <v>181</v>
      </c>
      <c r="F116" s="2">
        <f t="shared" si="1"/>
        <v>0</v>
      </c>
      <c r="G116" s="2"/>
    </row>
    <row r="117" spans="2:7" x14ac:dyDescent="0.25">
      <c r="B117" s="4">
        <v>45690</v>
      </c>
      <c r="C117" s="2" t="s">
        <v>1166</v>
      </c>
      <c r="D117" s="2"/>
      <c r="E117" s="23">
        <v>181</v>
      </c>
      <c r="F117" s="2">
        <f t="shared" si="1"/>
        <v>0</v>
      </c>
      <c r="G117" s="2"/>
    </row>
    <row r="118" spans="2:7" x14ac:dyDescent="0.25">
      <c r="B118" s="4">
        <v>45691</v>
      </c>
      <c r="C118" s="2" t="s">
        <v>1166</v>
      </c>
      <c r="D118" s="2"/>
      <c r="E118" s="23">
        <v>181</v>
      </c>
      <c r="F118" s="2">
        <f t="shared" si="1"/>
        <v>0</v>
      </c>
      <c r="G118" s="2"/>
    </row>
    <row r="119" spans="2:7" x14ac:dyDescent="0.25">
      <c r="B119" s="4"/>
      <c r="C119" s="2"/>
      <c r="D119" s="2"/>
      <c r="E119" s="23">
        <v>181</v>
      </c>
      <c r="F119" s="2">
        <f t="shared" si="1"/>
        <v>0</v>
      </c>
      <c r="G119" s="2"/>
    </row>
    <row r="120" spans="2:7" x14ac:dyDescent="0.25">
      <c r="B120" s="4"/>
      <c r="C120" s="2"/>
      <c r="D120" s="2"/>
      <c r="E120" s="23"/>
      <c r="F120" s="2">
        <f t="shared" si="1"/>
        <v>-181</v>
      </c>
      <c r="G120" s="2"/>
    </row>
    <row r="121" spans="2:7" x14ac:dyDescent="0.25">
      <c r="B121" s="4"/>
      <c r="C121" s="2"/>
      <c r="D121" s="2"/>
      <c r="E121" s="23"/>
      <c r="F121" s="2"/>
      <c r="G121" s="2"/>
    </row>
    <row r="122" spans="2:7" x14ac:dyDescent="0.25">
      <c r="B122" s="4"/>
      <c r="C122" s="2"/>
      <c r="D122" s="2"/>
      <c r="E122" s="23"/>
      <c r="F122" s="2"/>
      <c r="G122" s="2"/>
    </row>
    <row r="123" spans="2:7" x14ac:dyDescent="0.25">
      <c r="B123" s="2"/>
      <c r="C123" s="2"/>
      <c r="D123" s="2"/>
      <c r="E123" s="23"/>
      <c r="F123" s="2"/>
      <c r="G123" s="2"/>
    </row>
    <row r="124" spans="2:7" x14ac:dyDescent="0.25">
      <c r="B124" s="2"/>
      <c r="C124" s="2"/>
      <c r="D124" s="2"/>
      <c r="E124" s="23"/>
      <c r="F124" s="2"/>
      <c r="G124" s="2"/>
    </row>
    <row r="125" spans="2:7" x14ac:dyDescent="0.25">
      <c r="B125" s="2"/>
      <c r="C125" s="2"/>
      <c r="D125" s="2"/>
      <c r="E125" s="23"/>
      <c r="F125" s="2"/>
      <c r="G125" s="2"/>
    </row>
    <row r="126" spans="2:7" x14ac:dyDescent="0.25">
      <c r="B126" s="2"/>
      <c r="C126" s="2"/>
      <c r="D126" s="2"/>
      <c r="E126" s="23"/>
      <c r="F126" s="2"/>
      <c r="G126" s="2"/>
    </row>
    <row r="127" spans="2:7" x14ac:dyDescent="0.25">
      <c r="B127" s="2"/>
      <c r="C127" s="2"/>
      <c r="D127" s="2"/>
      <c r="E127" s="23"/>
      <c r="F127" s="2"/>
      <c r="G127" s="2"/>
    </row>
    <row r="128" spans="2:7" x14ac:dyDescent="0.25">
      <c r="B128" s="2"/>
      <c r="C128" s="2"/>
      <c r="D128" s="2"/>
      <c r="E128" s="2"/>
      <c r="F128" s="2"/>
      <c r="G128" s="2"/>
    </row>
    <row r="129" spans="2:7" x14ac:dyDescent="0.25">
      <c r="B129" s="2"/>
      <c r="C129" s="2"/>
      <c r="D129" s="2"/>
      <c r="E129" s="2"/>
      <c r="F129" s="2"/>
      <c r="G129" s="2"/>
    </row>
    <row r="130" spans="2:7" x14ac:dyDescent="0.25">
      <c r="B130" s="2"/>
      <c r="C130" s="2"/>
      <c r="D130" s="2"/>
      <c r="E130" s="2"/>
      <c r="F130" s="2"/>
      <c r="G130" s="2"/>
    </row>
    <row r="131" spans="2:7" x14ac:dyDescent="0.25">
      <c r="B131" s="2"/>
      <c r="C131" s="2"/>
      <c r="D131" s="2"/>
      <c r="E131" s="2"/>
      <c r="F131" s="2"/>
      <c r="G131" s="2"/>
    </row>
    <row r="132" spans="2:7" x14ac:dyDescent="0.25">
      <c r="B132" s="2"/>
      <c r="C132" s="2"/>
      <c r="D132" s="2"/>
      <c r="E132" s="2"/>
      <c r="F132" s="2"/>
      <c r="G132" s="2"/>
    </row>
    <row r="133" spans="2:7" x14ac:dyDescent="0.25">
      <c r="B133" s="4">
        <v>45773</v>
      </c>
      <c r="C133" s="2"/>
      <c r="D133" s="2"/>
      <c r="E133" s="2"/>
      <c r="F133" s="2"/>
      <c r="G133" s="2"/>
    </row>
    <row r="134" spans="2:7" x14ac:dyDescent="0.25">
      <c r="B134" s="4">
        <v>45774</v>
      </c>
      <c r="C134" s="2"/>
      <c r="D134" s="2"/>
      <c r="E134" s="2"/>
      <c r="F134" s="2"/>
      <c r="G134" s="2"/>
    </row>
    <row r="135" spans="2:7" x14ac:dyDescent="0.25">
      <c r="B135" s="4">
        <v>45775</v>
      </c>
      <c r="C135" s="2"/>
      <c r="D135" s="2"/>
      <c r="E135" s="2"/>
      <c r="F135" s="2"/>
      <c r="G135" s="2"/>
    </row>
    <row r="136" spans="2:7" x14ac:dyDescent="0.25">
      <c r="B136" s="4">
        <v>45776</v>
      </c>
      <c r="C136" s="2"/>
      <c r="D136" s="2"/>
      <c r="E136" s="2"/>
      <c r="F136" s="2"/>
      <c r="G136" s="2"/>
    </row>
    <row r="137" spans="2:7" x14ac:dyDescent="0.25">
      <c r="B137" s="4">
        <v>45777</v>
      </c>
      <c r="C137" s="2"/>
      <c r="D137" s="2"/>
      <c r="E137" s="2"/>
      <c r="F137" s="2"/>
      <c r="G137" s="2"/>
    </row>
    <row r="138" spans="2:7" x14ac:dyDescent="0.25">
      <c r="B138" s="4">
        <v>45778</v>
      </c>
      <c r="C138" s="2" t="s">
        <v>3867</v>
      </c>
      <c r="D138" s="2"/>
      <c r="E138" s="2"/>
      <c r="F138" s="2"/>
      <c r="G138" s="2"/>
    </row>
    <row r="139" spans="2:7" x14ac:dyDescent="0.25">
      <c r="B139" s="4">
        <v>45779</v>
      </c>
      <c r="C139" s="2" t="s">
        <v>3866</v>
      </c>
      <c r="D139" s="2"/>
      <c r="E139" s="2"/>
      <c r="F139" s="2"/>
      <c r="G139" s="2"/>
    </row>
    <row r="140" spans="2:7" x14ac:dyDescent="0.25">
      <c r="B140" s="4">
        <v>45780</v>
      </c>
      <c r="C140" s="2"/>
      <c r="D140" s="2"/>
      <c r="E140" s="2"/>
      <c r="F140" s="2"/>
      <c r="G140" s="2"/>
    </row>
    <row r="141" spans="2:7" x14ac:dyDescent="0.25">
      <c r="B141" s="4">
        <v>45781</v>
      </c>
      <c r="C141" s="2" t="s">
        <v>3865</v>
      </c>
      <c r="D141" s="2"/>
      <c r="E141" s="2"/>
      <c r="F141" s="2"/>
      <c r="G141" s="2"/>
    </row>
    <row r="142" spans="2:7" x14ac:dyDescent="0.25">
      <c r="B142" s="4">
        <v>45782</v>
      </c>
      <c r="C142" s="2"/>
      <c r="D142" s="2"/>
      <c r="E142" s="2"/>
      <c r="F142" s="2"/>
      <c r="G142" s="2"/>
    </row>
    <row r="143" spans="2:7" x14ac:dyDescent="0.25">
      <c r="B143" s="4">
        <v>45783</v>
      </c>
      <c r="C143" s="2"/>
      <c r="D143" s="2"/>
      <c r="E143" s="2"/>
      <c r="F143" s="2"/>
      <c r="G143" s="2"/>
    </row>
    <row r="144" spans="2:7" x14ac:dyDescent="0.25">
      <c r="B144" s="4">
        <v>45784</v>
      </c>
      <c r="C144" s="2" t="s">
        <v>3864</v>
      </c>
      <c r="D144" s="2"/>
      <c r="E144" s="2"/>
      <c r="F144" s="2"/>
      <c r="G144" s="2"/>
    </row>
    <row r="145" spans="2:7" x14ac:dyDescent="0.25">
      <c r="B145" s="4">
        <v>45785</v>
      </c>
      <c r="C145" s="2" t="s">
        <v>3864</v>
      </c>
      <c r="D145" s="2"/>
      <c r="E145" s="2"/>
      <c r="F145" s="2"/>
      <c r="G145" s="2"/>
    </row>
    <row r="146" spans="2:7" x14ac:dyDescent="0.25">
      <c r="B146" s="4">
        <v>45786</v>
      </c>
      <c r="C146" s="2" t="s">
        <v>3864</v>
      </c>
      <c r="D146" s="2"/>
      <c r="E146" s="2"/>
      <c r="F146" s="2"/>
      <c r="G146" s="2"/>
    </row>
    <row r="147" spans="2:7" x14ac:dyDescent="0.25">
      <c r="B147" s="4">
        <v>45787</v>
      </c>
      <c r="C147" s="2" t="s">
        <v>3864</v>
      </c>
      <c r="D147" s="2"/>
      <c r="E147" s="2"/>
      <c r="F147" s="2"/>
      <c r="G147" s="2"/>
    </row>
    <row r="148" spans="2:7" x14ac:dyDescent="0.25">
      <c r="B148" s="4">
        <v>45788</v>
      </c>
      <c r="C148" s="2" t="s">
        <v>3864</v>
      </c>
      <c r="D148" s="2"/>
      <c r="E148" s="2"/>
      <c r="F148" s="2"/>
      <c r="G148" s="2"/>
    </row>
    <row r="149" spans="2:7" x14ac:dyDescent="0.25">
      <c r="B149" s="4">
        <v>45789</v>
      </c>
      <c r="C149" s="2" t="s">
        <v>3896</v>
      </c>
      <c r="D149" s="2"/>
      <c r="E149" s="2"/>
      <c r="F149" s="2"/>
      <c r="G149" s="2"/>
    </row>
    <row r="150" spans="2:7" x14ac:dyDescent="0.25">
      <c r="B150" s="4">
        <v>45790</v>
      </c>
      <c r="C150" s="2" t="s">
        <v>3906</v>
      </c>
      <c r="D150" s="2"/>
      <c r="E150" s="2"/>
      <c r="F150" s="2"/>
      <c r="G150" s="2"/>
    </row>
    <row r="151" spans="2:7" x14ac:dyDescent="0.25">
      <c r="B151" s="4">
        <v>45791</v>
      </c>
      <c r="C151" s="2" t="s">
        <v>3915</v>
      </c>
      <c r="D151" s="2"/>
      <c r="E151" s="2"/>
      <c r="F151" s="2"/>
      <c r="G151" s="2"/>
    </row>
    <row r="152" spans="2:7" x14ac:dyDescent="0.25">
      <c r="B152" s="4">
        <v>45792</v>
      </c>
      <c r="C152" s="2" t="s">
        <v>3934</v>
      </c>
      <c r="D152" s="2"/>
      <c r="E152" s="2"/>
      <c r="F152" s="2"/>
      <c r="G152" s="2"/>
    </row>
    <row r="153" spans="2:7" x14ac:dyDescent="0.25">
      <c r="B153" s="4">
        <v>45793</v>
      </c>
      <c r="C153" s="2" t="s">
        <v>3945</v>
      </c>
      <c r="D153" s="2"/>
      <c r="E153" s="2"/>
      <c r="F153" s="2"/>
      <c r="G153" s="2"/>
    </row>
    <row r="154" spans="2:7" x14ac:dyDescent="0.25">
      <c r="B154" s="4">
        <v>45794</v>
      </c>
      <c r="C154" s="2" t="s">
        <v>3945</v>
      </c>
      <c r="D154" s="2"/>
      <c r="E154" s="2"/>
      <c r="F154" s="2"/>
      <c r="G154" s="2"/>
    </row>
    <row r="155" spans="2:7" x14ac:dyDescent="0.25">
      <c r="B155" s="4">
        <v>45795</v>
      </c>
      <c r="C155" s="2" t="s">
        <v>3960</v>
      </c>
      <c r="D155" s="2"/>
      <c r="E155" s="2"/>
      <c r="F155" s="2"/>
      <c r="G155" s="2"/>
    </row>
    <row r="156" spans="2:7" x14ac:dyDescent="0.25">
      <c r="B156" s="4">
        <v>45796</v>
      </c>
      <c r="C156" s="2" t="s">
        <v>3991</v>
      </c>
      <c r="D156" s="2"/>
      <c r="E156" s="2"/>
      <c r="F156" s="2"/>
      <c r="G156" s="2"/>
    </row>
    <row r="157" spans="2:7" x14ac:dyDescent="0.25">
      <c r="B157" s="4">
        <v>45797</v>
      </c>
      <c r="C157" s="2"/>
      <c r="D157" s="2"/>
      <c r="E157" s="2"/>
      <c r="F157" s="2"/>
      <c r="G157" s="2"/>
    </row>
    <row r="158" spans="2:7" x14ac:dyDescent="0.25">
      <c r="B158" s="4">
        <v>45798</v>
      </c>
      <c r="C158" s="2" t="s">
        <v>4008</v>
      </c>
      <c r="D158" s="2"/>
      <c r="E158" s="2"/>
      <c r="F158" s="2"/>
      <c r="G158" s="2"/>
    </row>
    <row r="159" spans="2:7" x14ac:dyDescent="0.25">
      <c r="B159" s="4">
        <v>45799</v>
      </c>
      <c r="C159" s="2" t="s">
        <v>4012</v>
      </c>
      <c r="D159" s="2"/>
      <c r="E159" s="2"/>
      <c r="F159" s="2"/>
      <c r="G159" s="2"/>
    </row>
    <row r="160" spans="2:7" x14ac:dyDescent="0.25">
      <c r="B160" s="4">
        <v>45800</v>
      </c>
      <c r="C160" s="2"/>
      <c r="D160" s="2"/>
      <c r="E160" s="2"/>
      <c r="F160" s="2"/>
      <c r="G160" s="2"/>
    </row>
    <row r="161" spans="2:7" x14ac:dyDescent="0.25">
      <c r="B161" s="4">
        <v>45801</v>
      </c>
      <c r="C161" s="2"/>
      <c r="D161" s="2"/>
      <c r="E161" s="2"/>
      <c r="F161" s="2"/>
      <c r="G161" s="2"/>
    </row>
    <row r="162" spans="2:7" x14ac:dyDescent="0.25">
      <c r="B162" s="4">
        <v>45802</v>
      </c>
      <c r="C162" s="2" t="s">
        <v>1418</v>
      </c>
      <c r="D162" s="2"/>
      <c r="E162" s="2"/>
      <c r="F162" s="2"/>
      <c r="G162" s="2"/>
    </row>
    <row r="163" spans="2:7" ht="30" x14ac:dyDescent="0.25">
      <c r="B163" s="4">
        <v>45803</v>
      </c>
      <c r="C163" s="30" t="s">
        <v>4038</v>
      </c>
      <c r="D163" s="2"/>
      <c r="E163" s="2"/>
      <c r="F163" s="2"/>
      <c r="G163" s="2"/>
    </row>
    <row r="164" spans="2:7" x14ac:dyDescent="0.25">
      <c r="B164" s="4">
        <v>45804</v>
      </c>
      <c r="C164" s="2" t="s">
        <v>4048</v>
      </c>
      <c r="D164" s="2"/>
      <c r="E164" s="2"/>
      <c r="F164" s="2"/>
      <c r="G164" s="2"/>
    </row>
    <row r="165" spans="2:7" x14ac:dyDescent="0.25">
      <c r="B165" s="4">
        <v>45805</v>
      </c>
      <c r="C165" s="2" t="s">
        <v>4072</v>
      </c>
      <c r="D165" s="2"/>
      <c r="E165" s="2"/>
      <c r="F165" s="2"/>
      <c r="G165" s="2"/>
    </row>
    <row r="166" spans="2:7" x14ac:dyDescent="0.25">
      <c r="B166" s="4">
        <v>45806</v>
      </c>
      <c r="C166" s="2"/>
      <c r="D166" s="2"/>
      <c r="E166" s="2"/>
      <c r="F166" s="2"/>
      <c r="G166" s="2"/>
    </row>
    <row r="167" spans="2:7" x14ac:dyDescent="0.25">
      <c r="B167" s="4">
        <v>45807</v>
      </c>
      <c r="C167" s="2" t="s">
        <v>4082</v>
      </c>
      <c r="D167" s="2"/>
      <c r="E167" s="2"/>
      <c r="F167" s="2"/>
      <c r="G167" s="2"/>
    </row>
    <row r="168" spans="2:7" x14ac:dyDescent="0.25">
      <c r="B168" s="4">
        <v>45808</v>
      </c>
      <c r="C168" s="2" t="s">
        <v>4086</v>
      </c>
      <c r="D168" s="30" t="s">
        <v>4084</v>
      </c>
      <c r="E168" s="2"/>
      <c r="F168" s="2"/>
      <c r="G168" s="2"/>
    </row>
    <row r="169" spans="2:7" x14ac:dyDescent="0.25">
      <c r="B169" s="4">
        <v>45809</v>
      </c>
      <c r="C169" s="2" t="s">
        <v>4086</v>
      </c>
      <c r="D169" s="2" t="s">
        <v>4085</v>
      </c>
      <c r="E169" s="2"/>
      <c r="F169" s="2"/>
      <c r="G169" s="2"/>
    </row>
    <row r="170" spans="2:7" x14ac:dyDescent="0.25">
      <c r="B170" s="4">
        <v>45810</v>
      </c>
      <c r="C170" s="2" t="s">
        <v>4128</v>
      </c>
      <c r="D170" s="2" t="s">
        <v>4106</v>
      </c>
      <c r="E170" s="2"/>
      <c r="F170" s="2"/>
      <c r="G170" s="2"/>
    </row>
    <row r="171" spans="2:7" x14ac:dyDescent="0.25">
      <c r="B171" s="4">
        <v>45811</v>
      </c>
      <c r="C171" s="2" t="s">
        <v>4141</v>
      </c>
      <c r="D171" s="2"/>
      <c r="E171" s="2"/>
      <c r="F171" s="2"/>
      <c r="G171" s="2"/>
    </row>
    <row r="172" spans="2:7" x14ac:dyDescent="0.25">
      <c r="B172" s="4">
        <v>45812</v>
      </c>
      <c r="C172" s="2" t="s">
        <v>4143</v>
      </c>
      <c r="D172" s="2" t="s">
        <v>4152</v>
      </c>
      <c r="E172" s="2"/>
      <c r="F172" s="2"/>
      <c r="G172" s="2"/>
    </row>
    <row r="173" spans="2:7" x14ac:dyDescent="0.25">
      <c r="B173" s="4">
        <v>45813</v>
      </c>
      <c r="C173" s="2"/>
      <c r="D173" s="2"/>
      <c r="E173" s="2"/>
      <c r="F173" s="2"/>
      <c r="G173" s="2"/>
    </row>
    <row r="174" spans="2:7" x14ac:dyDescent="0.25">
      <c r="B174" s="4">
        <v>45814</v>
      </c>
      <c r="C174" s="2"/>
      <c r="D174" s="2"/>
      <c r="E174" s="2"/>
      <c r="F174" s="2"/>
      <c r="G174" s="2"/>
    </row>
    <row r="175" spans="2:7" x14ac:dyDescent="0.25">
      <c r="B175" s="4">
        <v>45815</v>
      </c>
      <c r="C175" s="2"/>
      <c r="D175" s="2"/>
      <c r="E175" s="2"/>
      <c r="F175" s="2"/>
      <c r="G175" s="2"/>
    </row>
    <row r="176" spans="2:7" x14ac:dyDescent="0.25">
      <c r="B176" s="4">
        <v>45816</v>
      </c>
      <c r="C176" s="2"/>
      <c r="D176" s="2"/>
      <c r="E176" s="2"/>
      <c r="F176" s="2"/>
      <c r="G176" s="2"/>
    </row>
    <row r="177" spans="2:7" x14ac:dyDescent="0.25">
      <c r="B177" s="4">
        <v>45817</v>
      </c>
      <c r="C177" s="2"/>
      <c r="D177" s="2"/>
      <c r="E177" s="2"/>
      <c r="F177" s="2"/>
      <c r="G177" s="2"/>
    </row>
    <row r="178" spans="2:7" x14ac:dyDescent="0.25">
      <c r="B178" s="4">
        <v>45818</v>
      </c>
      <c r="C178" s="2"/>
      <c r="D178" s="2"/>
      <c r="E178" s="2"/>
      <c r="F178" s="2"/>
      <c r="G178" s="2"/>
    </row>
    <row r="179" spans="2:7" x14ac:dyDescent="0.25">
      <c r="B179" s="4">
        <v>45819</v>
      </c>
      <c r="C179" s="2"/>
      <c r="D179" s="2"/>
      <c r="E179" s="2"/>
      <c r="F179" s="2"/>
      <c r="G179" s="2"/>
    </row>
    <row r="180" spans="2:7" x14ac:dyDescent="0.25">
      <c r="B180" s="4">
        <v>45820</v>
      </c>
      <c r="C180" s="2"/>
      <c r="D180" s="2"/>
      <c r="E180" s="2"/>
      <c r="F180" s="2"/>
      <c r="G180" s="2"/>
    </row>
    <row r="181" spans="2:7" x14ac:dyDescent="0.25">
      <c r="B181" s="4">
        <v>45821</v>
      </c>
      <c r="C181" s="2"/>
      <c r="D181" s="2"/>
      <c r="E181" s="2"/>
      <c r="F181" s="2"/>
      <c r="G181" s="2"/>
    </row>
    <row r="182" spans="2:7" x14ac:dyDescent="0.25">
      <c r="B182" s="4">
        <v>45822</v>
      </c>
      <c r="C182" s="2"/>
      <c r="D182" s="2"/>
      <c r="E182" s="2"/>
      <c r="F182" s="2"/>
      <c r="G182" s="2"/>
    </row>
    <row r="183" spans="2:7" x14ac:dyDescent="0.25">
      <c r="B183" s="4">
        <v>45823</v>
      </c>
      <c r="C183" s="2"/>
      <c r="D183" s="2"/>
      <c r="E183" s="2"/>
      <c r="F183" s="2"/>
      <c r="G183" s="2"/>
    </row>
    <row r="184" spans="2:7" x14ac:dyDescent="0.25">
      <c r="B184" s="4">
        <v>45824</v>
      </c>
      <c r="C184" s="2"/>
      <c r="D184" s="2"/>
      <c r="E184" s="2"/>
      <c r="F184" s="2"/>
      <c r="G184" s="2"/>
    </row>
    <row r="185" spans="2:7" x14ac:dyDescent="0.25">
      <c r="B185" s="4">
        <v>45825</v>
      </c>
      <c r="C185" s="2"/>
      <c r="D185" s="2"/>
      <c r="E185" s="2"/>
      <c r="F185" s="2"/>
      <c r="G185" s="2"/>
    </row>
    <row r="186" spans="2:7" x14ac:dyDescent="0.25">
      <c r="B186" s="4">
        <v>45826</v>
      </c>
      <c r="C186" s="2"/>
      <c r="D186" s="2"/>
      <c r="E186" s="2"/>
      <c r="F186" s="2"/>
      <c r="G186" s="2"/>
    </row>
    <row r="187" spans="2:7" x14ac:dyDescent="0.25">
      <c r="B187" s="4">
        <v>45827</v>
      </c>
      <c r="C187" s="2" t="s">
        <v>4340</v>
      </c>
      <c r="D187" s="2"/>
      <c r="E187" s="2"/>
      <c r="F187" s="2"/>
      <c r="G187" s="2"/>
    </row>
    <row r="188" spans="2:7" x14ac:dyDescent="0.25">
      <c r="B188" s="4">
        <v>45828</v>
      </c>
      <c r="C188" s="2" t="s">
        <v>4342</v>
      </c>
      <c r="D188" s="2"/>
      <c r="E188" s="2"/>
      <c r="F188" s="2"/>
      <c r="G188" s="2"/>
    </row>
    <row r="189" spans="2:7" x14ac:dyDescent="0.25">
      <c r="B189" s="4">
        <v>45829</v>
      </c>
      <c r="C189" s="2"/>
      <c r="D189" s="2"/>
      <c r="E189" s="2"/>
      <c r="F189" s="2"/>
      <c r="G189" s="2"/>
    </row>
    <row r="190" spans="2:7" x14ac:dyDescent="0.25">
      <c r="B190" s="4">
        <v>45830</v>
      </c>
      <c r="C190" s="2"/>
      <c r="D190" s="2"/>
      <c r="E190" s="2"/>
      <c r="F190" s="2"/>
      <c r="G190" s="2"/>
    </row>
    <row r="191" spans="2:7" x14ac:dyDescent="0.25">
      <c r="B191" s="4">
        <v>45831</v>
      </c>
      <c r="C191" s="2" t="s">
        <v>3565</v>
      </c>
      <c r="D191" s="2"/>
      <c r="E191" s="2"/>
      <c r="F191" s="2"/>
      <c r="G191" s="2"/>
    </row>
    <row r="192" spans="2:7" x14ac:dyDescent="0.25">
      <c r="B192" s="2"/>
      <c r="C192" s="2"/>
      <c r="D192" s="2"/>
      <c r="E192" s="2"/>
      <c r="F192" s="2"/>
      <c r="G192" s="2"/>
    </row>
    <row r="193" spans="2:7" x14ac:dyDescent="0.25">
      <c r="B193" s="2"/>
      <c r="C193" s="2"/>
      <c r="D193" s="2"/>
      <c r="E193" s="2"/>
      <c r="F193" s="2"/>
      <c r="G193" s="2"/>
    </row>
    <row r="194" spans="2:7" x14ac:dyDescent="0.25">
      <c r="B194" s="2"/>
      <c r="C194" s="2"/>
      <c r="D194" s="2"/>
      <c r="E194" s="2"/>
      <c r="F194" s="2"/>
      <c r="G194" s="2"/>
    </row>
    <row r="195" spans="2:7" x14ac:dyDescent="0.25">
      <c r="B195" s="2"/>
      <c r="C195" s="2"/>
      <c r="D195" s="2"/>
      <c r="E195" s="2"/>
      <c r="F195" s="2"/>
      <c r="G195" s="2"/>
    </row>
    <row r="196" spans="2:7" x14ac:dyDescent="0.25">
      <c r="B196" s="2"/>
      <c r="C196" s="2"/>
      <c r="D196" s="2"/>
      <c r="E196" s="2"/>
      <c r="F196" s="2"/>
      <c r="G196" s="2"/>
    </row>
    <row r="197" spans="2:7" x14ac:dyDescent="0.25">
      <c r="B197" s="2"/>
      <c r="C197" s="2"/>
      <c r="D197" s="2"/>
      <c r="E197" s="2"/>
      <c r="F197" s="2"/>
      <c r="G197" s="2"/>
    </row>
    <row r="198" spans="2:7" x14ac:dyDescent="0.25">
      <c r="B198" s="2"/>
      <c r="C198" s="2"/>
      <c r="D198" s="2"/>
      <c r="E198" s="2"/>
      <c r="F198" s="2"/>
      <c r="G198" s="2"/>
    </row>
    <row r="199" spans="2:7" x14ac:dyDescent="0.25">
      <c r="B199" s="2"/>
      <c r="C199" s="2"/>
      <c r="D199" s="2"/>
      <c r="E199" s="2"/>
      <c r="F199" s="2"/>
      <c r="G199" s="2"/>
    </row>
    <row r="200" spans="2:7" x14ac:dyDescent="0.25">
      <c r="B200" s="2"/>
      <c r="C200" s="2"/>
      <c r="D200" s="2"/>
      <c r="E200" s="2"/>
      <c r="F200" s="2"/>
      <c r="G200" s="2"/>
    </row>
    <row r="201" spans="2:7" x14ac:dyDescent="0.25">
      <c r="B201" s="2"/>
      <c r="C201" s="2"/>
      <c r="D201" s="2"/>
      <c r="E201" s="2"/>
      <c r="F201" s="2"/>
      <c r="G201" s="2"/>
    </row>
    <row r="202" spans="2:7" x14ac:dyDescent="0.25">
      <c r="B202" s="2"/>
      <c r="C202" s="2"/>
      <c r="D202" s="2"/>
      <c r="E202" s="2"/>
      <c r="F202" s="2"/>
      <c r="G202" s="2"/>
    </row>
    <row r="203" spans="2:7" x14ac:dyDescent="0.25">
      <c r="B203" s="2"/>
      <c r="C203" s="2"/>
      <c r="D203" s="2"/>
      <c r="E203" s="2"/>
      <c r="F203" s="2"/>
      <c r="G203" s="2"/>
    </row>
  </sheetData>
  <autoFilter ref="A4:G127" xr:uid="{00000000-0009-0000-0000-000002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7">
    <tabColor theme="4"/>
  </sheetPr>
  <dimension ref="B1:G379"/>
  <sheetViews>
    <sheetView showGridLines="0" zoomScaleNormal="100" workbookViewId="0">
      <pane ySplit="2" topLeftCell="A362" activePane="bottomLeft" state="frozen"/>
      <selection pane="bottomLeft" activeCell="C376" sqref="C376"/>
    </sheetView>
  </sheetViews>
  <sheetFormatPr defaultRowHeight="15" x14ac:dyDescent="0.25"/>
  <cols>
    <col min="2" max="2" width="18" bestFit="1" customWidth="1"/>
    <col min="3" max="3" width="72" bestFit="1" customWidth="1"/>
    <col min="4" max="4" width="53.7109375" bestFit="1" customWidth="1"/>
    <col min="5" max="5" width="11.85546875" bestFit="1" customWidth="1"/>
    <col min="7" max="7" width="11" bestFit="1" customWidth="1"/>
  </cols>
  <sheetData>
    <row r="1" spans="2:7" x14ac:dyDescent="0.25">
      <c r="B1" s="144" t="s">
        <v>4963</v>
      </c>
    </row>
    <row r="2" spans="2:7" ht="15.75" x14ac:dyDescent="0.25">
      <c r="B2" s="10" t="s">
        <v>0</v>
      </c>
      <c r="C2" s="11" t="s">
        <v>1</v>
      </c>
      <c r="D2" s="11" t="s">
        <v>2</v>
      </c>
      <c r="E2" s="11" t="s">
        <v>934</v>
      </c>
      <c r="F2" s="11" t="s">
        <v>1095</v>
      </c>
      <c r="G2" s="11" t="s">
        <v>1507</v>
      </c>
    </row>
    <row r="3" spans="2:7" x14ac:dyDescent="0.25">
      <c r="B3" s="3">
        <v>45472</v>
      </c>
      <c r="C3" s="2" t="s">
        <v>805</v>
      </c>
      <c r="D3" s="2" t="s">
        <v>1050</v>
      </c>
      <c r="E3" s="23"/>
      <c r="F3" s="2"/>
      <c r="G3" s="2"/>
    </row>
    <row r="4" spans="2:7" x14ac:dyDescent="0.25">
      <c r="B4" s="3">
        <v>45473</v>
      </c>
      <c r="C4" s="2" t="s">
        <v>918</v>
      </c>
      <c r="D4" s="2"/>
      <c r="E4" s="23"/>
      <c r="F4" s="2"/>
      <c r="G4" s="2"/>
    </row>
    <row r="5" spans="2:7" x14ac:dyDescent="0.25">
      <c r="B5" s="3">
        <v>45474</v>
      </c>
      <c r="C5" s="2" t="s">
        <v>953</v>
      </c>
      <c r="D5" s="2"/>
      <c r="E5" s="23"/>
      <c r="F5" s="2"/>
      <c r="G5" s="2"/>
    </row>
    <row r="6" spans="2:7" x14ac:dyDescent="0.25">
      <c r="B6" s="3">
        <v>45475</v>
      </c>
      <c r="C6" s="2" t="s">
        <v>976</v>
      </c>
      <c r="D6" s="2"/>
      <c r="E6" s="23">
        <v>8</v>
      </c>
      <c r="F6" s="2"/>
      <c r="G6" s="2"/>
    </row>
    <row r="7" spans="2:7" x14ac:dyDescent="0.25">
      <c r="B7" s="3">
        <v>45478</v>
      </c>
      <c r="C7" s="2" t="s">
        <v>991</v>
      </c>
      <c r="D7" s="2"/>
      <c r="E7" s="23">
        <v>10</v>
      </c>
      <c r="F7" s="2"/>
      <c r="G7" s="2"/>
    </row>
    <row r="8" spans="2:7" x14ac:dyDescent="0.25">
      <c r="B8" s="3">
        <v>45480</v>
      </c>
      <c r="C8" s="2" t="s">
        <v>1015</v>
      </c>
      <c r="D8" s="2" t="s">
        <v>1020</v>
      </c>
      <c r="E8" s="23">
        <v>9</v>
      </c>
      <c r="F8" s="2"/>
      <c r="G8" s="2"/>
    </row>
    <row r="9" spans="2:7" x14ac:dyDescent="0.25">
      <c r="B9" s="3">
        <v>45481</v>
      </c>
      <c r="C9" s="2" t="s">
        <v>1015</v>
      </c>
      <c r="D9" s="2"/>
      <c r="E9" s="23">
        <v>12</v>
      </c>
      <c r="F9" s="2">
        <f>E9-E8</f>
        <v>3</v>
      </c>
      <c r="G9" s="2"/>
    </row>
    <row r="10" spans="2:7" x14ac:dyDescent="0.25">
      <c r="B10" s="3">
        <v>45482</v>
      </c>
      <c r="C10" s="2" t="s">
        <v>1037</v>
      </c>
      <c r="D10" s="2" t="s">
        <v>1036</v>
      </c>
      <c r="E10" s="23">
        <v>14</v>
      </c>
      <c r="F10" s="2">
        <f t="shared" ref="F10:F73" si="0">E10-E9</f>
        <v>2</v>
      </c>
      <c r="G10" s="2"/>
    </row>
    <row r="11" spans="2:7" x14ac:dyDescent="0.25">
      <c r="B11" s="3">
        <v>45483</v>
      </c>
      <c r="C11" s="2" t="s">
        <v>1046</v>
      </c>
      <c r="D11" s="2" t="s">
        <v>1045</v>
      </c>
      <c r="E11" s="23">
        <v>14.7</v>
      </c>
      <c r="F11" s="2">
        <f t="shared" si="0"/>
        <v>0.69999999999999929</v>
      </c>
      <c r="G11" s="2"/>
    </row>
    <row r="12" spans="2:7" x14ac:dyDescent="0.25">
      <c r="B12" s="3">
        <v>45484</v>
      </c>
      <c r="C12" s="2" t="s">
        <v>1059</v>
      </c>
      <c r="D12" s="2"/>
      <c r="E12" s="23">
        <v>14.7</v>
      </c>
      <c r="F12" s="2">
        <f t="shared" si="0"/>
        <v>0</v>
      </c>
      <c r="G12" s="2"/>
    </row>
    <row r="13" spans="2:7" x14ac:dyDescent="0.25">
      <c r="B13" s="3">
        <v>45484</v>
      </c>
      <c r="C13" s="2" t="s">
        <v>1060</v>
      </c>
      <c r="D13" s="2" t="s">
        <v>1061</v>
      </c>
      <c r="E13" s="23">
        <v>15.5</v>
      </c>
      <c r="F13" s="2">
        <f t="shared" si="0"/>
        <v>0.80000000000000071</v>
      </c>
      <c r="G13" s="2"/>
    </row>
    <row r="14" spans="2:7" x14ac:dyDescent="0.25">
      <c r="B14" s="3">
        <v>45485</v>
      </c>
      <c r="C14" s="2" t="s">
        <v>1124</v>
      </c>
      <c r="D14" s="2" t="s">
        <v>1061</v>
      </c>
      <c r="E14" s="23">
        <v>16.010000000000002</v>
      </c>
      <c r="F14" s="2">
        <f t="shared" si="0"/>
        <v>0.51000000000000156</v>
      </c>
      <c r="G14" s="2"/>
    </row>
    <row r="15" spans="2:7" x14ac:dyDescent="0.25">
      <c r="B15" s="3">
        <v>45486</v>
      </c>
      <c r="C15" s="2" t="s">
        <v>1120</v>
      </c>
      <c r="D15" s="2" t="s">
        <v>1061</v>
      </c>
      <c r="E15" s="23">
        <v>16.559999999999999</v>
      </c>
      <c r="F15" s="2">
        <f t="shared" si="0"/>
        <v>0.54999999999999716</v>
      </c>
      <c r="G15" s="2"/>
    </row>
    <row r="16" spans="2:7" x14ac:dyDescent="0.25">
      <c r="B16" s="3">
        <v>45487</v>
      </c>
      <c r="C16" s="2" t="s">
        <v>1121</v>
      </c>
      <c r="D16" s="2" t="s">
        <v>1061</v>
      </c>
      <c r="E16" s="23">
        <v>17.260000000000002</v>
      </c>
      <c r="F16" s="2">
        <f t="shared" si="0"/>
        <v>0.70000000000000284</v>
      </c>
      <c r="G16" s="2"/>
    </row>
    <row r="17" spans="2:7" x14ac:dyDescent="0.25">
      <c r="B17" s="3">
        <v>45488</v>
      </c>
      <c r="C17" s="2" t="s">
        <v>1127</v>
      </c>
      <c r="D17" s="2" t="s">
        <v>1061</v>
      </c>
      <c r="E17" s="23">
        <v>18.53</v>
      </c>
      <c r="F17" s="2">
        <f t="shared" si="0"/>
        <v>1.2699999999999996</v>
      </c>
      <c r="G17" s="2"/>
    </row>
    <row r="18" spans="2:7" x14ac:dyDescent="0.25">
      <c r="B18" s="3">
        <v>45489</v>
      </c>
      <c r="C18" s="2" t="s">
        <v>1142</v>
      </c>
      <c r="D18" s="2" t="s">
        <v>1061</v>
      </c>
      <c r="E18" s="23">
        <v>19.53</v>
      </c>
      <c r="F18" s="2">
        <f t="shared" si="0"/>
        <v>1</v>
      </c>
      <c r="G18" s="2"/>
    </row>
    <row r="19" spans="2:7" x14ac:dyDescent="0.25">
      <c r="B19" s="3">
        <v>45490</v>
      </c>
      <c r="C19" s="2" t="s">
        <v>1142</v>
      </c>
      <c r="D19" s="2" t="s">
        <v>1061</v>
      </c>
      <c r="E19" s="23">
        <v>20.53</v>
      </c>
      <c r="F19" s="2">
        <f t="shared" si="0"/>
        <v>1</v>
      </c>
      <c r="G19" s="2"/>
    </row>
    <row r="20" spans="2:7" x14ac:dyDescent="0.25">
      <c r="B20" s="3">
        <v>45491</v>
      </c>
      <c r="C20" s="2" t="s">
        <v>1169</v>
      </c>
      <c r="D20" s="2"/>
      <c r="E20" s="23">
        <v>21.16</v>
      </c>
      <c r="F20" s="2">
        <f t="shared" si="0"/>
        <v>0.62999999999999901</v>
      </c>
      <c r="G20" s="2"/>
    </row>
    <row r="21" spans="2:7" x14ac:dyDescent="0.25">
      <c r="B21" s="3">
        <v>45492</v>
      </c>
      <c r="C21" s="2" t="s">
        <v>1173</v>
      </c>
      <c r="D21" s="2" t="s">
        <v>1061</v>
      </c>
      <c r="E21" s="23">
        <v>22.76</v>
      </c>
      <c r="F21" s="2">
        <f t="shared" si="0"/>
        <v>1.6000000000000014</v>
      </c>
      <c r="G21" s="2"/>
    </row>
    <row r="22" spans="2:7" x14ac:dyDescent="0.25">
      <c r="B22" s="3">
        <v>45493</v>
      </c>
      <c r="C22" s="2" t="s">
        <v>1189</v>
      </c>
      <c r="D22" s="2" t="s">
        <v>1061</v>
      </c>
      <c r="E22" s="23">
        <v>24.56</v>
      </c>
      <c r="F22" s="2">
        <f t="shared" si="0"/>
        <v>1.7999999999999972</v>
      </c>
      <c r="G22" s="2"/>
    </row>
    <row r="23" spans="2:7" x14ac:dyDescent="0.25">
      <c r="B23" s="3">
        <v>45494</v>
      </c>
      <c r="C23" s="2" t="s">
        <v>1188</v>
      </c>
      <c r="D23" s="2" t="s">
        <v>1061</v>
      </c>
      <c r="E23" s="23">
        <v>26.66</v>
      </c>
      <c r="F23" s="2">
        <f t="shared" si="0"/>
        <v>2.1000000000000014</v>
      </c>
      <c r="G23" s="2"/>
    </row>
    <row r="24" spans="2:7" x14ac:dyDescent="0.25">
      <c r="B24" s="3">
        <v>45495</v>
      </c>
      <c r="C24" s="2" t="s">
        <v>1208</v>
      </c>
      <c r="D24" s="2" t="s">
        <v>1061</v>
      </c>
      <c r="E24" s="23">
        <v>28.06</v>
      </c>
      <c r="F24" s="2">
        <f t="shared" si="0"/>
        <v>1.3999999999999986</v>
      </c>
      <c r="G24" s="2"/>
    </row>
    <row r="25" spans="2:7" x14ac:dyDescent="0.25">
      <c r="B25" s="3">
        <v>45496</v>
      </c>
      <c r="C25" s="2" t="s">
        <v>1232</v>
      </c>
      <c r="D25" s="2" t="s">
        <v>1061</v>
      </c>
      <c r="E25" s="23">
        <v>30.06</v>
      </c>
      <c r="F25" s="2">
        <f t="shared" si="0"/>
        <v>2</v>
      </c>
      <c r="G25" s="2"/>
    </row>
    <row r="26" spans="2:7" x14ac:dyDescent="0.25">
      <c r="B26" s="3">
        <v>45497</v>
      </c>
      <c r="C26" s="2" t="s">
        <v>1232</v>
      </c>
      <c r="D26" s="2" t="s">
        <v>1061</v>
      </c>
      <c r="E26" s="23">
        <v>32.06</v>
      </c>
      <c r="F26" s="2">
        <f t="shared" si="0"/>
        <v>2.0000000000000036</v>
      </c>
      <c r="G26" s="2"/>
    </row>
    <row r="27" spans="2:7" x14ac:dyDescent="0.25">
      <c r="B27" s="3">
        <v>45498</v>
      </c>
      <c r="C27" s="2" t="s">
        <v>1259</v>
      </c>
      <c r="D27" s="2"/>
      <c r="E27" s="23">
        <v>33.619999999999997</v>
      </c>
      <c r="F27" s="2">
        <f t="shared" si="0"/>
        <v>1.5599999999999952</v>
      </c>
      <c r="G27" s="2"/>
    </row>
    <row r="28" spans="2:7" x14ac:dyDescent="0.25">
      <c r="B28" s="3">
        <v>45499</v>
      </c>
      <c r="C28" s="2" t="s">
        <v>1270</v>
      </c>
      <c r="D28" s="2" t="s">
        <v>1061</v>
      </c>
      <c r="E28" s="23">
        <v>35.56</v>
      </c>
      <c r="F28" s="2">
        <f t="shared" si="0"/>
        <v>1.9400000000000048</v>
      </c>
      <c r="G28" s="2"/>
    </row>
    <row r="29" spans="2:7" x14ac:dyDescent="0.25">
      <c r="B29" s="3">
        <v>45500</v>
      </c>
      <c r="C29" s="2" t="s">
        <v>1291</v>
      </c>
      <c r="D29" s="2" t="s">
        <v>1061</v>
      </c>
      <c r="E29" s="23">
        <v>37.46</v>
      </c>
      <c r="F29" s="2">
        <f t="shared" si="0"/>
        <v>1.8999999999999986</v>
      </c>
      <c r="G29" s="2"/>
    </row>
    <row r="30" spans="2:7" x14ac:dyDescent="0.25">
      <c r="B30" s="3">
        <v>45501</v>
      </c>
      <c r="C30" s="2" t="s">
        <v>1290</v>
      </c>
      <c r="D30" s="2" t="s">
        <v>1061</v>
      </c>
      <c r="E30" s="23">
        <v>39.32</v>
      </c>
      <c r="F30" s="2">
        <f t="shared" si="0"/>
        <v>1.8599999999999994</v>
      </c>
      <c r="G30" s="2"/>
    </row>
    <row r="31" spans="2:7" x14ac:dyDescent="0.25">
      <c r="B31" s="3">
        <v>45502</v>
      </c>
      <c r="C31" s="2" t="s">
        <v>1298</v>
      </c>
      <c r="D31" s="2" t="s">
        <v>1061</v>
      </c>
      <c r="E31" s="23">
        <v>40.82</v>
      </c>
      <c r="F31" s="2">
        <f t="shared" si="0"/>
        <v>1.5</v>
      </c>
      <c r="G31" s="2"/>
    </row>
    <row r="32" spans="2:7" x14ac:dyDescent="0.25">
      <c r="B32" s="3">
        <v>45503</v>
      </c>
      <c r="C32" s="2" t="s">
        <v>1311</v>
      </c>
      <c r="D32" s="2" t="s">
        <v>1312</v>
      </c>
      <c r="E32" s="23">
        <v>40.82</v>
      </c>
      <c r="F32" s="2">
        <f t="shared" si="0"/>
        <v>0</v>
      </c>
      <c r="G32" s="2"/>
    </row>
    <row r="33" spans="2:7" x14ac:dyDescent="0.25">
      <c r="B33" s="3">
        <v>45504</v>
      </c>
      <c r="C33" s="2" t="s">
        <v>1311</v>
      </c>
      <c r="D33" s="2"/>
      <c r="E33" s="23">
        <v>40.82</v>
      </c>
      <c r="F33" s="2">
        <f t="shared" si="0"/>
        <v>0</v>
      </c>
      <c r="G33" s="2"/>
    </row>
    <row r="34" spans="2:7" x14ac:dyDescent="0.25">
      <c r="B34" s="3">
        <v>45505</v>
      </c>
      <c r="C34" s="2" t="s">
        <v>1331</v>
      </c>
      <c r="D34" s="2"/>
      <c r="E34" s="23">
        <v>40.82</v>
      </c>
      <c r="F34" s="2">
        <f t="shared" si="0"/>
        <v>0</v>
      </c>
      <c r="G34" s="2"/>
    </row>
    <row r="35" spans="2:7" x14ac:dyDescent="0.25">
      <c r="B35" s="3">
        <v>45506</v>
      </c>
      <c r="C35" s="2" t="s">
        <v>1338</v>
      </c>
      <c r="D35" s="2"/>
      <c r="E35" s="23">
        <v>40.82</v>
      </c>
      <c r="F35" s="2">
        <f t="shared" si="0"/>
        <v>0</v>
      </c>
      <c r="G35" s="2"/>
    </row>
    <row r="36" spans="2:7" x14ac:dyDescent="0.25">
      <c r="B36" s="3">
        <v>45507</v>
      </c>
      <c r="C36" s="2" t="s">
        <v>1369</v>
      </c>
      <c r="D36" s="2"/>
      <c r="E36" s="23">
        <v>40.82</v>
      </c>
      <c r="F36" s="2">
        <f t="shared" si="0"/>
        <v>0</v>
      </c>
      <c r="G36" s="2"/>
    </row>
    <row r="37" spans="2:7" x14ac:dyDescent="0.25">
      <c r="B37" s="3">
        <v>45508</v>
      </c>
      <c r="C37" s="2" t="s">
        <v>1370</v>
      </c>
      <c r="D37" s="2"/>
      <c r="E37" s="23">
        <v>40.82</v>
      </c>
      <c r="F37" s="2">
        <f t="shared" si="0"/>
        <v>0</v>
      </c>
      <c r="G37" s="2"/>
    </row>
    <row r="38" spans="2:7" x14ac:dyDescent="0.25">
      <c r="B38" s="3">
        <v>45509</v>
      </c>
      <c r="C38" s="2" t="s">
        <v>1383</v>
      </c>
      <c r="D38" s="2"/>
      <c r="E38" s="23">
        <v>40.82</v>
      </c>
      <c r="F38" s="2">
        <f t="shared" si="0"/>
        <v>0</v>
      </c>
      <c r="G38" s="2"/>
    </row>
    <row r="39" spans="2:7" x14ac:dyDescent="0.25">
      <c r="B39" s="3">
        <v>45510</v>
      </c>
      <c r="C39" s="2" t="s">
        <v>1395</v>
      </c>
      <c r="D39" s="2" t="s">
        <v>1061</v>
      </c>
      <c r="E39" s="23">
        <v>42.12</v>
      </c>
      <c r="F39" s="2">
        <f t="shared" si="0"/>
        <v>1.2999999999999972</v>
      </c>
      <c r="G39" s="2"/>
    </row>
    <row r="40" spans="2:7" x14ac:dyDescent="0.25">
      <c r="B40" s="3">
        <v>45511</v>
      </c>
      <c r="C40" s="2" t="s">
        <v>1395</v>
      </c>
      <c r="D40" s="2" t="s">
        <v>1061</v>
      </c>
      <c r="E40" s="23">
        <v>43.42</v>
      </c>
      <c r="F40" s="2">
        <f t="shared" si="0"/>
        <v>1.3000000000000043</v>
      </c>
      <c r="G40" s="2"/>
    </row>
    <row r="41" spans="2:7" x14ac:dyDescent="0.25">
      <c r="B41" s="3">
        <v>45512</v>
      </c>
      <c r="C41" s="2" t="s">
        <v>1415</v>
      </c>
      <c r="D41" s="2"/>
      <c r="E41" s="23">
        <v>43.67</v>
      </c>
      <c r="F41" s="2">
        <f t="shared" si="0"/>
        <v>0.25</v>
      </c>
      <c r="G41" s="2"/>
    </row>
    <row r="42" spans="2:7" x14ac:dyDescent="0.25">
      <c r="B42" s="3">
        <v>45513</v>
      </c>
      <c r="C42" s="2" t="s">
        <v>1428</v>
      </c>
      <c r="D42" s="2" t="s">
        <v>1427</v>
      </c>
      <c r="E42" s="23">
        <v>44.47</v>
      </c>
      <c r="F42" s="2">
        <f t="shared" si="0"/>
        <v>0.79999999999999716</v>
      </c>
      <c r="G42" s="2"/>
    </row>
    <row r="43" spans="2:7" x14ac:dyDescent="0.25">
      <c r="B43" s="3">
        <v>45514</v>
      </c>
      <c r="C43" s="2" t="s">
        <v>1189</v>
      </c>
      <c r="D43" s="2" t="s">
        <v>1448</v>
      </c>
      <c r="E43" s="23">
        <v>46.27</v>
      </c>
      <c r="F43" s="2">
        <f t="shared" si="0"/>
        <v>1.8000000000000043</v>
      </c>
      <c r="G43" s="2"/>
    </row>
    <row r="44" spans="2:7" x14ac:dyDescent="0.25">
      <c r="B44" s="3">
        <v>45515</v>
      </c>
      <c r="C44" s="2" t="s">
        <v>1441</v>
      </c>
      <c r="D44" s="2" t="s">
        <v>1448</v>
      </c>
      <c r="E44" s="23">
        <v>46.97</v>
      </c>
      <c r="F44" s="2">
        <f t="shared" si="0"/>
        <v>0.69999999999999574</v>
      </c>
      <c r="G44" s="2"/>
    </row>
    <row r="45" spans="2:7" x14ac:dyDescent="0.25">
      <c r="B45" s="3">
        <v>45516</v>
      </c>
      <c r="C45" s="2" t="s">
        <v>1142</v>
      </c>
      <c r="D45" s="2" t="s">
        <v>1061</v>
      </c>
      <c r="E45" s="23">
        <v>47.97</v>
      </c>
      <c r="F45" s="2">
        <f t="shared" si="0"/>
        <v>1</v>
      </c>
      <c r="G45" s="2"/>
    </row>
    <row r="46" spans="2:7" x14ac:dyDescent="0.25">
      <c r="B46" s="3">
        <v>45517</v>
      </c>
      <c r="C46" s="2" t="s">
        <v>1473</v>
      </c>
      <c r="D46" s="2" t="s">
        <v>1061</v>
      </c>
      <c r="E46" s="23">
        <v>49.47</v>
      </c>
      <c r="F46" s="2">
        <f t="shared" si="0"/>
        <v>1.5</v>
      </c>
      <c r="G46" s="2"/>
    </row>
    <row r="47" spans="2:7" x14ac:dyDescent="0.25">
      <c r="B47" s="3">
        <v>45518</v>
      </c>
      <c r="C47" s="2" t="s">
        <v>1479</v>
      </c>
      <c r="D47" s="2"/>
      <c r="E47" s="23">
        <v>49.47</v>
      </c>
      <c r="F47" s="2">
        <f t="shared" si="0"/>
        <v>0</v>
      </c>
      <c r="G47" s="2"/>
    </row>
    <row r="48" spans="2:7" x14ac:dyDescent="0.25">
      <c r="B48" s="3">
        <v>45519</v>
      </c>
      <c r="C48" s="2" t="s">
        <v>1500</v>
      </c>
      <c r="D48" s="2"/>
      <c r="E48" s="23">
        <v>49.7</v>
      </c>
      <c r="F48" s="2">
        <f t="shared" si="0"/>
        <v>0.23000000000000398</v>
      </c>
      <c r="G48" s="2"/>
    </row>
    <row r="49" spans="2:7" x14ac:dyDescent="0.25">
      <c r="B49" s="3">
        <v>45520</v>
      </c>
      <c r="C49" s="2" t="s">
        <v>1518</v>
      </c>
      <c r="D49" s="2"/>
      <c r="E49" s="23">
        <v>50.4</v>
      </c>
      <c r="F49" s="2">
        <f t="shared" si="0"/>
        <v>0.69999999999999574</v>
      </c>
      <c r="G49" s="2"/>
    </row>
    <row r="50" spans="2:7" x14ac:dyDescent="0.25">
      <c r="B50" s="3">
        <v>45521</v>
      </c>
      <c r="C50" s="2" t="s">
        <v>480</v>
      </c>
      <c r="D50" s="2"/>
      <c r="E50" s="23">
        <v>50.4</v>
      </c>
      <c r="F50" s="2">
        <f t="shared" si="0"/>
        <v>0</v>
      </c>
      <c r="G50" s="2">
        <v>1.45</v>
      </c>
    </row>
    <row r="51" spans="2:7" x14ac:dyDescent="0.25">
      <c r="B51" s="3">
        <v>45522</v>
      </c>
      <c r="C51" s="2" t="s">
        <v>1537</v>
      </c>
      <c r="D51" s="2"/>
      <c r="E51" s="23">
        <v>50.4</v>
      </c>
      <c r="F51" s="2">
        <f t="shared" si="0"/>
        <v>0</v>
      </c>
      <c r="G51" s="2">
        <v>2.5</v>
      </c>
    </row>
    <row r="52" spans="2:7" x14ac:dyDescent="0.25">
      <c r="B52" s="3">
        <v>45523</v>
      </c>
      <c r="C52" s="2" t="s">
        <v>1538</v>
      </c>
      <c r="D52" s="2"/>
      <c r="E52" s="25">
        <v>50.7</v>
      </c>
      <c r="F52" s="2">
        <f t="shared" si="0"/>
        <v>0.30000000000000426</v>
      </c>
      <c r="G52" s="2"/>
    </row>
    <row r="53" spans="2:7" x14ac:dyDescent="0.25">
      <c r="B53" s="3">
        <v>45524</v>
      </c>
      <c r="C53" s="2" t="s">
        <v>1556</v>
      </c>
      <c r="D53" s="2"/>
      <c r="E53" s="23">
        <v>51.2</v>
      </c>
      <c r="F53" s="2">
        <f t="shared" si="0"/>
        <v>0.5</v>
      </c>
      <c r="G53" s="2">
        <v>1.6</v>
      </c>
    </row>
    <row r="54" spans="2:7" x14ac:dyDescent="0.25">
      <c r="B54" s="3">
        <v>45525</v>
      </c>
      <c r="C54" s="2" t="s">
        <v>1555</v>
      </c>
      <c r="D54" s="2"/>
      <c r="E54" s="23">
        <v>51.2</v>
      </c>
      <c r="F54" s="2">
        <f t="shared" si="0"/>
        <v>0</v>
      </c>
      <c r="G54" s="2"/>
    </row>
    <row r="55" spans="2:7" x14ac:dyDescent="0.25">
      <c r="B55" s="3">
        <v>45526</v>
      </c>
      <c r="C55" s="2" t="s">
        <v>1554</v>
      </c>
      <c r="D55" s="2"/>
      <c r="E55" s="23">
        <v>51.42</v>
      </c>
      <c r="F55" s="2">
        <f t="shared" si="0"/>
        <v>0.21999999999999886</v>
      </c>
      <c r="G55" s="2">
        <v>1.8</v>
      </c>
    </row>
    <row r="56" spans="2:7" x14ac:dyDescent="0.25">
      <c r="B56" s="3">
        <v>45527</v>
      </c>
      <c r="C56" s="2" t="s">
        <v>1582</v>
      </c>
      <c r="D56" s="2"/>
      <c r="E56" s="23">
        <v>51.42</v>
      </c>
      <c r="F56" s="2">
        <f t="shared" si="0"/>
        <v>0</v>
      </c>
      <c r="G56" s="2">
        <v>1.3</v>
      </c>
    </row>
    <row r="57" spans="2:7" x14ac:dyDescent="0.25">
      <c r="B57" s="3">
        <v>45528</v>
      </c>
      <c r="C57" s="2" t="s">
        <v>1602</v>
      </c>
      <c r="D57" s="2"/>
      <c r="E57" s="23">
        <v>51.42</v>
      </c>
      <c r="F57" s="2">
        <f t="shared" si="0"/>
        <v>0</v>
      </c>
      <c r="G57" s="2"/>
    </row>
    <row r="58" spans="2:7" x14ac:dyDescent="0.25">
      <c r="B58" s="3">
        <v>45529</v>
      </c>
      <c r="C58" s="2" t="s">
        <v>1603</v>
      </c>
      <c r="D58" s="2"/>
      <c r="E58" s="23">
        <v>52.42</v>
      </c>
      <c r="F58" s="2">
        <f t="shared" si="0"/>
        <v>1</v>
      </c>
      <c r="G58" s="2">
        <v>1.1000000000000001</v>
      </c>
    </row>
    <row r="59" spans="2:7" x14ac:dyDescent="0.25">
      <c r="B59" s="3">
        <v>45530</v>
      </c>
      <c r="C59" s="2" t="s">
        <v>1556</v>
      </c>
      <c r="D59" s="2"/>
      <c r="E59" s="23">
        <v>52.92</v>
      </c>
      <c r="F59" s="2">
        <f t="shared" si="0"/>
        <v>0.5</v>
      </c>
      <c r="G59" s="2">
        <v>1.3</v>
      </c>
    </row>
    <row r="60" spans="2:7" x14ac:dyDescent="0.25">
      <c r="B60" s="3">
        <v>45531</v>
      </c>
      <c r="C60" s="2" t="s">
        <v>1629</v>
      </c>
      <c r="D60" s="2"/>
      <c r="E60" s="23">
        <v>52.92</v>
      </c>
      <c r="F60" s="2">
        <f t="shared" si="0"/>
        <v>0</v>
      </c>
      <c r="G60" s="2">
        <v>1.8</v>
      </c>
    </row>
    <row r="61" spans="2:7" x14ac:dyDescent="0.25">
      <c r="B61" s="3">
        <v>45532</v>
      </c>
      <c r="C61" s="2" t="s">
        <v>1647</v>
      </c>
      <c r="D61" s="2"/>
      <c r="E61" s="23">
        <v>53.35</v>
      </c>
      <c r="F61" s="2">
        <f t="shared" si="0"/>
        <v>0.42999999999999972</v>
      </c>
      <c r="G61" s="2"/>
    </row>
    <row r="62" spans="2:7" x14ac:dyDescent="0.25">
      <c r="B62" s="3">
        <v>45533</v>
      </c>
      <c r="C62" s="2" t="s">
        <v>1538</v>
      </c>
      <c r="D62" s="2"/>
      <c r="E62" s="23">
        <v>53.65</v>
      </c>
      <c r="F62" s="2">
        <f t="shared" si="0"/>
        <v>0.29999999999999716</v>
      </c>
      <c r="G62" s="2">
        <v>1.6</v>
      </c>
    </row>
    <row r="63" spans="2:7" x14ac:dyDescent="0.25">
      <c r="B63" s="3">
        <v>45534</v>
      </c>
      <c r="C63" s="2" t="s">
        <v>1674</v>
      </c>
      <c r="D63" s="2"/>
      <c r="E63" s="23">
        <v>53.85</v>
      </c>
      <c r="F63" s="2">
        <f t="shared" si="0"/>
        <v>0.20000000000000284</v>
      </c>
      <c r="G63" s="2"/>
    </row>
    <row r="64" spans="2:7" x14ac:dyDescent="0.25">
      <c r="B64" s="3">
        <v>45535</v>
      </c>
      <c r="C64" s="2" t="s">
        <v>1693</v>
      </c>
      <c r="D64" s="2"/>
      <c r="E64" s="23">
        <v>53.85</v>
      </c>
      <c r="F64" s="2">
        <f t="shared" si="0"/>
        <v>0</v>
      </c>
      <c r="G64" s="2"/>
    </row>
    <row r="65" spans="2:7" x14ac:dyDescent="0.25">
      <c r="B65" s="3">
        <v>45536</v>
      </c>
      <c r="C65" s="2" t="s">
        <v>1694</v>
      </c>
      <c r="D65" s="2"/>
      <c r="E65" s="23">
        <v>53.85</v>
      </c>
      <c r="F65" s="2">
        <f t="shared" si="0"/>
        <v>0</v>
      </c>
      <c r="G65" s="2"/>
    </row>
    <row r="66" spans="2:7" x14ac:dyDescent="0.25">
      <c r="B66" s="3">
        <v>45537</v>
      </c>
      <c r="C66" s="2" t="s">
        <v>1718</v>
      </c>
      <c r="D66" s="2"/>
      <c r="E66" s="23">
        <v>54.24</v>
      </c>
      <c r="F66" s="2">
        <f t="shared" si="0"/>
        <v>0.39000000000000057</v>
      </c>
      <c r="G66" s="2"/>
    </row>
    <row r="67" spans="2:7" x14ac:dyDescent="0.25">
      <c r="B67" s="3">
        <v>45538</v>
      </c>
      <c r="C67" s="2" t="s">
        <v>1726</v>
      </c>
      <c r="D67" s="2"/>
      <c r="E67" s="23">
        <v>54.24</v>
      </c>
      <c r="F67" s="2">
        <f t="shared" si="0"/>
        <v>0</v>
      </c>
      <c r="G67" s="2"/>
    </row>
    <row r="68" spans="2:7" x14ac:dyDescent="0.25">
      <c r="B68" s="3">
        <v>45539</v>
      </c>
      <c r="C68" s="2" t="s">
        <v>1736</v>
      </c>
      <c r="D68" s="2" t="s">
        <v>1744</v>
      </c>
      <c r="E68" s="23">
        <v>54.24</v>
      </c>
      <c r="F68" s="2">
        <f t="shared" si="0"/>
        <v>0</v>
      </c>
      <c r="G68" s="2"/>
    </row>
    <row r="69" spans="2:7" x14ac:dyDescent="0.25">
      <c r="B69" s="3">
        <v>45540</v>
      </c>
      <c r="C69" s="2" t="s">
        <v>1776</v>
      </c>
      <c r="D69" s="2" t="s">
        <v>1745</v>
      </c>
      <c r="E69" s="23">
        <v>54.24</v>
      </c>
      <c r="F69" s="2">
        <f t="shared" si="0"/>
        <v>0</v>
      </c>
      <c r="G69" s="2"/>
    </row>
    <row r="70" spans="2:7" x14ac:dyDescent="0.25">
      <c r="B70" s="3">
        <v>45541</v>
      </c>
      <c r="C70" s="2" t="s">
        <v>1786</v>
      </c>
      <c r="D70" s="2"/>
      <c r="E70" s="23">
        <v>54.24</v>
      </c>
      <c r="F70" s="2">
        <f t="shared" si="0"/>
        <v>0</v>
      </c>
      <c r="G70" s="2"/>
    </row>
    <row r="71" spans="2:7" x14ac:dyDescent="0.25">
      <c r="B71" s="3">
        <v>45542</v>
      </c>
      <c r="C71" s="2" t="s">
        <v>1802</v>
      </c>
      <c r="D71" s="2"/>
      <c r="E71" s="23">
        <v>54.24</v>
      </c>
      <c r="F71" s="2">
        <f t="shared" si="0"/>
        <v>0</v>
      </c>
      <c r="G71" s="2"/>
    </row>
    <row r="72" spans="2:7" x14ac:dyDescent="0.25">
      <c r="B72" s="3">
        <v>45543</v>
      </c>
      <c r="C72" s="2" t="s">
        <v>1803</v>
      </c>
      <c r="D72" s="2"/>
      <c r="E72" s="23">
        <v>54.24</v>
      </c>
      <c r="F72" s="2">
        <f t="shared" si="0"/>
        <v>0</v>
      </c>
      <c r="G72" s="2"/>
    </row>
    <row r="73" spans="2:7" x14ac:dyDescent="0.25">
      <c r="B73" s="3">
        <v>45544</v>
      </c>
      <c r="C73" s="2" t="s">
        <v>1819</v>
      </c>
      <c r="D73" s="2"/>
      <c r="E73" s="23">
        <v>55.52</v>
      </c>
      <c r="F73" s="2">
        <f t="shared" si="0"/>
        <v>1.2800000000000011</v>
      </c>
      <c r="G73" s="2"/>
    </row>
    <row r="74" spans="2:7" x14ac:dyDescent="0.25">
      <c r="B74" s="3">
        <v>45545</v>
      </c>
      <c r="C74" s="2" t="s">
        <v>1603</v>
      </c>
      <c r="D74" s="2"/>
      <c r="E74" s="23">
        <v>56.52</v>
      </c>
      <c r="F74" s="2">
        <f t="shared" ref="F74:F137" si="1">E74-E73</f>
        <v>1</v>
      </c>
      <c r="G74" s="2">
        <v>1.6</v>
      </c>
    </row>
    <row r="75" spans="2:7" x14ac:dyDescent="0.25">
      <c r="B75" s="3">
        <v>45546</v>
      </c>
      <c r="C75" s="2" t="s">
        <v>1839</v>
      </c>
      <c r="D75" s="2"/>
      <c r="E75" s="23">
        <v>57.92</v>
      </c>
      <c r="F75" s="2">
        <f t="shared" si="1"/>
        <v>1.3999999999999986</v>
      </c>
      <c r="G75" s="2">
        <v>1.5</v>
      </c>
    </row>
    <row r="76" spans="2:7" x14ac:dyDescent="0.25">
      <c r="B76" s="3">
        <v>45547</v>
      </c>
      <c r="C76" s="2" t="s">
        <v>1840</v>
      </c>
      <c r="D76" s="2"/>
      <c r="E76" s="23">
        <v>59.24</v>
      </c>
      <c r="F76" s="2">
        <f t="shared" si="1"/>
        <v>1.3200000000000003</v>
      </c>
      <c r="G76" s="2">
        <v>70</v>
      </c>
    </row>
    <row r="77" spans="2:7" x14ac:dyDescent="0.25">
      <c r="B77" s="3">
        <v>45548</v>
      </c>
      <c r="C77" s="2" t="s">
        <v>1864</v>
      </c>
      <c r="D77" s="2"/>
      <c r="E77" s="23">
        <v>60.74</v>
      </c>
      <c r="F77" s="2">
        <f t="shared" si="1"/>
        <v>1.5</v>
      </c>
      <c r="G77" s="2"/>
    </row>
    <row r="78" spans="2:7" x14ac:dyDescent="0.25">
      <c r="B78" s="3">
        <v>45549</v>
      </c>
      <c r="C78" s="2" t="s">
        <v>1891</v>
      </c>
      <c r="D78" s="2"/>
      <c r="E78" s="23">
        <v>61.89</v>
      </c>
      <c r="F78" s="2">
        <f t="shared" si="1"/>
        <v>1.1499999999999986</v>
      </c>
      <c r="G78" s="2"/>
    </row>
    <row r="79" spans="2:7" x14ac:dyDescent="0.25">
      <c r="B79" s="3">
        <v>45550</v>
      </c>
      <c r="C79" s="2" t="s">
        <v>1892</v>
      </c>
      <c r="D79" s="2"/>
      <c r="E79" s="23">
        <v>62.5</v>
      </c>
      <c r="F79" s="2">
        <f t="shared" si="1"/>
        <v>0.60999999999999943</v>
      </c>
      <c r="G79" s="2"/>
    </row>
    <row r="80" spans="2:7" x14ac:dyDescent="0.25">
      <c r="B80" s="3">
        <v>45551</v>
      </c>
      <c r="C80" s="2" t="s">
        <v>1603</v>
      </c>
      <c r="D80" s="2"/>
      <c r="E80" s="23">
        <v>63.5</v>
      </c>
      <c r="F80" s="2">
        <f t="shared" si="1"/>
        <v>1</v>
      </c>
      <c r="G80" s="2"/>
    </row>
    <row r="81" spans="2:7" x14ac:dyDescent="0.25">
      <c r="B81" s="3">
        <v>45552</v>
      </c>
      <c r="C81" s="2" t="s">
        <v>1448</v>
      </c>
      <c r="D81" s="2"/>
      <c r="E81" s="23">
        <v>63.5</v>
      </c>
      <c r="F81" s="2">
        <f t="shared" si="1"/>
        <v>0</v>
      </c>
      <c r="G81" s="2"/>
    </row>
    <row r="82" spans="2:7" x14ac:dyDescent="0.25">
      <c r="B82" s="3">
        <v>45553</v>
      </c>
      <c r="C82" s="2" t="s">
        <v>1629</v>
      </c>
      <c r="D82" s="2"/>
      <c r="E82" s="23">
        <v>63.5</v>
      </c>
      <c r="F82" s="2">
        <f t="shared" si="1"/>
        <v>0</v>
      </c>
      <c r="G82" s="2"/>
    </row>
    <row r="83" spans="2:7" x14ac:dyDescent="0.25">
      <c r="B83" s="3">
        <v>45554</v>
      </c>
      <c r="C83" s="2" t="s">
        <v>1844</v>
      </c>
      <c r="D83" s="2" t="s">
        <v>1939</v>
      </c>
      <c r="E83" s="23">
        <v>63.5</v>
      </c>
      <c r="F83" s="2">
        <f t="shared" si="1"/>
        <v>0</v>
      </c>
      <c r="G83" s="2"/>
    </row>
    <row r="84" spans="2:7" x14ac:dyDescent="0.25">
      <c r="B84" s="3">
        <v>45555</v>
      </c>
      <c r="C84" s="2" t="s">
        <v>1953</v>
      </c>
      <c r="D84" s="2"/>
      <c r="E84" s="23">
        <v>63.5</v>
      </c>
      <c r="F84" s="2">
        <f t="shared" si="1"/>
        <v>0</v>
      </c>
      <c r="G84" s="2"/>
    </row>
    <row r="85" spans="2:7" x14ac:dyDescent="0.25">
      <c r="B85" s="3">
        <v>45556</v>
      </c>
      <c r="C85" s="2" t="s">
        <v>1864</v>
      </c>
      <c r="D85" s="2"/>
      <c r="E85" s="23">
        <v>65</v>
      </c>
      <c r="F85" s="2">
        <f t="shared" si="1"/>
        <v>1.5</v>
      </c>
      <c r="G85" s="2"/>
    </row>
    <row r="86" spans="2:7" x14ac:dyDescent="0.25">
      <c r="B86" s="3">
        <v>45557</v>
      </c>
      <c r="C86" s="2" t="s">
        <v>1448</v>
      </c>
      <c r="D86" s="2"/>
      <c r="E86" s="23">
        <v>65</v>
      </c>
      <c r="F86" s="2">
        <f t="shared" si="1"/>
        <v>0</v>
      </c>
      <c r="G86" s="2"/>
    </row>
    <row r="87" spans="2:7" x14ac:dyDescent="0.25">
      <c r="B87" s="3">
        <v>45558</v>
      </c>
      <c r="C87" s="2" t="s">
        <v>1977</v>
      </c>
      <c r="D87" s="2"/>
      <c r="E87" s="23">
        <v>65.900000000000006</v>
      </c>
      <c r="F87" s="2">
        <f t="shared" si="1"/>
        <v>0.90000000000000568</v>
      </c>
      <c r="G87" s="2"/>
    </row>
    <row r="88" spans="2:7" x14ac:dyDescent="0.25">
      <c r="B88" s="3">
        <v>45559</v>
      </c>
      <c r="C88" s="2" t="s">
        <v>1986</v>
      </c>
      <c r="D88" s="2" t="s">
        <v>1987</v>
      </c>
      <c r="E88" s="23">
        <v>65.900000000000006</v>
      </c>
      <c r="F88" s="2">
        <f t="shared" si="1"/>
        <v>0</v>
      </c>
      <c r="G88" s="2"/>
    </row>
    <row r="89" spans="2:7" x14ac:dyDescent="0.25">
      <c r="B89" s="3">
        <v>45560</v>
      </c>
      <c r="C89" s="2" t="s">
        <v>1839</v>
      </c>
      <c r="D89" s="2"/>
      <c r="E89" s="23">
        <v>67.3</v>
      </c>
      <c r="F89" s="2">
        <f t="shared" si="1"/>
        <v>1.3999999999999915</v>
      </c>
      <c r="G89" s="2"/>
    </row>
    <row r="90" spans="2:7" x14ac:dyDescent="0.25">
      <c r="B90" s="3">
        <v>45561</v>
      </c>
      <c r="C90" s="2" t="s">
        <v>2007</v>
      </c>
      <c r="D90" s="2"/>
      <c r="E90" s="23">
        <v>68</v>
      </c>
      <c r="F90" s="2">
        <f t="shared" si="1"/>
        <v>0.70000000000000284</v>
      </c>
      <c r="G90" s="2"/>
    </row>
    <row r="91" spans="2:7" x14ac:dyDescent="0.25">
      <c r="B91" s="3">
        <v>45562</v>
      </c>
      <c r="C91" s="2" t="s">
        <v>1603</v>
      </c>
      <c r="D91" s="2"/>
      <c r="E91" s="23">
        <v>69</v>
      </c>
      <c r="F91" s="2">
        <f t="shared" si="1"/>
        <v>1</v>
      </c>
      <c r="G91" s="2"/>
    </row>
    <row r="92" spans="2:7" x14ac:dyDescent="0.25">
      <c r="B92" s="3">
        <v>45563</v>
      </c>
      <c r="C92" s="2" t="s">
        <v>1556</v>
      </c>
      <c r="D92" s="2"/>
      <c r="E92" s="23">
        <v>69.5</v>
      </c>
      <c r="F92" s="2">
        <f t="shared" si="1"/>
        <v>0.5</v>
      </c>
      <c r="G92" s="2"/>
    </row>
    <row r="93" spans="2:7" x14ac:dyDescent="0.25">
      <c r="B93" s="3">
        <v>45564</v>
      </c>
      <c r="C93" s="2" t="s">
        <v>1556</v>
      </c>
      <c r="D93" s="2"/>
      <c r="E93" s="23">
        <v>70</v>
      </c>
      <c r="F93" s="2">
        <f t="shared" si="1"/>
        <v>0.5</v>
      </c>
      <c r="G93" s="2"/>
    </row>
    <row r="94" spans="2:7" x14ac:dyDescent="0.25">
      <c r="B94" s="3">
        <v>45565</v>
      </c>
      <c r="C94" s="2" t="s">
        <v>1556</v>
      </c>
      <c r="D94" s="2"/>
      <c r="E94" s="23">
        <v>70.5</v>
      </c>
      <c r="F94" s="2">
        <f t="shared" si="1"/>
        <v>0.5</v>
      </c>
      <c r="G94" s="2"/>
    </row>
    <row r="95" spans="2:7" x14ac:dyDescent="0.25">
      <c r="B95" s="3">
        <v>45566</v>
      </c>
      <c r="C95" s="2" t="s">
        <v>2060</v>
      </c>
      <c r="D95" s="2"/>
      <c r="E95" s="23">
        <v>72</v>
      </c>
      <c r="F95" s="2">
        <f t="shared" si="1"/>
        <v>1.5</v>
      </c>
      <c r="G95" s="2"/>
    </row>
    <row r="96" spans="2:7" x14ac:dyDescent="0.25">
      <c r="B96" s="3">
        <v>45567</v>
      </c>
      <c r="C96" s="2" t="s">
        <v>2071</v>
      </c>
      <c r="D96" s="2"/>
      <c r="E96" s="23">
        <v>73.599999999999994</v>
      </c>
      <c r="F96" s="2">
        <f t="shared" si="1"/>
        <v>1.5999999999999943</v>
      </c>
      <c r="G96" s="2"/>
    </row>
    <row r="97" spans="2:7" x14ac:dyDescent="0.25">
      <c r="B97" s="3">
        <v>45568</v>
      </c>
      <c r="C97" s="2" t="s">
        <v>2083</v>
      </c>
      <c r="D97" s="2" t="s">
        <v>2084</v>
      </c>
      <c r="E97" s="23">
        <v>74</v>
      </c>
      <c r="F97" s="2">
        <f t="shared" si="1"/>
        <v>0.40000000000000568</v>
      </c>
      <c r="G97" s="2">
        <v>1.5</v>
      </c>
    </row>
    <row r="98" spans="2:7" x14ac:dyDescent="0.25">
      <c r="B98" s="3">
        <v>45569</v>
      </c>
      <c r="C98" s="2" t="s">
        <v>2100</v>
      </c>
      <c r="D98" s="2"/>
      <c r="E98" s="23">
        <v>74</v>
      </c>
      <c r="F98" s="2">
        <f t="shared" si="1"/>
        <v>0</v>
      </c>
      <c r="G98" s="2">
        <v>1.4</v>
      </c>
    </row>
    <row r="99" spans="2:7" x14ac:dyDescent="0.25">
      <c r="B99" s="3">
        <v>45570</v>
      </c>
      <c r="C99" s="2" t="s">
        <v>2117</v>
      </c>
      <c r="D99" s="2"/>
      <c r="E99" s="23">
        <v>75.2</v>
      </c>
      <c r="F99" s="2">
        <f t="shared" si="1"/>
        <v>1.2000000000000028</v>
      </c>
      <c r="G99" s="2">
        <v>1.5</v>
      </c>
    </row>
    <row r="100" spans="2:7" x14ac:dyDescent="0.25">
      <c r="B100" s="3">
        <v>45571</v>
      </c>
      <c r="C100" s="2" t="s">
        <v>2117</v>
      </c>
      <c r="D100" s="2"/>
      <c r="E100" s="23">
        <v>76.400000000000006</v>
      </c>
      <c r="F100" s="2">
        <f t="shared" si="1"/>
        <v>1.2000000000000028</v>
      </c>
      <c r="G100" s="2">
        <v>1.4</v>
      </c>
    </row>
    <row r="101" spans="2:7" x14ac:dyDescent="0.25">
      <c r="B101" s="3">
        <v>45572</v>
      </c>
      <c r="C101" s="2" t="s">
        <v>2129</v>
      </c>
      <c r="D101" s="2"/>
      <c r="E101" s="23">
        <v>77.84</v>
      </c>
      <c r="F101" s="2">
        <f t="shared" si="1"/>
        <v>1.4399999999999977</v>
      </c>
      <c r="G101" s="2">
        <v>1.35</v>
      </c>
    </row>
    <row r="102" spans="2:7" x14ac:dyDescent="0.25">
      <c r="B102" s="3">
        <v>45573</v>
      </c>
      <c r="C102" s="2" t="s">
        <v>2007</v>
      </c>
      <c r="D102" s="2"/>
      <c r="E102" s="23">
        <v>78.540000000000006</v>
      </c>
      <c r="F102" s="2">
        <f t="shared" si="1"/>
        <v>0.70000000000000284</v>
      </c>
      <c r="G102" s="2">
        <v>1.3</v>
      </c>
    </row>
    <row r="103" spans="2:7" x14ac:dyDescent="0.25">
      <c r="B103" s="3">
        <v>45574</v>
      </c>
      <c r="C103" s="2" t="s">
        <v>2155</v>
      </c>
      <c r="D103" s="2"/>
      <c r="E103" s="23">
        <v>79.739999999999995</v>
      </c>
      <c r="F103" s="2">
        <f t="shared" si="1"/>
        <v>1.1999999999999886</v>
      </c>
      <c r="G103" s="2">
        <v>1.4</v>
      </c>
    </row>
    <row r="104" spans="2:7" x14ac:dyDescent="0.25">
      <c r="B104" s="3">
        <v>45575</v>
      </c>
      <c r="C104" s="2" t="s">
        <v>2165</v>
      </c>
      <c r="D104" s="2"/>
      <c r="E104" s="23">
        <v>79.739999999999995</v>
      </c>
      <c r="F104" s="2">
        <f t="shared" si="1"/>
        <v>0</v>
      </c>
      <c r="G104" s="2"/>
    </row>
    <row r="105" spans="2:7" x14ac:dyDescent="0.25">
      <c r="B105" s="3">
        <v>45576</v>
      </c>
      <c r="C105" s="2" t="s">
        <v>323</v>
      </c>
      <c r="D105" s="2"/>
      <c r="E105" s="23">
        <v>79.739999999999995</v>
      </c>
      <c r="F105" s="2">
        <f t="shared" si="1"/>
        <v>0</v>
      </c>
      <c r="G105" s="2"/>
    </row>
    <row r="106" spans="2:7" x14ac:dyDescent="0.25">
      <c r="B106" s="3">
        <v>45577</v>
      </c>
      <c r="C106" s="2" t="s">
        <v>2188</v>
      </c>
      <c r="D106" s="2"/>
      <c r="E106" s="23">
        <v>81.040000000000006</v>
      </c>
      <c r="F106" s="2">
        <f t="shared" si="1"/>
        <v>1.3000000000000114</v>
      </c>
      <c r="G106" s="2"/>
    </row>
    <row r="107" spans="2:7" x14ac:dyDescent="0.25">
      <c r="B107" s="3">
        <v>45578</v>
      </c>
      <c r="C107" s="2" t="s">
        <v>2187</v>
      </c>
      <c r="D107" s="2"/>
      <c r="E107" s="23">
        <v>82.14</v>
      </c>
      <c r="F107" s="2">
        <f t="shared" si="1"/>
        <v>1.0999999999999943</v>
      </c>
      <c r="G107" s="2"/>
    </row>
    <row r="108" spans="2:7" x14ac:dyDescent="0.25">
      <c r="B108" s="3">
        <v>45579</v>
      </c>
      <c r="C108" s="2" t="s">
        <v>2186</v>
      </c>
      <c r="D108" s="2"/>
      <c r="E108" s="23">
        <v>82.39</v>
      </c>
      <c r="F108" s="2">
        <f t="shared" si="1"/>
        <v>0.25</v>
      </c>
      <c r="G108" s="2"/>
    </row>
    <row r="109" spans="2:7" x14ac:dyDescent="0.25">
      <c r="B109" s="3">
        <v>45580</v>
      </c>
      <c r="C109" s="2" t="s">
        <v>1556</v>
      </c>
      <c r="D109" s="2"/>
      <c r="E109" s="23">
        <v>82.89</v>
      </c>
      <c r="F109" s="2">
        <f t="shared" si="1"/>
        <v>0.5</v>
      </c>
      <c r="G109" s="2"/>
    </row>
    <row r="110" spans="2:7" x14ac:dyDescent="0.25">
      <c r="B110" s="3">
        <v>45581</v>
      </c>
      <c r="C110" s="2" t="s">
        <v>2209</v>
      </c>
      <c r="D110" s="2"/>
      <c r="E110" s="23">
        <v>82.89</v>
      </c>
      <c r="F110" s="2">
        <f t="shared" si="1"/>
        <v>0</v>
      </c>
      <c r="G110" s="2"/>
    </row>
    <row r="111" spans="2:7" x14ac:dyDescent="0.25">
      <c r="B111" s="3">
        <v>45582</v>
      </c>
      <c r="C111" s="2" t="s">
        <v>2223</v>
      </c>
      <c r="D111" s="2"/>
      <c r="E111" s="23">
        <v>82.89</v>
      </c>
      <c r="F111" s="2">
        <f t="shared" si="1"/>
        <v>0</v>
      </c>
      <c r="G111" s="2"/>
    </row>
    <row r="112" spans="2:7" x14ac:dyDescent="0.25">
      <c r="B112" s="3">
        <v>45583</v>
      </c>
      <c r="C112" s="2" t="s">
        <v>2230</v>
      </c>
      <c r="D112" s="2"/>
      <c r="E112" s="23">
        <v>82.89</v>
      </c>
      <c r="F112" s="2">
        <f t="shared" si="1"/>
        <v>0</v>
      </c>
      <c r="G112" s="2"/>
    </row>
    <row r="113" spans="2:7" x14ac:dyDescent="0.25">
      <c r="B113" s="3">
        <v>45584</v>
      </c>
      <c r="C113" s="2"/>
      <c r="D113" s="2"/>
      <c r="E113" s="23">
        <v>82.89</v>
      </c>
      <c r="F113" s="2">
        <f t="shared" si="1"/>
        <v>0</v>
      </c>
      <c r="G113" s="2"/>
    </row>
    <row r="114" spans="2:7" x14ac:dyDescent="0.25">
      <c r="B114" s="3">
        <v>45585</v>
      </c>
      <c r="C114" s="2" t="s">
        <v>480</v>
      </c>
      <c r="D114" s="2"/>
      <c r="E114" s="23">
        <v>82.89</v>
      </c>
      <c r="F114" s="2">
        <f t="shared" si="1"/>
        <v>0</v>
      </c>
      <c r="G114" s="2"/>
    </row>
    <row r="115" spans="2:7" x14ac:dyDescent="0.25">
      <c r="B115" s="3">
        <v>45586</v>
      </c>
      <c r="C115" s="2" t="s">
        <v>1844</v>
      </c>
      <c r="D115" s="2"/>
      <c r="E115" s="23">
        <v>82.89</v>
      </c>
      <c r="F115" s="2">
        <f t="shared" si="1"/>
        <v>0</v>
      </c>
      <c r="G115" s="2"/>
    </row>
    <row r="116" spans="2:7" x14ac:dyDescent="0.25">
      <c r="B116" s="3">
        <v>45587</v>
      </c>
      <c r="C116" s="2" t="s">
        <v>2272</v>
      </c>
      <c r="D116" s="2"/>
      <c r="E116" s="23">
        <v>82.89</v>
      </c>
      <c r="F116" s="2">
        <f t="shared" si="1"/>
        <v>0</v>
      </c>
      <c r="G116" s="2"/>
    </row>
    <row r="117" spans="2:7" x14ac:dyDescent="0.25">
      <c r="B117" s="3">
        <v>45588</v>
      </c>
      <c r="C117" s="2" t="s">
        <v>1603</v>
      </c>
      <c r="D117" s="2"/>
      <c r="E117" s="23">
        <v>83.89</v>
      </c>
      <c r="F117" s="2">
        <f t="shared" si="1"/>
        <v>1</v>
      </c>
      <c r="G117" s="2"/>
    </row>
    <row r="118" spans="2:7" x14ac:dyDescent="0.25">
      <c r="B118" s="3">
        <v>45589</v>
      </c>
      <c r="C118" s="2" t="s">
        <v>2304</v>
      </c>
      <c r="D118" s="2"/>
      <c r="E118" s="23">
        <v>83.89</v>
      </c>
      <c r="F118" s="2">
        <f t="shared" si="1"/>
        <v>0</v>
      </c>
      <c r="G118" s="2"/>
    </row>
    <row r="119" spans="2:7" x14ac:dyDescent="0.25">
      <c r="B119" s="3">
        <v>45590</v>
      </c>
      <c r="C119" s="2" t="s">
        <v>2304</v>
      </c>
      <c r="D119" s="2"/>
      <c r="E119" s="23">
        <v>83.89</v>
      </c>
      <c r="F119" s="2">
        <f t="shared" si="1"/>
        <v>0</v>
      </c>
      <c r="G119" s="2"/>
    </row>
    <row r="120" spans="2:7" x14ac:dyDescent="0.25">
      <c r="B120" s="3">
        <v>45591</v>
      </c>
      <c r="C120" s="2" t="s">
        <v>2304</v>
      </c>
      <c r="D120" s="2"/>
      <c r="E120" s="23">
        <v>83.89</v>
      </c>
      <c r="F120" s="2">
        <f t="shared" si="1"/>
        <v>0</v>
      </c>
      <c r="G120" s="2"/>
    </row>
    <row r="121" spans="2:7" x14ac:dyDescent="0.25">
      <c r="B121" s="3">
        <v>45592</v>
      </c>
      <c r="C121" s="2" t="s">
        <v>2304</v>
      </c>
      <c r="D121" s="2"/>
      <c r="E121" s="23">
        <v>83.89</v>
      </c>
      <c r="F121" s="2">
        <f t="shared" si="1"/>
        <v>0</v>
      </c>
      <c r="G121" s="2"/>
    </row>
    <row r="122" spans="2:7" x14ac:dyDescent="0.25">
      <c r="B122" s="3">
        <v>45593</v>
      </c>
      <c r="C122" s="2" t="s">
        <v>2337</v>
      </c>
      <c r="D122" s="2"/>
      <c r="E122" s="23">
        <v>84.23</v>
      </c>
      <c r="F122" s="2">
        <f t="shared" si="1"/>
        <v>0.34000000000000341</v>
      </c>
      <c r="G122" s="2">
        <v>1.5</v>
      </c>
    </row>
    <row r="123" spans="2:7" x14ac:dyDescent="0.25">
      <c r="B123" s="3">
        <v>45594</v>
      </c>
      <c r="C123" s="2" t="s">
        <v>2360</v>
      </c>
      <c r="D123" s="2"/>
      <c r="E123" s="23">
        <v>85.31</v>
      </c>
      <c r="F123" s="2">
        <f t="shared" si="1"/>
        <v>1.0799999999999983</v>
      </c>
      <c r="G123" s="2"/>
    </row>
    <row r="124" spans="2:7" x14ac:dyDescent="0.25">
      <c r="B124" s="3">
        <v>45595</v>
      </c>
      <c r="C124" s="2" t="s">
        <v>2361</v>
      </c>
      <c r="D124" s="2"/>
      <c r="E124" s="23">
        <v>85.91</v>
      </c>
      <c r="F124" s="2">
        <f t="shared" si="1"/>
        <v>0.59999999999999432</v>
      </c>
      <c r="G124" s="2"/>
    </row>
    <row r="125" spans="2:7" x14ac:dyDescent="0.25">
      <c r="B125" s="3">
        <v>45596</v>
      </c>
      <c r="C125" s="2" t="s">
        <v>1538</v>
      </c>
      <c r="D125" s="2"/>
      <c r="E125" s="23">
        <v>86.21</v>
      </c>
      <c r="F125" s="2">
        <f t="shared" si="1"/>
        <v>0.29999999999999716</v>
      </c>
      <c r="G125" s="2"/>
    </row>
    <row r="126" spans="2:7" x14ac:dyDescent="0.25">
      <c r="B126" s="3">
        <v>45597</v>
      </c>
      <c r="C126" s="2" t="s">
        <v>2007</v>
      </c>
      <c r="D126" s="2"/>
      <c r="E126" s="23">
        <v>86.91</v>
      </c>
      <c r="F126" s="2">
        <f t="shared" si="1"/>
        <v>0.70000000000000284</v>
      </c>
      <c r="G126" s="2"/>
    </row>
    <row r="127" spans="2:7" x14ac:dyDescent="0.25">
      <c r="B127" s="3">
        <v>45598</v>
      </c>
      <c r="C127" s="2" t="s">
        <v>2388</v>
      </c>
      <c r="D127" s="2"/>
      <c r="E127" s="23">
        <v>86.91</v>
      </c>
      <c r="F127" s="2">
        <f t="shared" si="1"/>
        <v>0</v>
      </c>
      <c r="G127" s="2"/>
    </row>
    <row r="128" spans="2:7" x14ac:dyDescent="0.25">
      <c r="B128" s="3">
        <v>45599</v>
      </c>
      <c r="C128" s="2"/>
      <c r="D128" s="2"/>
      <c r="E128" s="23">
        <v>86.91</v>
      </c>
      <c r="F128" s="2">
        <f t="shared" si="1"/>
        <v>0</v>
      </c>
      <c r="G128" s="2"/>
    </row>
    <row r="129" spans="2:7" x14ac:dyDescent="0.25">
      <c r="B129" s="3">
        <v>45600</v>
      </c>
      <c r="C129" s="2"/>
      <c r="D129" s="2"/>
      <c r="E129" s="23">
        <v>86.91</v>
      </c>
      <c r="F129" s="2">
        <f t="shared" si="1"/>
        <v>0</v>
      </c>
      <c r="G129" s="2"/>
    </row>
    <row r="130" spans="2:7" x14ac:dyDescent="0.25">
      <c r="B130" s="3">
        <v>45601</v>
      </c>
      <c r="C130" s="2"/>
      <c r="D130" s="2"/>
      <c r="E130" s="23">
        <v>86.91</v>
      </c>
      <c r="F130" s="2">
        <f t="shared" si="1"/>
        <v>0</v>
      </c>
      <c r="G130" s="2"/>
    </row>
    <row r="131" spans="2:7" x14ac:dyDescent="0.25">
      <c r="B131" s="3">
        <v>45602</v>
      </c>
      <c r="C131" s="2" t="s">
        <v>2406</v>
      </c>
      <c r="D131" s="2"/>
      <c r="E131" s="23">
        <v>86.91</v>
      </c>
      <c r="F131" s="2">
        <f t="shared" si="1"/>
        <v>0</v>
      </c>
      <c r="G131" s="2"/>
    </row>
    <row r="132" spans="2:7" x14ac:dyDescent="0.25">
      <c r="B132" s="3">
        <v>45603</v>
      </c>
      <c r="C132" s="2" t="s">
        <v>2419</v>
      </c>
      <c r="D132" s="2"/>
      <c r="E132" s="23">
        <v>87.7</v>
      </c>
      <c r="F132" s="2">
        <f t="shared" si="1"/>
        <v>0.79000000000000625</v>
      </c>
      <c r="G132" s="2"/>
    </row>
    <row r="133" spans="2:7" x14ac:dyDescent="0.25">
      <c r="B133" s="3">
        <v>45604</v>
      </c>
      <c r="C133" s="2" t="s">
        <v>2433</v>
      </c>
      <c r="D133" s="2"/>
      <c r="E133" s="23">
        <v>88.42</v>
      </c>
      <c r="F133" s="2">
        <f t="shared" si="1"/>
        <v>0.71999999999999886</v>
      </c>
      <c r="G133" s="2"/>
    </row>
    <row r="134" spans="2:7" x14ac:dyDescent="0.25">
      <c r="B134" s="3">
        <v>45605</v>
      </c>
      <c r="C134" s="2" t="s">
        <v>2448</v>
      </c>
      <c r="D134" s="2"/>
      <c r="E134" s="23">
        <v>90</v>
      </c>
      <c r="F134" s="2">
        <f t="shared" si="1"/>
        <v>1.5799999999999983</v>
      </c>
      <c r="G134" s="2"/>
    </row>
    <row r="135" spans="2:7" x14ac:dyDescent="0.25">
      <c r="B135" s="3">
        <v>45606</v>
      </c>
      <c r="C135" s="2"/>
      <c r="D135" s="2"/>
      <c r="E135" s="23">
        <v>90</v>
      </c>
      <c r="F135" s="2">
        <f t="shared" si="1"/>
        <v>0</v>
      </c>
      <c r="G135" s="2"/>
    </row>
    <row r="136" spans="2:7" x14ac:dyDescent="0.25">
      <c r="B136" s="3">
        <v>45607</v>
      </c>
      <c r="C136" s="2" t="s">
        <v>2474</v>
      </c>
      <c r="D136" s="2" t="s">
        <v>2487</v>
      </c>
      <c r="E136" s="23">
        <v>90</v>
      </c>
      <c r="F136" s="2">
        <f t="shared" si="1"/>
        <v>0</v>
      </c>
      <c r="G136" s="2"/>
    </row>
    <row r="137" spans="2:7" x14ac:dyDescent="0.25">
      <c r="B137" s="3">
        <v>45608</v>
      </c>
      <c r="C137" s="2" t="s">
        <v>2477</v>
      </c>
      <c r="D137" s="2" t="s">
        <v>2486</v>
      </c>
      <c r="E137" s="23">
        <v>90</v>
      </c>
      <c r="F137" s="2">
        <f t="shared" si="1"/>
        <v>0</v>
      </c>
      <c r="G137" s="2"/>
    </row>
    <row r="138" spans="2:7" x14ac:dyDescent="0.25">
      <c r="B138" s="3">
        <v>45609</v>
      </c>
      <c r="C138" s="2" t="s">
        <v>2494</v>
      </c>
      <c r="D138" s="2"/>
      <c r="E138" s="23">
        <v>90</v>
      </c>
      <c r="F138" s="2">
        <f t="shared" ref="F138:F201" si="2">E138-E137</f>
        <v>0</v>
      </c>
      <c r="G138" s="2"/>
    </row>
    <row r="139" spans="2:7" x14ac:dyDescent="0.25">
      <c r="B139" s="3">
        <v>45610</v>
      </c>
      <c r="C139" s="2" t="s">
        <v>2494</v>
      </c>
      <c r="D139" s="2"/>
      <c r="E139" s="23">
        <v>90</v>
      </c>
      <c r="F139" s="2">
        <f t="shared" si="2"/>
        <v>0</v>
      </c>
      <c r="G139" s="2"/>
    </row>
    <row r="140" spans="2:7" x14ac:dyDescent="0.25">
      <c r="B140" s="3">
        <v>45611</v>
      </c>
      <c r="C140" s="2"/>
      <c r="D140" s="2"/>
      <c r="E140" s="23">
        <v>90</v>
      </c>
      <c r="F140" s="2">
        <f t="shared" si="2"/>
        <v>0</v>
      </c>
      <c r="G140" s="2"/>
    </row>
    <row r="141" spans="2:7" x14ac:dyDescent="0.25">
      <c r="B141" s="3">
        <v>45612</v>
      </c>
      <c r="C141" s="2"/>
      <c r="D141" s="2"/>
      <c r="E141" s="23">
        <v>90</v>
      </c>
      <c r="F141" s="2">
        <f t="shared" si="2"/>
        <v>0</v>
      </c>
      <c r="G141" s="2"/>
    </row>
    <row r="142" spans="2:7" x14ac:dyDescent="0.25">
      <c r="B142" s="3">
        <v>45613</v>
      </c>
      <c r="C142" s="2"/>
      <c r="D142" s="2"/>
      <c r="E142" s="23">
        <v>90</v>
      </c>
      <c r="F142" s="2">
        <f t="shared" si="2"/>
        <v>0</v>
      </c>
      <c r="G142" s="2"/>
    </row>
    <row r="143" spans="2:7" x14ac:dyDescent="0.25">
      <c r="B143" s="3">
        <v>45614</v>
      </c>
      <c r="C143" s="2"/>
      <c r="D143" s="2"/>
      <c r="E143" s="23">
        <v>90</v>
      </c>
      <c r="F143" s="2">
        <f t="shared" si="2"/>
        <v>0</v>
      </c>
      <c r="G143" s="2"/>
    </row>
    <row r="144" spans="2:7" x14ac:dyDescent="0.25">
      <c r="B144" s="3">
        <v>45615</v>
      </c>
      <c r="C144" s="2" t="s">
        <v>2223</v>
      </c>
      <c r="D144" s="2"/>
      <c r="E144" s="23">
        <v>90</v>
      </c>
      <c r="F144" s="2">
        <f t="shared" si="2"/>
        <v>0</v>
      </c>
      <c r="G144" s="2"/>
    </row>
    <row r="145" spans="2:7" x14ac:dyDescent="0.25">
      <c r="B145" s="3">
        <v>45616</v>
      </c>
      <c r="C145" s="2" t="s">
        <v>2223</v>
      </c>
      <c r="D145" s="2" t="s">
        <v>2566</v>
      </c>
      <c r="E145" s="23">
        <v>90</v>
      </c>
      <c r="F145" s="2">
        <f t="shared" si="2"/>
        <v>0</v>
      </c>
      <c r="G145" s="2"/>
    </row>
    <row r="146" spans="2:7" x14ac:dyDescent="0.25">
      <c r="B146" s="3">
        <v>45617</v>
      </c>
      <c r="C146" s="2" t="s">
        <v>2223</v>
      </c>
      <c r="D146" s="2"/>
      <c r="E146" s="23">
        <v>90</v>
      </c>
      <c r="F146" s="2">
        <f t="shared" si="2"/>
        <v>0</v>
      </c>
      <c r="G146" s="2"/>
    </row>
    <row r="147" spans="2:7" x14ac:dyDescent="0.25">
      <c r="B147" s="3">
        <v>45618</v>
      </c>
      <c r="C147" s="2" t="s">
        <v>2223</v>
      </c>
      <c r="D147" s="2"/>
      <c r="E147" s="23">
        <v>90</v>
      </c>
      <c r="F147" s="2">
        <f t="shared" si="2"/>
        <v>0</v>
      </c>
      <c r="G147" s="2"/>
    </row>
    <row r="148" spans="2:7" x14ac:dyDescent="0.25">
      <c r="B148" s="3">
        <v>45619</v>
      </c>
      <c r="C148" s="2" t="s">
        <v>2593</v>
      </c>
      <c r="D148" s="2"/>
      <c r="E148" s="23">
        <v>90</v>
      </c>
      <c r="F148" s="2">
        <f t="shared" si="2"/>
        <v>0</v>
      </c>
      <c r="G148" s="2"/>
    </row>
    <row r="149" spans="2:7" x14ac:dyDescent="0.25">
      <c r="B149" s="3">
        <v>45620</v>
      </c>
      <c r="C149" s="2"/>
      <c r="D149" s="2"/>
      <c r="E149" s="23">
        <v>90</v>
      </c>
      <c r="F149" s="2">
        <f t="shared" si="2"/>
        <v>0</v>
      </c>
      <c r="G149" s="2"/>
    </row>
    <row r="150" spans="2:7" x14ac:dyDescent="0.25">
      <c r="B150" s="3">
        <v>45621</v>
      </c>
      <c r="C150" s="2" t="s">
        <v>2610</v>
      </c>
      <c r="D150" s="2"/>
      <c r="E150" s="23">
        <v>90</v>
      </c>
      <c r="F150" s="2">
        <f t="shared" si="2"/>
        <v>0</v>
      </c>
      <c r="G150" s="2"/>
    </row>
    <row r="151" spans="2:7" x14ac:dyDescent="0.25">
      <c r="B151" s="3">
        <v>45622</v>
      </c>
      <c r="C151" s="2" t="s">
        <v>2622</v>
      </c>
      <c r="D151" s="2"/>
      <c r="E151" s="23">
        <v>90</v>
      </c>
      <c r="F151" s="2">
        <f t="shared" si="2"/>
        <v>0</v>
      </c>
      <c r="G151" s="2"/>
    </row>
    <row r="152" spans="2:7" x14ac:dyDescent="0.25">
      <c r="B152" s="3">
        <v>45623</v>
      </c>
      <c r="C152" s="2" t="s">
        <v>2622</v>
      </c>
      <c r="D152" s="2" t="s">
        <v>2629</v>
      </c>
      <c r="E152" s="23">
        <v>90</v>
      </c>
      <c r="F152" s="2">
        <f t="shared" si="2"/>
        <v>0</v>
      </c>
      <c r="G152" s="2"/>
    </row>
    <row r="153" spans="2:7" x14ac:dyDescent="0.25">
      <c r="B153" s="3">
        <v>45624</v>
      </c>
      <c r="C153" s="2" t="s">
        <v>2622</v>
      </c>
      <c r="D153" s="2"/>
      <c r="E153" s="23">
        <v>90</v>
      </c>
      <c r="F153" s="2">
        <f t="shared" si="2"/>
        <v>0</v>
      </c>
      <c r="G153" s="2"/>
    </row>
    <row r="154" spans="2:7" x14ac:dyDescent="0.25">
      <c r="B154" s="3">
        <v>45625</v>
      </c>
      <c r="C154" s="2" t="s">
        <v>2642</v>
      </c>
      <c r="D154" s="2"/>
      <c r="E154" s="23">
        <v>90</v>
      </c>
      <c r="F154" s="2">
        <f t="shared" si="2"/>
        <v>0</v>
      </c>
      <c r="G154" s="2"/>
    </row>
    <row r="155" spans="2:7" x14ac:dyDescent="0.25">
      <c r="B155" s="3">
        <v>45626</v>
      </c>
      <c r="C155" s="2"/>
      <c r="D155" s="2"/>
      <c r="E155" s="23">
        <v>90</v>
      </c>
      <c r="F155" s="2">
        <f t="shared" si="2"/>
        <v>0</v>
      </c>
      <c r="G155" s="2"/>
    </row>
    <row r="156" spans="2:7" x14ac:dyDescent="0.25">
      <c r="B156" s="3">
        <v>45627</v>
      </c>
      <c r="C156" s="2"/>
      <c r="D156" s="2"/>
      <c r="E156" s="23">
        <v>90</v>
      </c>
      <c r="F156" s="2">
        <f t="shared" si="2"/>
        <v>0</v>
      </c>
      <c r="G156" s="2"/>
    </row>
    <row r="157" spans="2:7" x14ac:dyDescent="0.25">
      <c r="B157" s="3">
        <v>45628</v>
      </c>
      <c r="C157" s="2"/>
      <c r="D157" s="2"/>
      <c r="E157" s="23">
        <v>90</v>
      </c>
      <c r="F157" s="2">
        <f t="shared" si="2"/>
        <v>0</v>
      </c>
      <c r="G157" s="2"/>
    </row>
    <row r="158" spans="2:7" x14ac:dyDescent="0.25">
      <c r="B158" s="3">
        <v>45629</v>
      </c>
      <c r="C158" s="2"/>
      <c r="D158" s="2"/>
      <c r="E158" s="23">
        <v>90</v>
      </c>
      <c r="F158" s="2">
        <f t="shared" si="2"/>
        <v>0</v>
      </c>
      <c r="G158" s="2"/>
    </row>
    <row r="159" spans="2:7" x14ac:dyDescent="0.25">
      <c r="B159" s="3">
        <v>45630</v>
      </c>
      <c r="C159" s="2" t="s">
        <v>2687</v>
      </c>
      <c r="D159" s="2"/>
      <c r="E159" s="23">
        <v>89.4</v>
      </c>
      <c r="F159" s="2">
        <f t="shared" si="2"/>
        <v>-0.59999999999999432</v>
      </c>
      <c r="G159" s="2"/>
    </row>
    <row r="160" spans="2:7" x14ac:dyDescent="0.25">
      <c r="B160" s="3">
        <v>45631</v>
      </c>
      <c r="C160" s="2" t="s">
        <v>2697</v>
      </c>
      <c r="D160" s="2"/>
      <c r="E160" s="23">
        <v>90.2</v>
      </c>
      <c r="F160" s="2">
        <f t="shared" si="2"/>
        <v>0.79999999999999716</v>
      </c>
      <c r="G160" s="2"/>
    </row>
    <row r="161" spans="2:7" x14ac:dyDescent="0.25">
      <c r="B161" s="3">
        <v>45632</v>
      </c>
      <c r="C161" s="2" t="s">
        <v>2704</v>
      </c>
      <c r="D161" s="2"/>
      <c r="E161" s="23">
        <v>91</v>
      </c>
      <c r="F161" s="2">
        <f t="shared" si="2"/>
        <v>0.79999999999999716</v>
      </c>
      <c r="G161" s="2"/>
    </row>
    <row r="162" spans="2:7" x14ac:dyDescent="0.25">
      <c r="B162" s="3">
        <v>45633</v>
      </c>
      <c r="C162" s="2" t="s">
        <v>2704</v>
      </c>
      <c r="D162" s="2"/>
      <c r="E162" s="23">
        <v>91</v>
      </c>
      <c r="F162" s="2">
        <f t="shared" si="2"/>
        <v>0</v>
      </c>
      <c r="G162" s="2"/>
    </row>
    <row r="163" spans="2:7" x14ac:dyDescent="0.25">
      <c r="B163" s="3">
        <v>45634</v>
      </c>
      <c r="C163" s="2" t="s">
        <v>2716</v>
      </c>
      <c r="D163" s="2"/>
      <c r="E163" s="23">
        <v>91</v>
      </c>
      <c r="F163" s="2">
        <f t="shared" si="2"/>
        <v>0</v>
      </c>
      <c r="G163" s="2"/>
    </row>
    <row r="164" spans="2:7" x14ac:dyDescent="0.25">
      <c r="B164" s="3">
        <v>45635</v>
      </c>
      <c r="C164" s="2" t="s">
        <v>2746</v>
      </c>
      <c r="D164" s="2"/>
      <c r="E164" s="23">
        <v>91</v>
      </c>
      <c r="F164" s="2">
        <f t="shared" si="2"/>
        <v>0</v>
      </c>
      <c r="G164" s="2"/>
    </row>
    <row r="165" spans="2:7" x14ac:dyDescent="0.25">
      <c r="B165" s="3">
        <v>45636</v>
      </c>
      <c r="C165" s="2" t="s">
        <v>2753</v>
      </c>
      <c r="D165" s="2"/>
      <c r="E165" s="23">
        <v>91</v>
      </c>
      <c r="F165" s="2">
        <f t="shared" si="2"/>
        <v>0</v>
      </c>
      <c r="G165" s="2"/>
    </row>
    <row r="166" spans="2:7" x14ac:dyDescent="0.25">
      <c r="B166" s="3">
        <v>45637</v>
      </c>
      <c r="C166" s="2" t="s">
        <v>1178</v>
      </c>
      <c r="D166" s="2"/>
      <c r="E166" s="23">
        <v>91</v>
      </c>
      <c r="F166" s="2">
        <f t="shared" si="2"/>
        <v>0</v>
      </c>
      <c r="G166" s="2"/>
    </row>
    <row r="167" spans="2:7" x14ac:dyDescent="0.25">
      <c r="B167" s="3">
        <v>45638</v>
      </c>
      <c r="C167" s="2" t="s">
        <v>1178</v>
      </c>
      <c r="D167" s="2"/>
      <c r="E167" s="23">
        <v>91</v>
      </c>
      <c r="F167" s="2">
        <f t="shared" si="2"/>
        <v>0</v>
      </c>
      <c r="G167" s="2"/>
    </row>
    <row r="168" spans="2:7" x14ac:dyDescent="0.25">
      <c r="B168" s="3">
        <v>45639</v>
      </c>
      <c r="C168" s="2" t="s">
        <v>149</v>
      </c>
      <c r="D168" s="2" t="s">
        <v>2770</v>
      </c>
      <c r="E168" s="23">
        <v>91</v>
      </c>
      <c r="F168" s="2">
        <f t="shared" si="2"/>
        <v>0</v>
      </c>
      <c r="G168" s="2"/>
    </row>
    <row r="169" spans="2:7" x14ac:dyDescent="0.25">
      <c r="B169" s="3">
        <v>45640</v>
      </c>
      <c r="C169" s="2"/>
      <c r="D169" s="2"/>
      <c r="E169" s="23">
        <v>91</v>
      </c>
      <c r="F169" s="2">
        <f t="shared" si="2"/>
        <v>0</v>
      </c>
      <c r="G169" s="2"/>
    </row>
    <row r="170" spans="2:7" x14ac:dyDescent="0.25">
      <c r="B170" s="3">
        <v>45641</v>
      </c>
      <c r="C170" s="2" t="s">
        <v>2786</v>
      </c>
      <c r="D170" s="2"/>
      <c r="E170" s="23">
        <v>91</v>
      </c>
      <c r="F170" s="2">
        <f t="shared" si="2"/>
        <v>0</v>
      </c>
      <c r="G170" s="2"/>
    </row>
    <row r="171" spans="2:7" x14ac:dyDescent="0.25">
      <c r="B171" s="3">
        <v>45642</v>
      </c>
      <c r="C171" s="2"/>
      <c r="D171" s="2"/>
      <c r="E171" s="23">
        <v>91</v>
      </c>
      <c r="F171" s="2">
        <f t="shared" si="2"/>
        <v>0</v>
      </c>
      <c r="G171" s="2"/>
    </row>
    <row r="172" spans="2:7" x14ac:dyDescent="0.25">
      <c r="B172" s="3">
        <v>45643</v>
      </c>
      <c r="C172" s="2"/>
      <c r="D172" s="2"/>
      <c r="E172" s="23">
        <v>91</v>
      </c>
      <c r="F172" s="2">
        <f t="shared" si="2"/>
        <v>0</v>
      </c>
      <c r="G172" s="2"/>
    </row>
    <row r="173" spans="2:7" x14ac:dyDescent="0.25">
      <c r="B173" s="3">
        <v>45644</v>
      </c>
      <c r="C173" s="2"/>
      <c r="D173" s="2"/>
      <c r="E173" s="23">
        <v>91</v>
      </c>
      <c r="F173" s="2">
        <f t="shared" si="2"/>
        <v>0</v>
      </c>
      <c r="G173" s="2"/>
    </row>
    <row r="174" spans="2:7" x14ac:dyDescent="0.25">
      <c r="B174" s="3">
        <v>45645</v>
      </c>
      <c r="C174" s="2" t="s">
        <v>2820</v>
      </c>
      <c r="D174" s="2"/>
      <c r="E174" s="23">
        <v>91</v>
      </c>
      <c r="F174" s="2">
        <f t="shared" si="2"/>
        <v>0</v>
      </c>
      <c r="G174" s="2"/>
    </row>
    <row r="175" spans="2:7" x14ac:dyDescent="0.25">
      <c r="B175" s="3">
        <v>45646</v>
      </c>
      <c r="C175" s="2"/>
      <c r="D175" s="2"/>
      <c r="E175" s="23">
        <v>91</v>
      </c>
      <c r="F175" s="2">
        <f t="shared" si="2"/>
        <v>0</v>
      </c>
      <c r="G175" s="2"/>
    </row>
    <row r="176" spans="2:7" x14ac:dyDescent="0.25">
      <c r="B176" s="3">
        <v>45647</v>
      </c>
      <c r="C176" s="2"/>
      <c r="D176" s="2"/>
      <c r="E176" s="23">
        <v>91</v>
      </c>
      <c r="F176" s="2">
        <f t="shared" si="2"/>
        <v>0</v>
      </c>
      <c r="G176" s="2"/>
    </row>
    <row r="177" spans="2:7" x14ac:dyDescent="0.25">
      <c r="B177" s="3">
        <v>45648</v>
      </c>
      <c r="C177" s="2" t="s">
        <v>2838</v>
      </c>
      <c r="D177" s="2"/>
      <c r="E177" s="23">
        <v>91</v>
      </c>
      <c r="F177" s="2">
        <f t="shared" si="2"/>
        <v>0</v>
      </c>
      <c r="G177" s="2"/>
    </row>
    <row r="178" spans="2:7" x14ac:dyDescent="0.25">
      <c r="B178" s="3">
        <v>45649</v>
      </c>
      <c r="C178" s="2"/>
      <c r="D178" s="2" t="s">
        <v>2872</v>
      </c>
      <c r="E178" s="23">
        <v>91</v>
      </c>
      <c r="F178" s="2">
        <f t="shared" si="2"/>
        <v>0</v>
      </c>
      <c r="G178" s="2"/>
    </row>
    <row r="179" spans="2:7" x14ac:dyDescent="0.25">
      <c r="B179" s="3">
        <v>45650</v>
      </c>
      <c r="C179" s="2"/>
      <c r="D179" s="2"/>
      <c r="E179" s="23">
        <v>91</v>
      </c>
      <c r="F179" s="2">
        <f t="shared" si="2"/>
        <v>0</v>
      </c>
      <c r="G179" s="2"/>
    </row>
    <row r="180" spans="2:7" x14ac:dyDescent="0.25">
      <c r="B180" s="3">
        <v>45651</v>
      </c>
      <c r="C180" s="2" t="s">
        <v>805</v>
      </c>
      <c r="D180" s="2"/>
      <c r="E180" s="23">
        <v>91</v>
      </c>
      <c r="F180" s="2">
        <f t="shared" si="2"/>
        <v>0</v>
      </c>
      <c r="G180" s="2"/>
    </row>
    <row r="181" spans="2:7" x14ac:dyDescent="0.25">
      <c r="B181" s="3">
        <v>45652</v>
      </c>
      <c r="C181" s="2" t="s">
        <v>805</v>
      </c>
      <c r="D181" s="2"/>
      <c r="E181" s="23">
        <v>91</v>
      </c>
      <c r="F181" s="2">
        <f t="shared" si="2"/>
        <v>0</v>
      </c>
      <c r="G181" s="2"/>
    </row>
    <row r="182" spans="2:7" x14ac:dyDescent="0.25">
      <c r="B182" s="3">
        <v>45653</v>
      </c>
      <c r="C182" s="2" t="s">
        <v>805</v>
      </c>
      <c r="D182" s="2"/>
      <c r="E182" s="23">
        <v>91</v>
      </c>
      <c r="F182" s="2">
        <f t="shared" si="2"/>
        <v>0</v>
      </c>
      <c r="G182" s="2"/>
    </row>
    <row r="183" spans="2:7" x14ac:dyDescent="0.25">
      <c r="B183" s="3">
        <v>45654</v>
      </c>
      <c r="C183" s="2" t="s">
        <v>805</v>
      </c>
      <c r="D183" s="2"/>
      <c r="E183" s="23">
        <v>91</v>
      </c>
      <c r="F183" s="2">
        <f t="shared" si="2"/>
        <v>0</v>
      </c>
      <c r="G183" s="2"/>
    </row>
    <row r="184" spans="2:7" x14ac:dyDescent="0.25">
      <c r="B184" s="3">
        <v>45655</v>
      </c>
      <c r="C184" s="2" t="s">
        <v>805</v>
      </c>
      <c r="D184" s="2" t="s">
        <v>2930</v>
      </c>
      <c r="E184" s="23">
        <v>91</v>
      </c>
      <c r="F184" s="2">
        <f t="shared" si="2"/>
        <v>0</v>
      </c>
      <c r="G184" s="2"/>
    </row>
    <row r="185" spans="2:7" x14ac:dyDescent="0.25">
      <c r="B185" s="3">
        <v>45656</v>
      </c>
      <c r="C185" s="2" t="s">
        <v>805</v>
      </c>
      <c r="D185" s="2"/>
      <c r="E185" s="23">
        <v>91</v>
      </c>
      <c r="F185" s="2">
        <f t="shared" si="2"/>
        <v>0</v>
      </c>
      <c r="G185" s="2"/>
    </row>
    <row r="186" spans="2:7" x14ac:dyDescent="0.25">
      <c r="B186" s="3">
        <v>45657</v>
      </c>
      <c r="C186" s="2" t="s">
        <v>805</v>
      </c>
      <c r="D186" s="2"/>
      <c r="E186" s="23">
        <v>91</v>
      </c>
      <c r="F186" s="2">
        <f t="shared" si="2"/>
        <v>0</v>
      </c>
      <c r="G186" s="2"/>
    </row>
    <row r="187" spans="2:7" x14ac:dyDescent="0.25">
      <c r="B187" s="4">
        <v>45658</v>
      </c>
      <c r="C187" s="2" t="s">
        <v>805</v>
      </c>
      <c r="D187" s="2"/>
      <c r="E187" s="23">
        <v>91</v>
      </c>
      <c r="F187" s="2">
        <f t="shared" si="2"/>
        <v>0</v>
      </c>
      <c r="G187" s="2"/>
    </row>
    <row r="188" spans="2:7" x14ac:dyDescent="0.25">
      <c r="B188" s="4">
        <v>45659</v>
      </c>
      <c r="C188" s="2" t="s">
        <v>3013</v>
      </c>
      <c r="D188" s="2"/>
      <c r="E188" s="23">
        <v>91</v>
      </c>
      <c r="F188" s="2">
        <f t="shared" si="2"/>
        <v>0</v>
      </c>
      <c r="G188" s="2"/>
    </row>
    <row r="189" spans="2:7" x14ac:dyDescent="0.25">
      <c r="B189" s="4">
        <v>45660</v>
      </c>
      <c r="C189" s="2"/>
      <c r="D189" s="2"/>
      <c r="E189" s="23">
        <v>91</v>
      </c>
      <c r="F189" s="2">
        <f t="shared" si="2"/>
        <v>0</v>
      </c>
      <c r="G189" s="2"/>
    </row>
    <row r="190" spans="2:7" x14ac:dyDescent="0.25">
      <c r="B190" s="4">
        <v>45661</v>
      </c>
      <c r="C190" s="2"/>
      <c r="D190" s="2"/>
      <c r="E190" s="23">
        <v>91</v>
      </c>
      <c r="F190" s="2">
        <f t="shared" si="2"/>
        <v>0</v>
      </c>
      <c r="G190" s="2"/>
    </row>
    <row r="191" spans="2:7" x14ac:dyDescent="0.25">
      <c r="B191" s="4">
        <v>45662</v>
      </c>
      <c r="C191" s="2"/>
      <c r="D191" s="2"/>
      <c r="E191" s="23">
        <v>91</v>
      </c>
      <c r="F191" s="2">
        <f t="shared" si="2"/>
        <v>0</v>
      </c>
      <c r="G191" s="2"/>
    </row>
    <row r="192" spans="2:7" x14ac:dyDescent="0.25">
      <c r="B192" s="4">
        <v>45663</v>
      </c>
      <c r="C192" s="2"/>
      <c r="D192" s="2"/>
      <c r="E192" s="23">
        <v>91</v>
      </c>
      <c r="F192" s="2">
        <f t="shared" si="2"/>
        <v>0</v>
      </c>
      <c r="G192" s="2"/>
    </row>
    <row r="193" spans="2:7" x14ac:dyDescent="0.25">
      <c r="B193" s="4">
        <v>45664</v>
      </c>
      <c r="C193" s="2"/>
      <c r="D193" s="2"/>
      <c r="E193" s="23">
        <v>91</v>
      </c>
      <c r="F193" s="2">
        <f t="shared" si="2"/>
        <v>0</v>
      </c>
      <c r="G193" s="2"/>
    </row>
    <row r="194" spans="2:7" x14ac:dyDescent="0.25">
      <c r="B194" s="4">
        <v>45665</v>
      </c>
      <c r="C194" s="2"/>
      <c r="D194" s="2" t="s">
        <v>3079</v>
      </c>
      <c r="E194" s="23">
        <v>91</v>
      </c>
      <c r="F194" s="2">
        <f t="shared" si="2"/>
        <v>0</v>
      </c>
      <c r="G194" s="2"/>
    </row>
    <row r="195" spans="2:7" x14ac:dyDescent="0.25">
      <c r="B195" s="4">
        <v>45666</v>
      </c>
      <c r="C195" s="2"/>
      <c r="D195" s="2"/>
      <c r="E195" s="23">
        <v>91</v>
      </c>
      <c r="F195" s="2">
        <f t="shared" si="2"/>
        <v>0</v>
      </c>
      <c r="G195" s="2"/>
    </row>
    <row r="196" spans="2:7" x14ac:dyDescent="0.25">
      <c r="B196" s="4">
        <v>45667</v>
      </c>
      <c r="C196" s="2"/>
      <c r="D196" s="2"/>
      <c r="E196" s="23">
        <v>91</v>
      </c>
      <c r="F196" s="2">
        <f t="shared" si="2"/>
        <v>0</v>
      </c>
      <c r="G196" s="2"/>
    </row>
    <row r="197" spans="2:7" x14ac:dyDescent="0.25">
      <c r="B197" s="4">
        <v>45668</v>
      </c>
      <c r="C197" s="2"/>
      <c r="D197" s="2"/>
      <c r="E197" s="23">
        <v>91</v>
      </c>
      <c r="F197" s="2">
        <f t="shared" si="2"/>
        <v>0</v>
      </c>
      <c r="G197" s="2"/>
    </row>
    <row r="198" spans="2:7" x14ac:dyDescent="0.25">
      <c r="B198" s="4">
        <v>45669</v>
      </c>
      <c r="C198" s="2"/>
      <c r="D198" s="2"/>
      <c r="E198" s="23">
        <v>91</v>
      </c>
      <c r="F198" s="2">
        <f t="shared" si="2"/>
        <v>0</v>
      </c>
      <c r="G198" s="2"/>
    </row>
    <row r="199" spans="2:7" x14ac:dyDescent="0.25">
      <c r="B199" s="4">
        <v>45670</v>
      </c>
      <c r="C199" s="2"/>
      <c r="D199" s="2"/>
      <c r="E199" s="23">
        <v>91</v>
      </c>
      <c r="F199" s="2">
        <f t="shared" si="2"/>
        <v>0</v>
      </c>
      <c r="G199" s="2"/>
    </row>
    <row r="200" spans="2:7" x14ac:dyDescent="0.25">
      <c r="B200" s="4">
        <v>45671</v>
      </c>
      <c r="C200" s="2"/>
      <c r="D200" s="2"/>
      <c r="E200" s="23">
        <v>91</v>
      </c>
      <c r="F200" s="2">
        <f t="shared" si="2"/>
        <v>0</v>
      </c>
      <c r="G200" s="2"/>
    </row>
    <row r="201" spans="2:7" x14ac:dyDescent="0.25">
      <c r="B201" s="4">
        <v>45672</v>
      </c>
      <c r="C201" s="2"/>
      <c r="D201" s="2"/>
      <c r="E201" s="23">
        <v>91</v>
      </c>
      <c r="F201" s="2">
        <f t="shared" si="2"/>
        <v>0</v>
      </c>
      <c r="G201" s="2"/>
    </row>
    <row r="202" spans="2:7" x14ac:dyDescent="0.25">
      <c r="B202" s="4">
        <v>45673</v>
      </c>
      <c r="C202" s="2"/>
      <c r="D202" s="2"/>
      <c r="E202" s="23">
        <v>91</v>
      </c>
      <c r="F202" s="2">
        <f t="shared" ref="F202:F267" si="3">E202-E201</f>
        <v>0</v>
      </c>
      <c r="G202" s="2"/>
    </row>
    <row r="203" spans="2:7" x14ac:dyDescent="0.25">
      <c r="B203" s="4">
        <v>45674</v>
      </c>
      <c r="C203" s="2"/>
      <c r="D203" s="2"/>
      <c r="E203" s="23">
        <v>91</v>
      </c>
      <c r="F203" s="2">
        <f t="shared" si="3"/>
        <v>0</v>
      </c>
      <c r="G203" s="2"/>
    </row>
    <row r="204" spans="2:7" x14ac:dyDescent="0.25">
      <c r="B204" s="4">
        <v>45675</v>
      </c>
      <c r="C204" s="2"/>
      <c r="D204" s="2"/>
      <c r="E204" s="23">
        <v>91</v>
      </c>
      <c r="F204" s="2">
        <f t="shared" si="3"/>
        <v>0</v>
      </c>
      <c r="G204" s="2"/>
    </row>
    <row r="205" spans="2:7" x14ac:dyDescent="0.25">
      <c r="B205" s="4">
        <v>45676</v>
      </c>
      <c r="C205" s="2"/>
      <c r="D205" s="2"/>
      <c r="E205" s="23">
        <v>91</v>
      </c>
      <c r="F205" s="2">
        <f t="shared" si="3"/>
        <v>0</v>
      </c>
      <c r="G205" s="2"/>
    </row>
    <row r="206" spans="2:7" x14ac:dyDescent="0.25">
      <c r="B206" s="4">
        <v>45677</v>
      </c>
      <c r="C206" s="2"/>
      <c r="D206" s="2"/>
      <c r="E206" s="23">
        <v>91</v>
      </c>
      <c r="F206" s="2">
        <f t="shared" si="3"/>
        <v>0</v>
      </c>
      <c r="G206" s="2"/>
    </row>
    <row r="207" spans="2:7" x14ac:dyDescent="0.25">
      <c r="B207" s="4">
        <v>45678</v>
      </c>
      <c r="C207" s="2"/>
      <c r="D207" s="2"/>
      <c r="E207" s="23">
        <v>91</v>
      </c>
      <c r="F207" s="2">
        <f t="shared" si="3"/>
        <v>0</v>
      </c>
      <c r="G207" s="2"/>
    </row>
    <row r="208" spans="2:7" x14ac:dyDescent="0.25">
      <c r="B208" s="4">
        <v>45679</v>
      </c>
      <c r="C208" s="2" t="s">
        <v>3201</v>
      </c>
      <c r="D208" s="2"/>
      <c r="E208" s="23">
        <v>91</v>
      </c>
      <c r="F208" s="2">
        <f t="shared" si="3"/>
        <v>0</v>
      </c>
      <c r="G208" s="2"/>
    </row>
    <row r="209" spans="2:7" x14ac:dyDescent="0.25">
      <c r="B209" s="4">
        <v>45680</v>
      </c>
      <c r="C209" s="2" t="s">
        <v>3204</v>
      </c>
      <c r="D209" s="2"/>
      <c r="E209" s="23">
        <v>91</v>
      </c>
      <c r="F209" s="2">
        <f t="shared" si="3"/>
        <v>0</v>
      </c>
      <c r="G209" s="2"/>
    </row>
    <row r="210" spans="2:7" x14ac:dyDescent="0.25">
      <c r="B210" s="4">
        <v>45681</v>
      </c>
      <c r="C210" s="2" t="s">
        <v>480</v>
      </c>
      <c r="D210" s="2"/>
      <c r="E210" s="23">
        <v>91</v>
      </c>
      <c r="F210" s="2">
        <f t="shared" si="3"/>
        <v>0</v>
      </c>
      <c r="G210" s="2"/>
    </row>
    <row r="211" spans="2:7" x14ac:dyDescent="0.25">
      <c r="B211" s="4">
        <v>45682</v>
      </c>
      <c r="C211" s="2" t="s">
        <v>480</v>
      </c>
      <c r="D211" s="2"/>
      <c r="E211" s="23">
        <v>91</v>
      </c>
      <c r="F211" s="2">
        <f t="shared" si="3"/>
        <v>0</v>
      </c>
      <c r="G211" s="2"/>
    </row>
    <row r="212" spans="2:7" x14ac:dyDescent="0.25">
      <c r="B212" s="4">
        <v>45683</v>
      </c>
      <c r="C212" s="2" t="s">
        <v>480</v>
      </c>
      <c r="D212" s="2"/>
      <c r="E212" s="23">
        <v>91</v>
      </c>
      <c r="F212" s="2">
        <f t="shared" si="3"/>
        <v>0</v>
      </c>
      <c r="G212" s="2"/>
    </row>
    <row r="213" spans="2:7" x14ac:dyDescent="0.25">
      <c r="B213" s="4">
        <v>45684</v>
      </c>
      <c r="C213" s="2" t="s">
        <v>480</v>
      </c>
      <c r="D213" s="2"/>
      <c r="E213" s="23">
        <v>91</v>
      </c>
      <c r="F213" s="2">
        <f t="shared" si="3"/>
        <v>0</v>
      </c>
      <c r="G213" s="2"/>
    </row>
    <row r="214" spans="2:7" x14ac:dyDescent="0.25">
      <c r="B214" s="4">
        <v>45685</v>
      </c>
      <c r="C214" s="2" t="s">
        <v>480</v>
      </c>
      <c r="D214" s="2"/>
      <c r="E214" s="23">
        <v>91</v>
      </c>
      <c r="F214" s="2">
        <f t="shared" si="3"/>
        <v>0</v>
      </c>
      <c r="G214" s="2"/>
    </row>
    <row r="215" spans="2:7" x14ac:dyDescent="0.25">
      <c r="B215" s="4">
        <v>45686</v>
      </c>
      <c r="C215" s="2" t="s">
        <v>480</v>
      </c>
      <c r="D215" s="2"/>
      <c r="E215" s="23">
        <v>91</v>
      </c>
      <c r="F215" s="2">
        <f t="shared" si="3"/>
        <v>0</v>
      </c>
      <c r="G215" s="2"/>
    </row>
    <row r="216" spans="2:7" x14ac:dyDescent="0.25">
      <c r="B216" s="4">
        <v>45687</v>
      </c>
      <c r="C216" s="2" t="s">
        <v>3259</v>
      </c>
      <c r="D216" s="2"/>
      <c r="E216" s="23">
        <v>91</v>
      </c>
      <c r="F216" s="2">
        <f t="shared" si="3"/>
        <v>0</v>
      </c>
      <c r="G216" s="2"/>
    </row>
    <row r="217" spans="2:7" x14ac:dyDescent="0.25">
      <c r="B217" s="4">
        <v>45688</v>
      </c>
      <c r="C217" s="2"/>
      <c r="D217" s="2"/>
      <c r="E217" s="23">
        <v>91</v>
      </c>
      <c r="F217" s="2">
        <f t="shared" si="3"/>
        <v>0</v>
      </c>
      <c r="G217" s="2"/>
    </row>
    <row r="218" spans="2:7" x14ac:dyDescent="0.25">
      <c r="B218" s="4">
        <v>45689</v>
      </c>
      <c r="C218" s="2" t="s">
        <v>3269</v>
      </c>
      <c r="D218" s="2"/>
      <c r="E218" s="23">
        <v>91</v>
      </c>
      <c r="F218" s="2">
        <f t="shared" si="3"/>
        <v>0</v>
      </c>
      <c r="G218" s="2"/>
    </row>
    <row r="219" spans="2:7" x14ac:dyDescent="0.25">
      <c r="B219" s="4">
        <v>45690</v>
      </c>
      <c r="C219" s="2" t="s">
        <v>3268</v>
      </c>
      <c r="D219" s="2"/>
      <c r="E219" s="23">
        <v>91</v>
      </c>
      <c r="F219" s="2">
        <f t="shared" si="3"/>
        <v>0</v>
      </c>
      <c r="G219" s="2"/>
    </row>
    <row r="220" spans="2:7" x14ac:dyDescent="0.25">
      <c r="B220" s="4">
        <v>45691</v>
      </c>
      <c r="C220" s="2" t="s">
        <v>3280</v>
      </c>
      <c r="D220" s="2"/>
      <c r="E220" s="23">
        <v>92</v>
      </c>
      <c r="F220" s="2">
        <f t="shared" si="3"/>
        <v>1</v>
      </c>
      <c r="G220" s="2"/>
    </row>
    <row r="221" spans="2:7" x14ac:dyDescent="0.25">
      <c r="B221" s="4">
        <v>45692</v>
      </c>
      <c r="C221" s="2" t="s">
        <v>3292</v>
      </c>
      <c r="D221" s="2" t="s">
        <v>3293</v>
      </c>
      <c r="E221" s="23">
        <v>94</v>
      </c>
      <c r="F221" s="2">
        <f t="shared" si="3"/>
        <v>2</v>
      </c>
      <c r="G221" s="2"/>
    </row>
    <row r="222" spans="2:7" x14ac:dyDescent="0.25">
      <c r="B222" s="4">
        <v>45693</v>
      </c>
      <c r="C222" s="2" t="s">
        <v>3297</v>
      </c>
      <c r="D222" s="2"/>
      <c r="E222" s="23">
        <v>95</v>
      </c>
      <c r="F222" s="2">
        <f t="shared" si="3"/>
        <v>1</v>
      </c>
      <c r="G222" s="2"/>
    </row>
    <row r="223" spans="2:7" x14ac:dyDescent="0.25">
      <c r="B223" s="4">
        <v>45694</v>
      </c>
      <c r="C223" s="2" t="s">
        <v>3307</v>
      </c>
      <c r="D223" s="2"/>
      <c r="E223" s="23">
        <v>95</v>
      </c>
      <c r="F223" s="2">
        <f t="shared" si="3"/>
        <v>0</v>
      </c>
      <c r="G223" s="2"/>
    </row>
    <row r="224" spans="2:7" x14ac:dyDescent="0.25">
      <c r="B224" s="4">
        <v>45695</v>
      </c>
      <c r="C224" s="2" t="s">
        <v>1629</v>
      </c>
      <c r="D224" s="2"/>
      <c r="E224" s="23">
        <v>95</v>
      </c>
      <c r="F224" s="2">
        <f t="shared" si="3"/>
        <v>0</v>
      </c>
      <c r="G224" s="2"/>
    </row>
    <row r="225" spans="2:7" x14ac:dyDescent="0.25">
      <c r="B225" s="4">
        <v>45696</v>
      </c>
      <c r="C225" s="2" t="s">
        <v>1524</v>
      </c>
      <c r="D225" s="2"/>
      <c r="E225" s="23">
        <v>95</v>
      </c>
      <c r="F225" s="2">
        <f t="shared" si="3"/>
        <v>0</v>
      </c>
      <c r="G225" s="2"/>
    </row>
    <row r="226" spans="2:7" x14ac:dyDescent="0.25">
      <c r="B226" s="4">
        <v>45697</v>
      </c>
      <c r="C226" s="2" t="s">
        <v>37</v>
      </c>
      <c r="D226" s="2"/>
      <c r="E226" s="23">
        <v>95</v>
      </c>
      <c r="F226" s="2">
        <f t="shared" si="3"/>
        <v>0</v>
      </c>
      <c r="G226" s="2"/>
    </row>
    <row r="227" spans="2:7" x14ac:dyDescent="0.25">
      <c r="B227" s="4">
        <v>45698</v>
      </c>
      <c r="C227" s="2" t="s">
        <v>3328</v>
      </c>
      <c r="D227" s="2"/>
      <c r="E227" s="23">
        <v>96</v>
      </c>
      <c r="F227" s="2">
        <f t="shared" si="3"/>
        <v>1</v>
      </c>
      <c r="G227" s="2"/>
    </row>
    <row r="228" spans="2:7" x14ac:dyDescent="0.25">
      <c r="B228" s="4">
        <v>45699</v>
      </c>
      <c r="C228" s="2" t="s">
        <v>3336</v>
      </c>
      <c r="D228" s="2"/>
      <c r="E228" s="23">
        <v>96.5</v>
      </c>
      <c r="F228" s="2">
        <f t="shared" si="3"/>
        <v>0.5</v>
      </c>
      <c r="G228" s="2"/>
    </row>
    <row r="229" spans="2:7" x14ac:dyDescent="0.25">
      <c r="B229" s="4">
        <v>45700</v>
      </c>
      <c r="C229" s="2" t="s">
        <v>3337</v>
      </c>
      <c r="D229" s="2" t="s">
        <v>3339</v>
      </c>
      <c r="E229" s="23">
        <v>97</v>
      </c>
      <c r="F229" s="2">
        <f t="shared" si="3"/>
        <v>0.5</v>
      </c>
      <c r="G229" s="2"/>
    </row>
    <row r="230" spans="2:7" x14ac:dyDescent="0.25">
      <c r="B230" s="4">
        <v>45701</v>
      </c>
      <c r="C230" s="2" t="s">
        <v>3343</v>
      </c>
      <c r="D230" s="2"/>
      <c r="E230" s="23">
        <v>97.5</v>
      </c>
      <c r="F230" s="2">
        <f t="shared" si="3"/>
        <v>0.5</v>
      </c>
      <c r="G230" s="2"/>
    </row>
    <row r="231" spans="2:7" x14ac:dyDescent="0.25">
      <c r="B231" s="4">
        <v>45702</v>
      </c>
      <c r="C231" s="2" t="s">
        <v>3356</v>
      </c>
      <c r="D231" s="2"/>
      <c r="E231" s="23">
        <v>97.8</v>
      </c>
      <c r="F231" s="2">
        <f t="shared" si="3"/>
        <v>0.29999999999999716</v>
      </c>
      <c r="G231" s="2"/>
    </row>
    <row r="232" spans="2:7" x14ac:dyDescent="0.25">
      <c r="B232" s="4">
        <v>45703</v>
      </c>
      <c r="C232" s="2" t="s">
        <v>3355</v>
      </c>
      <c r="D232" s="2"/>
      <c r="E232" s="23">
        <v>98.2</v>
      </c>
      <c r="F232" s="2">
        <f t="shared" si="3"/>
        <v>0.40000000000000568</v>
      </c>
      <c r="G232" s="2"/>
    </row>
    <row r="233" spans="2:7" x14ac:dyDescent="0.25">
      <c r="B233" s="4">
        <v>45704</v>
      </c>
      <c r="C233" s="2" t="s">
        <v>3354</v>
      </c>
      <c r="D233" s="2"/>
      <c r="E233" s="23">
        <v>98.7</v>
      </c>
      <c r="F233" s="2">
        <f t="shared" si="3"/>
        <v>0.5</v>
      </c>
      <c r="G233" s="2"/>
    </row>
    <row r="234" spans="2:7" x14ac:dyDescent="0.25">
      <c r="B234" s="4">
        <v>45705</v>
      </c>
      <c r="C234" s="2" t="s">
        <v>3353</v>
      </c>
      <c r="D234" s="2"/>
      <c r="E234" s="23">
        <v>99.7</v>
      </c>
      <c r="F234" s="2">
        <f t="shared" si="3"/>
        <v>1</v>
      </c>
      <c r="G234" s="2"/>
    </row>
    <row r="235" spans="2:7" x14ac:dyDescent="0.25">
      <c r="B235" s="4">
        <v>45706</v>
      </c>
      <c r="C235" s="2" t="s">
        <v>3362</v>
      </c>
      <c r="D235" s="2"/>
      <c r="E235" s="23">
        <f>99.7+1.2</f>
        <v>100.9</v>
      </c>
      <c r="F235" s="2">
        <f t="shared" si="3"/>
        <v>1.2000000000000028</v>
      </c>
      <c r="G235" s="2"/>
    </row>
    <row r="236" spans="2:7" x14ac:dyDescent="0.25">
      <c r="B236" s="4">
        <v>45707</v>
      </c>
      <c r="C236" s="2" t="s">
        <v>1629</v>
      </c>
      <c r="D236" s="2"/>
      <c r="E236" s="23">
        <f>99.7+1.2</f>
        <v>100.9</v>
      </c>
      <c r="F236" s="2">
        <f t="shared" si="3"/>
        <v>0</v>
      </c>
      <c r="G236" s="2"/>
    </row>
    <row r="237" spans="2:7" x14ac:dyDescent="0.25">
      <c r="B237" s="4">
        <v>45708</v>
      </c>
      <c r="C237" s="2" t="s">
        <v>3366</v>
      </c>
      <c r="D237" s="2"/>
      <c r="E237" s="23">
        <v>102</v>
      </c>
      <c r="F237" s="2">
        <f t="shared" si="3"/>
        <v>1.0999999999999943</v>
      </c>
      <c r="G237" s="2"/>
    </row>
    <row r="238" spans="2:7" x14ac:dyDescent="0.25">
      <c r="B238" s="4">
        <v>45709</v>
      </c>
      <c r="C238" s="2" t="s">
        <v>3370</v>
      </c>
      <c r="D238" s="2" t="s">
        <v>3374</v>
      </c>
      <c r="E238" s="23">
        <v>102.3</v>
      </c>
      <c r="F238" s="2">
        <f t="shared" si="3"/>
        <v>0.29999999999999716</v>
      </c>
      <c r="G238" s="2"/>
    </row>
    <row r="239" spans="2:7" x14ac:dyDescent="0.25">
      <c r="B239" s="4">
        <v>45710</v>
      </c>
      <c r="C239" s="2" t="s">
        <v>3377</v>
      </c>
      <c r="D239" s="2"/>
      <c r="E239" s="23">
        <v>103</v>
      </c>
      <c r="F239" s="2">
        <f t="shared" si="3"/>
        <v>0.70000000000000284</v>
      </c>
      <c r="G239" s="2"/>
    </row>
    <row r="240" spans="2:7" x14ac:dyDescent="0.25">
      <c r="B240" s="4">
        <v>45711</v>
      </c>
      <c r="C240" s="2" t="s">
        <v>3378</v>
      </c>
      <c r="D240" s="2"/>
      <c r="E240" s="23">
        <v>103.6</v>
      </c>
      <c r="F240" s="2">
        <f t="shared" si="3"/>
        <v>0.59999999999999432</v>
      </c>
      <c r="G240" s="2"/>
    </row>
    <row r="241" spans="2:7" x14ac:dyDescent="0.25">
      <c r="B241" s="4">
        <v>45712</v>
      </c>
      <c r="C241" s="2" t="s">
        <v>3385</v>
      </c>
      <c r="D241" s="2"/>
      <c r="E241" s="23">
        <v>103.6</v>
      </c>
      <c r="F241" s="2">
        <f t="shared" si="3"/>
        <v>0</v>
      </c>
      <c r="G241" s="2"/>
    </row>
    <row r="242" spans="2:7" x14ac:dyDescent="0.25">
      <c r="B242" s="4">
        <v>45713</v>
      </c>
      <c r="C242" s="2" t="s">
        <v>3390</v>
      </c>
      <c r="D242" s="2"/>
      <c r="E242" s="23">
        <v>105</v>
      </c>
      <c r="F242" s="2">
        <f t="shared" si="3"/>
        <v>1.4000000000000057</v>
      </c>
      <c r="G242" s="2"/>
    </row>
    <row r="243" spans="2:7" x14ac:dyDescent="0.25">
      <c r="B243" s="4">
        <v>45714</v>
      </c>
      <c r="C243" s="2" t="s">
        <v>3395</v>
      </c>
      <c r="D243" s="2"/>
      <c r="E243" s="23">
        <v>107</v>
      </c>
      <c r="F243" s="2">
        <f t="shared" si="3"/>
        <v>2</v>
      </c>
      <c r="G243" s="2"/>
    </row>
    <row r="244" spans="2:7" x14ac:dyDescent="0.25">
      <c r="B244" s="4">
        <v>45715</v>
      </c>
      <c r="C244" s="2" t="s">
        <v>3403</v>
      </c>
      <c r="D244" s="2"/>
      <c r="E244" s="23">
        <v>108</v>
      </c>
      <c r="F244" s="2">
        <f t="shared" si="3"/>
        <v>1</v>
      </c>
      <c r="G244" s="2"/>
    </row>
    <row r="245" spans="2:7" x14ac:dyDescent="0.25">
      <c r="B245" s="4">
        <v>45716</v>
      </c>
      <c r="C245" s="2" t="s">
        <v>3423</v>
      </c>
      <c r="D245" s="2"/>
      <c r="E245" s="23">
        <v>109</v>
      </c>
      <c r="F245" s="2">
        <f t="shared" si="3"/>
        <v>1</v>
      </c>
      <c r="G245" s="2"/>
    </row>
    <row r="246" spans="2:7" x14ac:dyDescent="0.25">
      <c r="B246" s="4">
        <v>45717</v>
      </c>
      <c r="C246" s="2" t="s">
        <v>3422</v>
      </c>
      <c r="D246" s="2"/>
      <c r="E246" s="23">
        <v>110</v>
      </c>
      <c r="F246" s="2">
        <f t="shared" si="3"/>
        <v>1</v>
      </c>
      <c r="G246" s="2"/>
    </row>
    <row r="247" spans="2:7" x14ac:dyDescent="0.25">
      <c r="B247" s="4">
        <v>45718</v>
      </c>
      <c r="C247" s="2" t="s">
        <v>3421</v>
      </c>
      <c r="D247" s="2"/>
      <c r="E247" s="23">
        <v>111.5</v>
      </c>
      <c r="F247" s="2">
        <f t="shared" si="3"/>
        <v>1.5</v>
      </c>
      <c r="G247" s="2"/>
    </row>
    <row r="248" spans="2:7" x14ac:dyDescent="0.25">
      <c r="B248" s="4">
        <v>45719</v>
      </c>
      <c r="C248" s="2" t="s">
        <v>3420</v>
      </c>
      <c r="D248" s="2"/>
      <c r="E248" s="23">
        <v>112.5</v>
      </c>
      <c r="F248" s="2">
        <f t="shared" si="3"/>
        <v>1</v>
      </c>
      <c r="G248" s="2"/>
    </row>
    <row r="249" spans="2:7" x14ac:dyDescent="0.25">
      <c r="B249" s="4">
        <v>45720</v>
      </c>
      <c r="C249" s="2" t="s">
        <v>3436</v>
      </c>
      <c r="D249" s="2"/>
      <c r="E249" s="23">
        <v>113.5</v>
      </c>
      <c r="F249" s="2">
        <f t="shared" si="3"/>
        <v>1</v>
      </c>
      <c r="G249" s="2"/>
    </row>
    <row r="250" spans="2:7" x14ac:dyDescent="0.25">
      <c r="B250" s="4">
        <v>45721</v>
      </c>
      <c r="C250" s="2" t="s">
        <v>3446</v>
      </c>
      <c r="D250" s="2"/>
      <c r="E250" s="23">
        <v>114.3</v>
      </c>
      <c r="F250" s="2">
        <f t="shared" si="3"/>
        <v>0.79999999999999716</v>
      </c>
      <c r="G250" s="2"/>
    </row>
    <row r="251" spans="2:7" x14ac:dyDescent="0.25">
      <c r="B251" s="4">
        <v>45722</v>
      </c>
      <c r="C251" s="2" t="s">
        <v>3084</v>
      </c>
      <c r="D251" s="2"/>
      <c r="E251" s="23">
        <v>114.3</v>
      </c>
      <c r="F251" s="2">
        <f t="shared" si="3"/>
        <v>0</v>
      </c>
      <c r="G251" s="2"/>
    </row>
    <row r="252" spans="2:7" x14ac:dyDescent="0.25">
      <c r="B252" s="4">
        <v>45723</v>
      </c>
      <c r="C252" s="2" t="s">
        <v>3464</v>
      </c>
      <c r="D252" s="2"/>
      <c r="E252" s="23">
        <v>114.8</v>
      </c>
      <c r="F252" s="2">
        <f t="shared" si="3"/>
        <v>0.5</v>
      </c>
      <c r="G252" s="2"/>
    </row>
    <row r="253" spans="2:7" x14ac:dyDescent="0.25">
      <c r="B253" s="4">
        <v>45724</v>
      </c>
      <c r="C253" s="2" t="s">
        <v>3469</v>
      </c>
      <c r="D253" s="2"/>
      <c r="E253" s="23">
        <v>115</v>
      </c>
      <c r="F253" s="2">
        <f t="shared" si="3"/>
        <v>0.20000000000000284</v>
      </c>
      <c r="G253" s="2"/>
    </row>
    <row r="254" spans="2:7" x14ac:dyDescent="0.25">
      <c r="B254" s="4">
        <v>45725</v>
      </c>
      <c r="C254" s="2" t="s">
        <v>3470</v>
      </c>
      <c r="D254" s="2"/>
      <c r="E254" s="23">
        <v>117</v>
      </c>
      <c r="F254" s="2">
        <f t="shared" si="3"/>
        <v>2</v>
      </c>
      <c r="G254" s="2"/>
    </row>
    <row r="255" spans="2:7" x14ac:dyDescent="0.25">
      <c r="B255" s="4">
        <v>45726</v>
      </c>
      <c r="C255" s="2" t="s">
        <v>3490</v>
      </c>
      <c r="D255" s="2"/>
      <c r="E255" s="23">
        <v>118.5</v>
      </c>
      <c r="F255" s="2">
        <f t="shared" si="3"/>
        <v>1.5</v>
      </c>
      <c r="G255" s="2"/>
    </row>
    <row r="256" spans="2:7" x14ac:dyDescent="0.25">
      <c r="B256" s="4">
        <v>45727</v>
      </c>
      <c r="C256" s="2" t="s">
        <v>3497</v>
      </c>
      <c r="D256" s="2" t="s">
        <v>1020</v>
      </c>
      <c r="E256" s="23">
        <v>120.3</v>
      </c>
      <c r="F256" s="2">
        <f t="shared" si="3"/>
        <v>1.7999999999999972</v>
      </c>
      <c r="G256" s="2"/>
    </row>
    <row r="257" spans="2:7" x14ac:dyDescent="0.25">
      <c r="B257" s="4">
        <v>45728</v>
      </c>
      <c r="C257" s="2" t="s">
        <v>3498</v>
      </c>
      <c r="D257" s="2"/>
      <c r="E257" s="23">
        <v>121.5</v>
      </c>
      <c r="F257" s="2">
        <f t="shared" si="3"/>
        <v>1.2000000000000028</v>
      </c>
      <c r="G257" s="2"/>
    </row>
    <row r="258" spans="2:7" x14ac:dyDescent="0.25">
      <c r="B258" s="4">
        <v>45729</v>
      </c>
      <c r="C258" s="2" t="s">
        <v>3514</v>
      </c>
      <c r="D258" s="2"/>
      <c r="E258" s="23">
        <v>121.5</v>
      </c>
      <c r="F258" s="2">
        <f t="shared" si="3"/>
        <v>0</v>
      </c>
      <c r="G258" s="2"/>
    </row>
    <row r="259" spans="2:7" x14ac:dyDescent="0.25">
      <c r="B259" s="4">
        <v>45730</v>
      </c>
      <c r="C259" s="2" t="s">
        <v>3515</v>
      </c>
      <c r="D259" s="2"/>
      <c r="E259" s="23">
        <v>121.5</v>
      </c>
      <c r="F259" s="2">
        <f t="shared" si="3"/>
        <v>0</v>
      </c>
      <c r="G259" s="2"/>
    </row>
    <row r="260" spans="2:7" x14ac:dyDescent="0.25">
      <c r="B260" s="4">
        <v>45731</v>
      </c>
      <c r="C260" s="2" t="s">
        <v>3524</v>
      </c>
      <c r="D260" s="2"/>
      <c r="E260" s="23">
        <v>121.5</v>
      </c>
      <c r="F260" s="2">
        <f t="shared" si="3"/>
        <v>0</v>
      </c>
      <c r="G260" s="2"/>
    </row>
    <row r="261" spans="2:7" x14ac:dyDescent="0.25">
      <c r="B261" s="4">
        <v>45732</v>
      </c>
      <c r="C261" s="2" t="s">
        <v>1383</v>
      </c>
      <c r="D261" s="2"/>
      <c r="E261" s="23">
        <v>121.5</v>
      </c>
      <c r="F261" s="2">
        <f t="shared" si="3"/>
        <v>0</v>
      </c>
      <c r="G261" s="2"/>
    </row>
    <row r="262" spans="2:7" x14ac:dyDescent="0.25">
      <c r="B262" s="4">
        <v>45733</v>
      </c>
      <c r="C262" s="2" t="s">
        <v>3538</v>
      </c>
      <c r="D262" s="2"/>
      <c r="E262" s="23">
        <v>121.5</v>
      </c>
      <c r="F262" s="2">
        <f t="shared" si="3"/>
        <v>0</v>
      </c>
      <c r="G262" s="2"/>
    </row>
    <row r="263" spans="2:7" x14ac:dyDescent="0.25">
      <c r="B263" s="4">
        <v>45734</v>
      </c>
      <c r="C263" s="2" t="s">
        <v>3543</v>
      </c>
      <c r="D263" s="2"/>
      <c r="E263" s="23">
        <v>82</v>
      </c>
      <c r="F263" s="2">
        <f t="shared" si="3"/>
        <v>-39.5</v>
      </c>
      <c r="G263" s="2"/>
    </row>
    <row r="264" spans="2:7" x14ac:dyDescent="0.25">
      <c r="B264" s="4">
        <v>45735</v>
      </c>
      <c r="C264" s="2" t="s">
        <v>3543</v>
      </c>
      <c r="D264" s="2"/>
      <c r="E264" s="23">
        <v>83</v>
      </c>
      <c r="F264" s="2">
        <f t="shared" si="3"/>
        <v>1</v>
      </c>
      <c r="G264" s="2"/>
    </row>
    <row r="265" spans="2:7" x14ac:dyDescent="0.25">
      <c r="B265" s="4">
        <v>45736</v>
      </c>
      <c r="C265" s="2" t="s">
        <v>3543</v>
      </c>
      <c r="D265" s="2"/>
      <c r="E265" s="23">
        <v>87</v>
      </c>
      <c r="F265" s="2">
        <f t="shared" si="3"/>
        <v>4</v>
      </c>
      <c r="G265" s="2"/>
    </row>
    <row r="266" spans="2:7" x14ac:dyDescent="0.25">
      <c r="B266" s="4">
        <v>45737</v>
      </c>
      <c r="C266" s="2" t="s">
        <v>3560</v>
      </c>
      <c r="D266" s="2"/>
      <c r="E266" s="23">
        <v>91</v>
      </c>
      <c r="F266" s="2">
        <f t="shared" si="3"/>
        <v>4</v>
      </c>
      <c r="G266" s="2"/>
    </row>
    <row r="267" spans="2:7" x14ac:dyDescent="0.25">
      <c r="B267" s="4">
        <v>45738</v>
      </c>
      <c r="C267" s="2" t="s">
        <v>3561</v>
      </c>
      <c r="D267" s="2"/>
      <c r="E267" s="23">
        <v>96</v>
      </c>
      <c r="F267" s="2">
        <f t="shared" si="3"/>
        <v>5</v>
      </c>
      <c r="G267" s="2"/>
    </row>
    <row r="268" spans="2:7" x14ac:dyDescent="0.25">
      <c r="B268" s="4">
        <v>45739</v>
      </c>
      <c r="C268" s="2" t="s">
        <v>3562</v>
      </c>
      <c r="D268" s="2"/>
      <c r="E268" s="23">
        <v>98</v>
      </c>
      <c r="F268" s="2">
        <f t="shared" ref="F268:F294" si="4">E268-E267</f>
        <v>2</v>
      </c>
      <c r="G268" s="2"/>
    </row>
    <row r="269" spans="2:7" x14ac:dyDescent="0.25">
      <c r="B269" s="4">
        <v>45740</v>
      </c>
      <c r="C269" s="2" t="s">
        <v>3563</v>
      </c>
      <c r="D269" s="2"/>
      <c r="E269" s="23">
        <v>100.5</v>
      </c>
      <c r="F269" s="2">
        <f t="shared" si="4"/>
        <v>2.5</v>
      </c>
      <c r="G269" s="2"/>
    </row>
    <row r="270" spans="2:7" x14ac:dyDescent="0.25">
      <c r="B270" s="4">
        <v>45741</v>
      </c>
      <c r="C270" s="2" t="s">
        <v>3583</v>
      </c>
      <c r="D270" s="2"/>
      <c r="E270" s="23">
        <v>103</v>
      </c>
      <c r="F270" s="2">
        <f t="shared" si="4"/>
        <v>2.5</v>
      </c>
      <c r="G270" s="2"/>
    </row>
    <row r="271" spans="2:7" x14ac:dyDescent="0.25">
      <c r="B271" s="4">
        <v>45742</v>
      </c>
      <c r="C271" s="2"/>
      <c r="D271" s="2"/>
      <c r="E271" s="23">
        <v>103</v>
      </c>
      <c r="F271" s="2">
        <f t="shared" si="4"/>
        <v>0</v>
      </c>
      <c r="G271" s="2"/>
    </row>
    <row r="272" spans="2:7" x14ac:dyDescent="0.25">
      <c r="B272" s="4">
        <v>45743</v>
      </c>
      <c r="C272" s="2"/>
      <c r="D272" s="2"/>
      <c r="E272" s="23">
        <v>103</v>
      </c>
      <c r="F272" s="2">
        <f t="shared" si="4"/>
        <v>0</v>
      </c>
      <c r="G272" s="2"/>
    </row>
    <row r="273" spans="2:7" x14ac:dyDescent="0.25">
      <c r="B273" s="4">
        <v>45744</v>
      </c>
      <c r="C273" s="2"/>
      <c r="D273" s="2"/>
      <c r="E273" s="23">
        <v>103</v>
      </c>
      <c r="F273" s="2">
        <f t="shared" si="4"/>
        <v>0</v>
      </c>
      <c r="G273" s="2"/>
    </row>
    <row r="274" spans="2:7" x14ac:dyDescent="0.25">
      <c r="B274" s="4">
        <v>45745</v>
      </c>
      <c r="C274" s="2" t="s">
        <v>131</v>
      </c>
      <c r="D274" s="2"/>
      <c r="E274" s="23">
        <v>103</v>
      </c>
      <c r="F274" s="2">
        <f t="shared" si="4"/>
        <v>0</v>
      </c>
      <c r="G274" s="2"/>
    </row>
    <row r="275" spans="2:7" x14ac:dyDescent="0.25">
      <c r="B275" s="4">
        <v>45746</v>
      </c>
      <c r="C275" s="2"/>
      <c r="D275" s="2"/>
      <c r="E275" s="23">
        <v>103</v>
      </c>
      <c r="F275" s="2">
        <f t="shared" si="4"/>
        <v>0</v>
      </c>
      <c r="G275" s="2"/>
    </row>
    <row r="276" spans="2:7" x14ac:dyDescent="0.25">
      <c r="B276" s="4">
        <v>45747</v>
      </c>
      <c r="C276" s="2"/>
      <c r="D276" s="2"/>
      <c r="E276" s="23">
        <v>103</v>
      </c>
      <c r="F276" s="2">
        <f t="shared" si="4"/>
        <v>0</v>
      </c>
      <c r="G276" s="2"/>
    </row>
    <row r="277" spans="2:7" x14ac:dyDescent="0.25">
      <c r="B277" s="4">
        <v>45748</v>
      </c>
      <c r="C277" s="2"/>
      <c r="D277" s="2"/>
      <c r="E277" s="23">
        <v>103</v>
      </c>
      <c r="F277" s="2">
        <f t="shared" si="4"/>
        <v>0</v>
      </c>
      <c r="G277" s="2"/>
    </row>
    <row r="278" spans="2:7" x14ac:dyDescent="0.25">
      <c r="B278" s="4">
        <v>45749</v>
      </c>
      <c r="C278" s="2"/>
      <c r="D278" s="2"/>
      <c r="E278" s="23">
        <v>103</v>
      </c>
      <c r="F278" s="2">
        <f t="shared" si="4"/>
        <v>0</v>
      </c>
      <c r="G278" s="2"/>
    </row>
    <row r="279" spans="2:7" x14ac:dyDescent="0.25">
      <c r="B279" s="4">
        <v>45750</v>
      </c>
      <c r="C279" s="2"/>
      <c r="D279" s="2"/>
      <c r="E279" s="23">
        <v>103</v>
      </c>
      <c r="F279" s="2">
        <f t="shared" si="4"/>
        <v>0</v>
      </c>
      <c r="G279" s="2"/>
    </row>
    <row r="280" spans="2:7" x14ac:dyDescent="0.25">
      <c r="B280" s="4">
        <v>45751</v>
      </c>
      <c r="C280" s="2"/>
      <c r="D280" s="2"/>
      <c r="E280" s="23">
        <v>103</v>
      </c>
      <c r="F280" s="2">
        <f t="shared" si="4"/>
        <v>0</v>
      </c>
      <c r="G280" s="2"/>
    </row>
    <row r="281" spans="2:7" x14ac:dyDescent="0.25">
      <c r="B281" s="4">
        <v>45752</v>
      </c>
      <c r="C281" s="2"/>
      <c r="D281" s="2"/>
      <c r="E281" s="23">
        <v>103</v>
      </c>
      <c r="F281" s="2">
        <f t="shared" si="4"/>
        <v>0</v>
      </c>
      <c r="G281" s="2"/>
    </row>
    <row r="282" spans="2:7" x14ac:dyDescent="0.25">
      <c r="B282" s="4">
        <v>45753</v>
      </c>
      <c r="C282" s="2"/>
      <c r="D282" s="2"/>
      <c r="E282" s="23">
        <v>103</v>
      </c>
      <c r="F282" s="2">
        <f t="shared" si="4"/>
        <v>0</v>
      </c>
      <c r="G282" s="2"/>
    </row>
    <row r="283" spans="2:7" x14ac:dyDescent="0.25">
      <c r="B283" s="4">
        <v>45754</v>
      </c>
      <c r="C283" s="2" t="s">
        <v>3632</v>
      </c>
      <c r="D283" s="2"/>
      <c r="E283" s="23">
        <v>103</v>
      </c>
      <c r="F283" s="2">
        <f t="shared" si="4"/>
        <v>0</v>
      </c>
      <c r="G283" s="2"/>
    </row>
    <row r="284" spans="2:7" x14ac:dyDescent="0.25">
      <c r="B284" s="4">
        <v>45755</v>
      </c>
      <c r="C284" s="2" t="s">
        <v>3638</v>
      </c>
      <c r="D284" s="2"/>
      <c r="E284" s="23">
        <v>103</v>
      </c>
      <c r="F284" s="2">
        <f t="shared" si="4"/>
        <v>0</v>
      </c>
      <c r="G284" s="2"/>
    </row>
    <row r="285" spans="2:7" x14ac:dyDescent="0.25">
      <c r="B285" s="4">
        <v>45756</v>
      </c>
      <c r="C285" s="2" t="s">
        <v>3650</v>
      </c>
      <c r="D285" s="2" t="s">
        <v>3649</v>
      </c>
      <c r="E285" s="23">
        <v>110</v>
      </c>
      <c r="F285" s="2">
        <f t="shared" si="4"/>
        <v>7</v>
      </c>
      <c r="G285" s="2"/>
    </row>
    <row r="286" spans="2:7" x14ac:dyDescent="0.25">
      <c r="B286" s="4">
        <v>45757</v>
      </c>
      <c r="C286" s="2" t="s">
        <v>3660</v>
      </c>
      <c r="D286" s="2"/>
      <c r="E286" s="23">
        <v>111.5</v>
      </c>
      <c r="F286" s="2">
        <f t="shared" si="4"/>
        <v>1.5</v>
      </c>
      <c r="G286" s="2"/>
    </row>
    <row r="287" spans="2:7" x14ac:dyDescent="0.25">
      <c r="B287" s="4">
        <v>45758</v>
      </c>
      <c r="C287" s="2" t="s">
        <v>3662</v>
      </c>
      <c r="D287" s="2"/>
      <c r="E287" s="23">
        <v>112.5</v>
      </c>
      <c r="F287" s="2">
        <f t="shared" si="4"/>
        <v>1</v>
      </c>
      <c r="G287" s="2"/>
    </row>
    <row r="288" spans="2:7" x14ac:dyDescent="0.25">
      <c r="B288" s="4">
        <v>45759</v>
      </c>
      <c r="C288" s="2" t="s">
        <v>3668</v>
      </c>
      <c r="D288" s="2"/>
      <c r="E288" s="23">
        <v>112.5</v>
      </c>
      <c r="F288" s="2">
        <f t="shared" si="4"/>
        <v>0</v>
      </c>
      <c r="G288" s="2"/>
    </row>
    <row r="289" spans="2:7" x14ac:dyDescent="0.25">
      <c r="B289" s="4">
        <v>45760</v>
      </c>
      <c r="C289" s="2" t="s">
        <v>3667</v>
      </c>
      <c r="D289" s="2" t="s">
        <v>3673</v>
      </c>
      <c r="E289" s="23">
        <v>114</v>
      </c>
      <c r="F289" s="2">
        <f t="shared" si="4"/>
        <v>1.5</v>
      </c>
      <c r="G289" s="2"/>
    </row>
    <row r="290" spans="2:7" x14ac:dyDescent="0.25">
      <c r="B290" s="4">
        <v>45761</v>
      </c>
      <c r="C290" s="2" t="s">
        <v>3675</v>
      </c>
      <c r="D290" s="2"/>
      <c r="E290" s="23">
        <v>115.5</v>
      </c>
      <c r="F290" s="2">
        <f t="shared" si="4"/>
        <v>1.5</v>
      </c>
      <c r="G290" s="2"/>
    </row>
    <row r="291" spans="2:7" x14ac:dyDescent="0.25">
      <c r="B291" s="4">
        <v>45762</v>
      </c>
      <c r="C291" s="2" t="s">
        <v>3682</v>
      </c>
      <c r="D291" s="2"/>
      <c r="E291" s="23">
        <v>116.5</v>
      </c>
      <c r="F291" s="2">
        <f t="shared" si="4"/>
        <v>1</v>
      </c>
      <c r="G291" s="2"/>
    </row>
    <row r="292" spans="2:7" x14ac:dyDescent="0.25">
      <c r="B292" s="4">
        <v>45763</v>
      </c>
      <c r="C292" s="2" t="s">
        <v>3694</v>
      </c>
      <c r="D292" s="2" t="s">
        <v>3693</v>
      </c>
      <c r="E292" s="23">
        <v>117.5</v>
      </c>
      <c r="F292" s="2">
        <f t="shared" si="4"/>
        <v>1</v>
      </c>
      <c r="G292" s="2"/>
    </row>
    <row r="293" spans="2:7" x14ac:dyDescent="0.25">
      <c r="B293" s="4">
        <v>45764</v>
      </c>
      <c r="C293" s="2" t="s">
        <v>3706</v>
      </c>
      <c r="D293" s="2" t="s">
        <v>3693</v>
      </c>
      <c r="E293" s="23">
        <v>118.5</v>
      </c>
      <c r="F293" s="2">
        <f t="shared" si="4"/>
        <v>1</v>
      </c>
      <c r="G293" s="2"/>
    </row>
    <row r="294" spans="2:7" x14ac:dyDescent="0.25">
      <c r="B294" s="4">
        <v>45765</v>
      </c>
      <c r="C294" s="2" t="s">
        <v>3719</v>
      </c>
      <c r="D294" s="2" t="s">
        <v>3693</v>
      </c>
      <c r="E294" s="23">
        <v>119.5</v>
      </c>
      <c r="F294" s="2">
        <f t="shared" si="4"/>
        <v>1</v>
      </c>
      <c r="G294" s="2"/>
    </row>
    <row r="295" spans="2:7" x14ac:dyDescent="0.25">
      <c r="B295" s="4">
        <v>45766</v>
      </c>
      <c r="C295" s="2" t="s">
        <v>3728</v>
      </c>
      <c r="D295" s="2" t="s">
        <v>3729</v>
      </c>
      <c r="E295" s="23">
        <v>120.5</v>
      </c>
      <c r="F295" s="2">
        <v>1</v>
      </c>
      <c r="G295" s="2"/>
    </row>
    <row r="296" spans="2:7" x14ac:dyDescent="0.25">
      <c r="B296" s="4">
        <v>45767</v>
      </c>
      <c r="C296" s="2" t="s">
        <v>3730</v>
      </c>
      <c r="D296" s="2" t="s">
        <v>3731</v>
      </c>
      <c r="E296" s="23">
        <v>121</v>
      </c>
      <c r="F296" s="2">
        <v>0.5</v>
      </c>
      <c r="G296" s="2"/>
    </row>
    <row r="297" spans="2:7" x14ac:dyDescent="0.25">
      <c r="B297" s="4">
        <v>45768</v>
      </c>
      <c r="C297" s="2" t="s">
        <v>3730</v>
      </c>
      <c r="D297" s="2" t="s">
        <v>3749</v>
      </c>
      <c r="E297" s="23"/>
      <c r="F297" s="2"/>
      <c r="G297" s="2"/>
    </row>
    <row r="298" spans="2:7" x14ac:dyDescent="0.25">
      <c r="B298" s="4">
        <v>45769</v>
      </c>
      <c r="C298" s="2" t="s">
        <v>3759</v>
      </c>
      <c r="D298" s="2"/>
      <c r="E298" s="23"/>
      <c r="F298" s="2"/>
      <c r="G298" s="2"/>
    </row>
    <row r="299" spans="2:7" x14ac:dyDescent="0.25">
      <c r="B299" s="4">
        <v>45770</v>
      </c>
      <c r="C299" s="2" t="s">
        <v>3766</v>
      </c>
      <c r="D299" s="2" t="s">
        <v>3767</v>
      </c>
      <c r="E299" s="23"/>
      <c r="F299" s="2"/>
      <c r="G299" s="2"/>
    </row>
    <row r="300" spans="2:7" x14ac:dyDescent="0.25">
      <c r="B300" s="4">
        <v>45771</v>
      </c>
      <c r="C300" s="2" t="s">
        <v>3778</v>
      </c>
      <c r="D300" s="2" t="s">
        <v>3779</v>
      </c>
      <c r="E300" s="23"/>
      <c r="F300" s="2"/>
      <c r="G300" s="2"/>
    </row>
    <row r="301" spans="2:7" x14ac:dyDescent="0.25">
      <c r="B301" s="4">
        <v>45772</v>
      </c>
      <c r="C301" s="2" t="s">
        <v>3788</v>
      </c>
      <c r="D301" s="2" t="s">
        <v>3789</v>
      </c>
      <c r="E301" s="23"/>
      <c r="F301" s="2"/>
      <c r="G301" s="2"/>
    </row>
    <row r="302" spans="2:7" x14ac:dyDescent="0.25">
      <c r="B302" s="4">
        <v>45773</v>
      </c>
      <c r="C302" s="2" t="s">
        <v>3799</v>
      </c>
      <c r="D302" s="2"/>
      <c r="E302" s="23"/>
      <c r="F302" s="2"/>
      <c r="G302" s="2"/>
    </row>
    <row r="303" spans="2:7" x14ac:dyDescent="0.25">
      <c r="B303" s="4">
        <v>45774</v>
      </c>
      <c r="C303" s="2" t="s">
        <v>3800</v>
      </c>
      <c r="D303" s="2" t="s">
        <v>3801</v>
      </c>
      <c r="E303" s="23"/>
      <c r="F303" s="2"/>
      <c r="G303" s="2"/>
    </row>
    <row r="304" spans="2:7" x14ac:dyDescent="0.25">
      <c r="B304" s="4">
        <v>45775</v>
      </c>
      <c r="C304" s="2" t="s">
        <v>3825</v>
      </c>
      <c r="D304" s="2" t="s">
        <v>3814</v>
      </c>
      <c r="E304" s="2"/>
      <c r="F304" s="2"/>
      <c r="G304" s="2"/>
    </row>
    <row r="305" spans="2:7" x14ac:dyDescent="0.25">
      <c r="B305" s="4">
        <v>45776</v>
      </c>
      <c r="C305" s="2" t="s">
        <v>3830</v>
      </c>
      <c r="D305" s="2" t="s">
        <v>3831</v>
      </c>
      <c r="E305" s="2"/>
      <c r="F305" s="2"/>
      <c r="G305" s="2"/>
    </row>
    <row r="306" spans="2:7" x14ac:dyDescent="0.25">
      <c r="B306" s="4">
        <v>45777</v>
      </c>
      <c r="C306" s="2"/>
      <c r="D306" s="2"/>
      <c r="E306" s="2"/>
      <c r="F306" s="2"/>
      <c r="G306" s="2"/>
    </row>
    <row r="307" spans="2:7" x14ac:dyDescent="0.25">
      <c r="B307" s="4">
        <v>45778</v>
      </c>
      <c r="C307" s="2" t="s">
        <v>3832</v>
      </c>
      <c r="D307" s="2" t="s">
        <v>3842</v>
      </c>
      <c r="E307" s="2"/>
      <c r="F307" s="2"/>
      <c r="G307" s="2"/>
    </row>
    <row r="308" spans="2:7" x14ac:dyDescent="0.25">
      <c r="B308" s="4">
        <v>45779</v>
      </c>
      <c r="C308" s="2" t="s">
        <v>3848</v>
      </c>
      <c r="D308" s="2" t="s">
        <v>3849</v>
      </c>
      <c r="E308" s="2"/>
      <c r="F308" s="2"/>
      <c r="G308" s="2"/>
    </row>
    <row r="309" spans="2:7" x14ac:dyDescent="0.25">
      <c r="B309" s="2"/>
      <c r="C309" s="2"/>
      <c r="D309" s="2" t="s">
        <v>3856</v>
      </c>
      <c r="E309" s="2"/>
      <c r="F309" s="2"/>
      <c r="G309" s="2"/>
    </row>
    <row r="310" spans="2:7" x14ac:dyDescent="0.25">
      <c r="B310" s="2"/>
      <c r="C310" s="2"/>
      <c r="D310" s="2"/>
      <c r="E310" s="2"/>
      <c r="F310" s="2"/>
      <c r="G310" s="2"/>
    </row>
    <row r="311" spans="2:7" x14ac:dyDescent="0.25">
      <c r="B311" s="53"/>
      <c r="C311" s="53"/>
      <c r="D311" s="53"/>
      <c r="E311" s="53"/>
      <c r="F311" s="53"/>
      <c r="G311" s="53"/>
    </row>
    <row r="312" spans="2:7" x14ac:dyDescent="0.25">
      <c r="B312" s="4">
        <v>45958</v>
      </c>
      <c r="C312" s="2" t="s">
        <v>5737</v>
      </c>
      <c r="D312" s="2"/>
      <c r="E312" s="2"/>
      <c r="F312" s="2"/>
      <c r="G312" s="2"/>
    </row>
    <row r="313" spans="2:7" x14ac:dyDescent="0.25">
      <c r="B313" s="4">
        <v>45959</v>
      </c>
      <c r="C313" s="2" t="s">
        <v>5737</v>
      </c>
      <c r="D313" s="2"/>
      <c r="E313" s="2"/>
      <c r="F313" s="2"/>
      <c r="G313" s="2"/>
    </row>
    <row r="314" spans="2:7" x14ac:dyDescent="0.25">
      <c r="B314" s="4">
        <v>45960</v>
      </c>
      <c r="C314" s="2" t="s">
        <v>480</v>
      </c>
      <c r="D314" s="2"/>
      <c r="E314" s="2"/>
      <c r="F314" s="2"/>
      <c r="G314" s="2"/>
    </row>
    <row r="315" spans="2:7" x14ac:dyDescent="0.25">
      <c r="B315" s="4">
        <v>45961</v>
      </c>
      <c r="C315" s="2" t="s">
        <v>5767</v>
      </c>
      <c r="D315" s="2"/>
      <c r="E315" s="2"/>
      <c r="F315" s="2"/>
      <c r="G315" s="2"/>
    </row>
    <row r="316" spans="2:7" x14ac:dyDescent="0.25">
      <c r="B316" s="4">
        <v>45962</v>
      </c>
      <c r="C316" s="2"/>
      <c r="D316" s="2"/>
      <c r="E316" s="2"/>
      <c r="F316" s="2"/>
      <c r="G316" s="2"/>
    </row>
    <row r="317" spans="2:7" x14ac:dyDescent="0.25">
      <c r="B317" s="4">
        <v>45963</v>
      </c>
      <c r="C317" s="2" t="s">
        <v>5789</v>
      </c>
      <c r="D317" s="2" t="s">
        <v>5774</v>
      </c>
      <c r="E317" s="2">
        <v>19</v>
      </c>
      <c r="F317" s="2">
        <f>E317-E316</f>
        <v>19</v>
      </c>
      <c r="G317" s="2"/>
    </row>
    <row r="318" spans="2:7" x14ac:dyDescent="0.25">
      <c r="B318" s="4">
        <v>45964</v>
      </c>
      <c r="C318" s="2" t="s">
        <v>5790</v>
      </c>
      <c r="D318" s="2" t="s">
        <v>5784</v>
      </c>
      <c r="E318" s="2">
        <v>40</v>
      </c>
      <c r="F318" s="2">
        <f t="shared" ref="F318:F332" si="5">E318-E317</f>
        <v>21</v>
      </c>
      <c r="G318" s="2"/>
    </row>
    <row r="319" spans="2:7" x14ac:dyDescent="0.25">
      <c r="B319" s="4">
        <v>45965</v>
      </c>
      <c r="C319" s="2" t="s">
        <v>5797</v>
      </c>
      <c r="D319" s="2" t="s">
        <v>5798</v>
      </c>
      <c r="E319" s="2">
        <v>73</v>
      </c>
      <c r="F319" s="2">
        <f t="shared" si="5"/>
        <v>33</v>
      </c>
      <c r="G319" s="2"/>
    </row>
    <row r="320" spans="2:7" x14ac:dyDescent="0.25">
      <c r="B320" s="4">
        <v>45966</v>
      </c>
      <c r="C320" s="2" t="s">
        <v>5803</v>
      </c>
      <c r="D320" s="2" t="s">
        <v>5804</v>
      </c>
      <c r="E320" s="2">
        <v>80</v>
      </c>
      <c r="F320" s="2">
        <f t="shared" si="5"/>
        <v>7</v>
      </c>
      <c r="G320" s="2"/>
    </row>
    <row r="321" spans="2:7" x14ac:dyDescent="0.25">
      <c r="B321" s="4">
        <v>45967</v>
      </c>
      <c r="C321" s="2" t="s">
        <v>5811</v>
      </c>
      <c r="D321" s="2"/>
      <c r="E321" s="2"/>
      <c r="F321" s="2">
        <f t="shared" si="5"/>
        <v>-80</v>
      </c>
      <c r="G321" s="2"/>
    </row>
    <row r="322" spans="2:7" x14ac:dyDescent="0.25">
      <c r="B322" s="4">
        <v>45968</v>
      </c>
      <c r="C322" s="2" t="s">
        <v>5818</v>
      </c>
      <c r="D322" s="2"/>
      <c r="E322" s="2"/>
      <c r="F322" s="2">
        <f t="shared" si="5"/>
        <v>0</v>
      </c>
      <c r="G322" s="2"/>
    </row>
    <row r="323" spans="2:7" x14ac:dyDescent="0.25">
      <c r="B323" s="4">
        <v>45969</v>
      </c>
      <c r="C323" s="2" t="s">
        <v>5826</v>
      </c>
      <c r="D323" s="2"/>
      <c r="E323" s="2"/>
      <c r="F323" s="2">
        <f t="shared" si="5"/>
        <v>0</v>
      </c>
      <c r="G323" s="2"/>
    </row>
    <row r="324" spans="2:7" x14ac:dyDescent="0.25">
      <c r="B324" s="4">
        <v>45970</v>
      </c>
      <c r="C324" s="2" t="s">
        <v>5827</v>
      </c>
      <c r="D324" s="2"/>
      <c r="E324" s="2"/>
      <c r="F324" s="2">
        <f t="shared" si="5"/>
        <v>0</v>
      </c>
      <c r="G324" s="2"/>
    </row>
    <row r="325" spans="2:7" x14ac:dyDescent="0.25">
      <c r="B325" s="4">
        <v>45971</v>
      </c>
      <c r="C325" s="2" t="s">
        <v>5828</v>
      </c>
      <c r="D325" s="2"/>
      <c r="E325" s="2"/>
      <c r="F325" s="2">
        <f t="shared" si="5"/>
        <v>0</v>
      </c>
      <c r="G325" s="2"/>
    </row>
    <row r="326" spans="2:7" x14ac:dyDescent="0.25">
      <c r="B326" s="4">
        <v>45972</v>
      </c>
      <c r="C326" s="2" t="s">
        <v>5841</v>
      </c>
      <c r="D326" s="2"/>
      <c r="E326" s="2"/>
      <c r="F326" s="2">
        <f t="shared" si="5"/>
        <v>0</v>
      </c>
      <c r="G326" s="2"/>
    </row>
    <row r="327" spans="2:7" x14ac:dyDescent="0.25">
      <c r="B327" s="4">
        <v>45973</v>
      </c>
      <c r="C327" s="2" t="s">
        <v>5852</v>
      </c>
      <c r="D327" s="2" t="s">
        <v>5853</v>
      </c>
      <c r="E327" s="2"/>
      <c r="F327" s="2">
        <f t="shared" si="5"/>
        <v>0</v>
      </c>
      <c r="G327" s="2"/>
    </row>
    <row r="328" spans="2:7" x14ac:dyDescent="0.25">
      <c r="B328" s="4">
        <v>45974</v>
      </c>
      <c r="C328" s="2" t="s">
        <v>5856</v>
      </c>
      <c r="D328" s="2" t="s">
        <v>5859</v>
      </c>
      <c r="E328" s="2"/>
      <c r="F328" s="2">
        <f t="shared" si="5"/>
        <v>0</v>
      </c>
      <c r="G328" s="2"/>
    </row>
    <row r="329" spans="2:7" x14ac:dyDescent="0.25">
      <c r="B329" s="4">
        <v>45975</v>
      </c>
      <c r="C329" s="2" t="s">
        <v>5856</v>
      </c>
      <c r="D329" s="2" t="s">
        <v>5860</v>
      </c>
      <c r="E329" s="2"/>
      <c r="F329" s="2">
        <f t="shared" si="5"/>
        <v>0</v>
      </c>
      <c r="G329" s="2"/>
    </row>
    <row r="330" spans="2:7" x14ac:dyDescent="0.25">
      <c r="B330" s="4">
        <v>45976</v>
      </c>
      <c r="C330" s="2" t="s">
        <v>5878</v>
      </c>
      <c r="D330" s="2"/>
      <c r="E330" s="2"/>
      <c r="F330" s="2">
        <f t="shared" si="5"/>
        <v>0</v>
      </c>
      <c r="G330" s="2"/>
    </row>
    <row r="331" spans="2:7" x14ac:dyDescent="0.25">
      <c r="B331" s="4">
        <v>45977</v>
      </c>
      <c r="C331" s="2" t="s">
        <v>5879</v>
      </c>
      <c r="D331" s="2"/>
      <c r="E331" s="2"/>
      <c r="F331" s="2">
        <f t="shared" si="5"/>
        <v>0</v>
      </c>
      <c r="G331" s="2"/>
    </row>
    <row r="332" spans="2:7" x14ac:dyDescent="0.25">
      <c r="B332" s="4">
        <v>45978</v>
      </c>
      <c r="C332" s="2" t="s">
        <v>5903</v>
      </c>
      <c r="D332" s="2"/>
      <c r="E332" s="2"/>
      <c r="F332" s="2">
        <f t="shared" si="5"/>
        <v>0</v>
      </c>
      <c r="G332" s="2"/>
    </row>
    <row r="333" spans="2:7" x14ac:dyDescent="0.25">
      <c r="B333" s="4">
        <v>45979</v>
      </c>
      <c r="C333" s="2" t="s">
        <v>5905</v>
      </c>
      <c r="D333" s="2"/>
      <c r="E333" s="2"/>
      <c r="F333" s="2"/>
      <c r="G333" s="2"/>
    </row>
    <row r="334" spans="2:7" x14ac:dyDescent="0.25">
      <c r="B334" s="4">
        <v>45980</v>
      </c>
      <c r="C334" s="2" t="s">
        <v>5924</v>
      </c>
      <c r="D334" s="2"/>
      <c r="E334" s="2"/>
      <c r="F334" s="2"/>
      <c r="G334" s="2"/>
    </row>
    <row r="335" spans="2:7" x14ac:dyDescent="0.25">
      <c r="B335" s="4">
        <v>45981</v>
      </c>
      <c r="C335" s="2" t="s">
        <v>5924</v>
      </c>
      <c r="D335" s="2" t="s">
        <v>5930</v>
      </c>
      <c r="E335" s="2"/>
      <c r="F335" s="2"/>
      <c r="G335" s="2"/>
    </row>
    <row r="336" spans="2:7" x14ac:dyDescent="0.25">
      <c r="B336" s="4">
        <v>45982</v>
      </c>
      <c r="C336" s="2" t="s">
        <v>5924</v>
      </c>
      <c r="D336" s="2"/>
      <c r="E336" s="2"/>
      <c r="F336" s="2"/>
      <c r="G336" s="2"/>
    </row>
    <row r="337" spans="2:7" x14ac:dyDescent="0.25">
      <c r="B337" s="4">
        <v>45983</v>
      </c>
      <c r="C337" s="2" t="s">
        <v>5924</v>
      </c>
      <c r="D337" s="2"/>
      <c r="E337" s="2"/>
      <c r="F337" s="2"/>
      <c r="G337" s="2"/>
    </row>
    <row r="338" spans="2:7" x14ac:dyDescent="0.25">
      <c r="B338" s="4">
        <v>45984</v>
      </c>
      <c r="C338" s="2" t="s">
        <v>5924</v>
      </c>
      <c r="D338" s="2"/>
      <c r="E338" s="2"/>
      <c r="F338" s="2"/>
      <c r="G338" s="2"/>
    </row>
    <row r="339" spans="2:7" x14ac:dyDescent="0.25">
      <c r="B339" s="4">
        <v>45985</v>
      </c>
      <c r="C339" s="2" t="s">
        <v>5924</v>
      </c>
      <c r="D339" s="2" t="s">
        <v>6027</v>
      </c>
      <c r="E339" s="2"/>
      <c r="F339" s="2"/>
      <c r="G339" s="2"/>
    </row>
    <row r="340" spans="2:7" x14ac:dyDescent="0.25">
      <c r="B340" s="4">
        <v>45986</v>
      </c>
      <c r="C340" s="2"/>
      <c r="D340" s="2"/>
      <c r="E340" s="2"/>
      <c r="F340" s="2"/>
      <c r="G340" s="2"/>
    </row>
    <row r="341" spans="2:7" x14ac:dyDescent="0.25">
      <c r="B341" s="4">
        <v>45987</v>
      </c>
      <c r="C341" s="2"/>
      <c r="D341" s="2"/>
      <c r="E341" s="2"/>
      <c r="F341" s="2"/>
      <c r="G341" s="2"/>
    </row>
    <row r="342" spans="2:7" x14ac:dyDescent="0.25">
      <c r="B342" s="4">
        <v>45988</v>
      </c>
      <c r="C342" s="2"/>
      <c r="D342" s="2"/>
      <c r="E342" s="2"/>
      <c r="F342" s="2"/>
      <c r="G342" s="2"/>
    </row>
    <row r="343" spans="2:7" x14ac:dyDescent="0.25">
      <c r="B343" s="4">
        <v>45989</v>
      </c>
      <c r="C343" s="2"/>
      <c r="D343" s="2"/>
      <c r="E343" s="2"/>
      <c r="F343" s="2"/>
      <c r="G343" s="2"/>
    </row>
    <row r="344" spans="2:7" x14ac:dyDescent="0.25">
      <c r="B344" s="4">
        <v>45990</v>
      </c>
      <c r="C344" s="2"/>
      <c r="D344" s="2"/>
      <c r="E344" s="2"/>
      <c r="F344" s="2"/>
      <c r="G344" s="2"/>
    </row>
    <row r="345" spans="2:7" x14ac:dyDescent="0.25">
      <c r="B345" s="4">
        <v>45991</v>
      </c>
      <c r="C345" s="2"/>
      <c r="D345" s="2"/>
      <c r="E345" s="2"/>
      <c r="F345" s="2"/>
      <c r="G345" s="2"/>
    </row>
    <row r="346" spans="2:7" x14ac:dyDescent="0.25">
      <c r="B346" s="4">
        <v>45992</v>
      </c>
      <c r="C346" s="2"/>
      <c r="D346" s="2"/>
      <c r="E346" s="2"/>
      <c r="F346" s="2"/>
      <c r="G346" s="2"/>
    </row>
    <row r="347" spans="2:7" x14ac:dyDescent="0.25">
      <c r="B347" s="4">
        <v>45993</v>
      </c>
      <c r="C347" s="2"/>
      <c r="D347" s="2"/>
      <c r="E347" s="2"/>
      <c r="F347" s="2"/>
      <c r="G347" s="2"/>
    </row>
    <row r="348" spans="2:7" x14ac:dyDescent="0.25">
      <c r="B348" s="4">
        <v>45994</v>
      </c>
      <c r="C348" s="2"/>
      <c r="D348" s="2"/>
      <c r="E348" s="2"/>
      <c r="F348" s="2"/>
      <c r="G348" s="2"/>
    </row>
    <row r="349" spans="2:7" x14ac:dyDescent="0.25">
      <c r="B349" s="4">
        <v>45995</v>
      </c>
      <c r="C349" s="2"/>
      <c r="D349" s="2"/>
      <c r="E349" s="2"/>
      <c r="F349" s="2"/>
      <c r="G349" s="2"/>
    </row>
    <row r="350" spans="2:7" x14ac:dyDescent="0.25">
      <c r="B350" s="4">
        <v>45996</v>
      </c>
      <c r="C350" s="2"/>
      <c r="D350" s="2"/>
      <c r="E350" s="2"/>
      <c r="F350" s="2"/>
      <c r="G350" s="2"/>
    </row>
    <row r="351" spans="2:7" x14ac:dyDescent="0.25">
      <c r="B351" s="4">
        <v>45997</v>
      </c>
      <c r="C351" s="2"/>
      <c r="D351" s="2"/>
      <c r="E351" s="2"/>
      <c r="F351" s="2"/>
      <c r="G351" s="2"/>
    </row>
    <row r="352" spans="2:7" x14ac:dyDescent="0.25">
      <c r="B352" s="4">
        <v>45998</v>
      </c>
      <c r="C352" s="2"/>
      <c r="D352" s="2"/>
      <c r="E352" s="2"/>
      <c r="F352" s="2"/>
      <c r="G352" s="2"/>
    </row>
    <row r="353" spans="2:7" x14ac:dyDescent="0.25">
      <c r="B353" s="4">
        <v>45999</v>
      </c>
      <c r="C353" s="2"/>
      <c r="D353" s="2"/>
      <c r="E353" s="2"/>
      <c r="F353" s="2"/>
      <c r="G353" s="2"/>
    </row>
    <row r="354" spans="2:7" x14ac:dyDescent="0.25">
      <c r="B354" s="4">
        <v>46000</v>
      </c>
      <c r="C354" s="2"/>
      <c r="D354" s="2"/>
      <c r="E354" s="2"/>
      <c r="F354" s="2"/>
      <c r="G354" s="2"/>
    </row>
    <row r="355" spans="2:7" x14ac:dyDescent="0.25">
      <c r="B355" s="4">
        <v>46001</v>
      </c>
      <c r="C355" s="2"/>
      <c r="D355" s="2"/>
      <c r="E355" s="2"/>
      <c r="F355" s="2"/>
      <c r="G355" s="2"/>
    </row>
    <row r="356" spans="2:7" x14ac:dyDescent="0.25">
      <c r="B356" s="4">
        <v>46002</v>
      </c>
      <c r="C356" s="2"/>
      <c r="D356" s="2"/>
      <c r="E356" s="2"/>
      <c r="F356" s="2"/>
      <c r="G356" s="2"/>
    </row>
    <row r="357" spans="2:7" x14ac:dyDescent="0.25">
      <c r="B357" s="4">
        <v>46003</v>
      </c>
      <c r="C357" s="2"/>
      <c r="D357" s="2"/>
      <c r="E357" s="2"/>
      <c r="F357" s="2"/>
      <c r="G357" s="2"/>
    </row>
    <row r="358" spans="2:7" x14ac:dyDescent="0.25">
      <c r="B358" s="4">
        <v>46004</v>
      </c>
      <c r="C358" s="2" t="s">
        <v>6121</v>
      </c>
      <c r="D358" s="2"/>
      <c r="E358" s="2"/>
      <c r="F358" s="2"/>
      <c r="G358" s="2"/>
    </row>
    <row r="359" spans="2:7" x14ac:dyDescent="0.25">
      <c r="B359" s="4">
        <v>46005</v>
      </c>
      <c r="C359" s="2" t="s">
        <v>279</v>
      </c>
      <c r="D359" s="2"/>
      <c r="E359" s="2"/>
      <c r="F359" s="2"/>
      <c r="G359" s="2"/>
    </row>
    <row r="360" spans="2:7" x14ac:dyDescent="0.25">
      <c r="B360" s="4">
        <v>46006</v>
      </c>
      <c r="C360" s="2" t="s">
        <v>6129</v>
      </c>
      <c r="D360" s="2"/>
      <c r="E360" s="2">
        <v>118</v>
      </c>
      <c r="F360" s="2">
        <f>E360-E359</f>
        <v>118</v>
      </c>
      <c r="G360" s="2"/>
    </row>
    <row r="361" spans="2:7" x14ac:dyDescent="0.25">
      <c r="B361" s="4">
        <v>46007</v>
      </c>
      <c r="C361" s="2" t="s">
        <v>6136</v>
      </c>
      <c r="D361" s="2"/>
      <c r="E361" s="2">
        <v>136</v>
      </c>
      <c r="F361" s="2">
        <f t="shared" ref="F361:F368" si="6">E361-E360</f>
        <v>18</v>
      </c>
      <c r="G361" s="2"/>
    </row>
    <row r="362" spans="2:7" x14ac:dyDescent="0.25">
      <c r="B362" s="4">
        <v>46008</v>
      </c>
      <c r="C362" s="2" t="s">
        <v>6147</v>
      </c>
      <c r="D362" s="2" t="s">
        <v>6148</v>
      </c>
      <c r="E362" s="2">
        <v>145</v>
      </c>
      <c r="F362" s="2">
        <f t="shared" si="6"/>
        <v>9</v>
      </c>
      <c r="G362" s="2"/>
    </row>
    <row r="363" spans="2:7" x14ac:dyDescent="0.25">
      <c r="B363" s="4">
        <v>46009</v>
      </c>
      <c r="C363" s="2" t="s">
        <v>6147</v>
      </c>
      <c r="D363" s="2" t="s">
        <v>5074</v>
      </c>
      <c r="E363" s="2">
        <v>145</v>
      </c>
      <c r="F363" s="2">
        <f t="shared" si="6"/>
        <v>0</v>
      </c>
      <c r="G363" s="2"/>
    </row>
    <row r="364" spans="2:7" x14ac:dyDescent="0.25">
      <c r="B364" s="4">
        <v>46010</v>
      </c>
      <c r="C364" s="2" t="s">
        <v>6156</v>
      </c>
      <c r="D364" s="2" t="s">
        <v>6157</v>
      </c>
      <c r="E364" s="2"/>
      <c r="F364" s="2">
        <f t="shared" si="6"/>
        <v>-145</v>
      </c>
      <c r="G364" s="2"/>
    </row>
    <row r="365" spans="2:7" x14ac:dyDescent="0.25">
      <c r="B365" s="4">
        <v>46011</v>
      </c>
      <c r="C365" s="2" t="s">
        <v>6169</v>
      </c>
      <c r="D365" s="2"/>
      <c r="E365" s="2"/>
      <c r="F365" s="2">
        <f t="shared" si="6"/>
        <v>0</v>
      </c>
      <c r="G365" s="2"/>
    </row>
    <row r="366" spans="2:7" x14ac:dyDescent="0.25">
      <c r="B366" s="4">
        <v>46012</v>
      </c>
      <c r="C366" s="2" t="s">
        <v>6169</v>
      </c>
      <c r="D366" s="2"/>
      <c r="E366" s="2"/>
      <c r="F366" s="2">
        <f t="shared" si="6"/>
        <v>0</v>
      </c>
      <c r="G366" s="2"/>
    </row>
    <row r="367" spans="2:7" x14ac:dyDescent="0.25">
      <c r="B367" s="4">
        <v>46013</v>
      </c>
      <c r="C367" s="2" t="s">
        <v>6193</v>
      </c>
      <c r="D367" s="2"/>
      <c r="E367" s="2"/>
      <c r="F367" s="2">
        <f t="shared" si="6"/>
        <v>0</v>
      </c>
      <c r="G367" s="2"/>
    </row>
    <row r="368" spans="2:7" x14ac:dyDescent="0.25">
      <c r="B368" s="4">
        <v>46014</v>
      </c>
      <c r="C368" s="2"/>
      <c r="D368" s="2"/>
      <c r="E368" s="2"/>
      <c r="F368" s="2">
        <f t="shared" si="6"/>
        <v>0</v>
      </c>
      <c r="G368" s="2"/>
    </row>
    <row r="369" spans="2:7" x14ac:dyDescent="0.25">
      <c r="B369" s="4">
        <v>46015</v>
      </c>
      <c r="C369" s="2"/>
      <c r="D369" s="2"/>
      <c r="E369" s="2"/>
      <c r="F369" s="2"/>
      <c r="G369" s="2"/>
    </row>
    <row r="370" spans="2:7" x14ac:dyDescent="0.25">
      <c r="B370" s="4">
        <v>46016</v>
      </c>
      <c r="C370" s="2"/>
      <c r="D370" s="2"/>
      <c r="E370" s="2"/>
      <c r="F370" s="2"/>
      <c r="G370" s="2"/>
    </row>
    <row r="371" spans="2:7" x14ac:dyDescent="0.25">
      <c r="B371" s="4">
        <v>46017</v>
      </c>
      <c r="C371" s="2"/>
      <c r="D371" s="2"/>
      <c r="E371" s="2"/>
      <c r="F371" s="2"/>
      <c r="G371" s="2"/>
    </row>
    <row r="372" spans="2:7" x14ac:dyDescent="0.25">
      <c r="B372" s="4">
        <v>46018</v>
      </c>
      <c r="C372" s="2"/>
      <c r="D372" s="2"/>
      <c r="E372" s="2"/>
      <c r="F372" s="2"/>
      <c r="G372" s="2"/>
    </row>
    <row r="373" spans="2:7" x14ac:dyDescent="0.25">
      <c r="B373" s="4">
        <v>46019</v>
      </c>
      <c r="C373" s="2"/>
      <c r="D373" s="2"/>
      <c r="E373" s="2"/>
      <c r="F373" s="2"/>
      <c r="G373" s="2"/>
    </row>
    <row r="374" spans="2:7" x14ac:dyDescent="0.25">
      <c r="B374" s="4">
        <v>46020</v>
      </c>
      <c r="C374" s="2"/>
      <c r="D374" s="2"/>
      <c r="E374" s="2"/>
      <c r="F374" s="2"/>
      <c r="G374" s="2"/>
    </row>
    <row r="375" spans="2:7" x14ac:dyDescent="0.25">
      <c r="B375" s="4">
        <v>46021</v>
      </c>
      <c r="C375" s="2"/>
      <c r="D375" s="2"/>
      <c r="E375" s="2"/>
      <c r="F375" s="2"/>
      <c r="G375" s="2"/>
    </row>
    <row r="376" spans="2:7" x14ac:dyDescent="0.25">
      <c r="B376" s="4">
        <v>46022</v>
      </c>
      <c r="C376" s="2"/>
      <c r="D376" s="2"/>
      <c r="E376" s="2"/>
      <c r="F376" s="2"/>
      <c r="G376" s="2"/>
    </row>
    <row r="377" spans="2:7" x14ac:dyDescent="0.25">
      <c r="B377" s="4">
        <v>46023</v>
      </c>
      <c r="C377" s="2"/>
      <c r="D377" s="2"/>
      <c r="E377" s="2"/>
      <c r="F377" s="2"/>
      <c r="G377" s="2"/>
    </row>
    <row r="378" spans="2:7" x14ac:dyDescent="0.25">
      <c r="B378" s="4">
        <v>46024</v>
      </c>
      <c r="C378" s="2"/>
      <c r="D378" s="2"/>
      <c r="E378" s="2"/>
      <c r="F378" s="2"/>
      <c r="G378" s="2"/>
    </row>
    <row r="379" spans="2:7" x14ac:dyDescent="0.25">
      <c r="B379" s="4">
        <v>46025</v>
      </c>
      <c r="C379" s="2"/>
      <c r="D379" s="2"/>
      <c r="E379" s="2"/>
      <c r="F379" s="2"/>
      <c r="G379" s="2"/>
    </row>
  </sheetData>
  <pageMargins left="0.7" right="0.7" top="0.75" bottom="0.75" header="0.3" footer="0.3"/>
  <pageSetup paperSize="9" orientation="landscape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G169"/>
  <sheetViews>
    <sheetView topLeftCell="A131" workbookViewId="0">
      <selection activeCell="D148" sqref="D148"/>
    </sheetView>
  </sheetViews>
  <sheetFormatPr defaultRowHeight="15" x14ac:dyDescent="0.25"/>
  <cols>
    <col min="2" max="2" width="18" bestFit="1" customWidth="1"/>
    <col min="3" max="3" width="72" bestFit="1" customWidth="1"/>
    <col min="4" max="4" width="42.140625" bestFit="1" customWidth="1"/>
    <col min="5" max="5" width="11.85546875" bestFit="1" customWidth="1"/>
    <col min="6" max="6" width="8.42578125" bestFit="1" customWidth="1"/>
    <col min="7" max="7" width="11" bestFit="1" customWidth="1"/>
  </cols>
  <sheetData>
    <row r="3" spans="2:7" x14ac:dyDescent="0.25">
      <c r="B3" s="53" t="s">
        <v>3358</v>
      </c>
    </row>
    <row r="4" spans="2:7" ht="15.75" x14ac:dyDescent="0.25">
      <c r="B4" s="10" t="s">
        <v>0</v>
      </c>
      <c r="C4" s="11" t="s">
        <v>1</v>
      </c>
      <c r="D4" s="11" t="s">
        <v>2</v>
      </c>
      <c r="E4" s="11" t="s">
        <v>934</v>
      </c>
      <c r="F4" s="11" t="s">
        <v>1095</v>
      </c>
      <c r="G4" s="11" t="s">
        <v>1507</v>
      </c>
    </row>
    <row r="5" spans="2:7" x14ac:dyDescent="0.25">
      <c r="B5" s="4">
        <v>45705</v>
      </c>
      <c r="C5" s="2" t="s">
        <v>1528</v>
      </c>
      <c r="D5" s="2"/>
      <c r="E5" s="23">
        <v>0</v>
      </c>
      <c r="F5" s="2"/>
      <c r="G5" s="2"/>
    </row>
    <row r="6" spans="2:7" x14ac:dyDescent="0.25">
      <c r="B6" s="4">
        <v>45706</v>
      </c>
      <c r="C6" s="2" t="s">
        <v>1528</v>
      </c>
      <c r="D6" s="2"/>
      <c r="E6" s="23">
        <v>0</v>
      </c>
      <c r="F6" s="2"/>
      <c r="G6" s="2"/>
    </row>
    <row r="7" spans="2:7" x14ac:dyDescent="0.25">
      <c r="B7" s="4">
        <v>45707</v>
      </c>
      <c r="C7" s="2" t="s">
        <v>522</v>
      </c>
      <c r="D7" s="2" t="s">
        <v>3364</v>
      </c>
      <c r="E7" s="23">
        <v>0</v>
      </c>
      <c r="F7" s="2"/>
      <c r="G7" s="2"/>
    </row>
    <row r="8" spans="2:7" x14ac:dyDescent="0.25">
      <c r="B8" s="4">
        <v>45708</v>
      </c>
      <c r="C8" s="2" t="s">
        <v>3368</v>
      </c>
      <c r="D8" s="2"/>
      <c r="E8" s="23">
        <v>0</v>
      </c>
      <c r="F8" s="2"/>
      <c r="G8" s="2"/>
    </row>
    <row r="9" spans="2:7" x14ac:dyDescent="0.25">
      <c r="B9" s="4">
        <v>45709</v>
      </c>
      <c r="C9" s="2" t="s">
        <v>3373</v>
      </c>
      <c r="D9" s="2"/>
      <c r="E9" s="23">
        <v>0</v>
      </c>
      <c r="F9" s="2"/>
      <c r="G9" s="2"/>
    </row>
    <row r="10" spans="2:7" x14ac:dyDescent="0.25">
      <c r="B10" s="4">
        <v>45710</v>
      </c>
      <c r="C10" s="2" t="s">
        <v>3383</v>
      </c>
      <c r="D10" s="2"/>
      <c r="E10" s="23">
        <v>0</v>
      </c>
      <c r="F10" s="2"/>
      <c r="G10" s="2"/>
    </row>
    <row r="11" spans="2:7" x14ac:dyDescent="0.25">
      <c r="B11" s="4">
        <v>45711</v>
      </c>
      <c r="C11" s="2" t="s">
        <v>3383</v>
      </c>
      <c r="D11" s="2" t="s">
        <v>3382</v>
      </c>
      <c r="E11" s="23">
        <v>0</v>
      </c>
      <c r="F11" s="2">
        <f t="shared" ref="F11:F18" si="0">E11-E10</f>
        <v>0</v>
      </c>
      <c r="G11" s="2"/>
    </row>
    <row r="12" spans="2:7" x14ac:dyDescent="0.25">
      <c r="B12" s="4">
        <v>45712</v>
      </c>
      <c r="C12" s="2" t="s">
        <v>3387</v>
      </c>
      <c r="D12" s="2"/>
      <c r="E12" s="23">
        <v>1</v>
      </c>
      <c r="F12" s="2">
        <f t="shared" si="0"/>
        <v>1</v>
      </c>
      <c r="G12" s="2"/>
    </row>
    <row r="13" spans="2:7" x14ac:dyDescent="0.25">
      <c r="B13" s="4">
        <v>45713</v>
      </c>
      <c r="C13" s="2" t="s">
        <v>3387</v>
      </c>
      <c r="D13" s="2"/>
      <c r="E13" s="23">
        <v>1</v>
      </c>
      <c r="F13" s="2">
        <f t="shared" si="0"/>
        <v>0</v>
      </c>
      <c r="G13" s="2"/>
    </row>
    <row r="14" spans="2:7" x14ac:dyDescent="0.25">
      <c r="B14" s="4">
        <v>45714</v>
      </c>
      <c r="C14" s="2" t="s">
        <v>3399</v>
      </c>
      <c r="D14" s="2"/>
      <c r="E14" s="23">
        <v>1.5</v>
      </c>
      <c r="F14" s="2">
        <f t="shared" si="0"/>
        <v>0.5</v>
      </c>
      <c r="G14" s="2"/>
    </row>
    <row r="15" spans="2:7" x14ac:dyDescent="0.25">
      <c r="B15" s="4">
        <v>45715</v>
      </c>
      <c r="C15" s="2" t="s">
        <v>3406</v>
      </c>
      <c r="D15" s="2"/>
      <c r="E15" s="23">
        <v>14</v>
      </c>
      <c r="F15" s="2">
        <f t="shared" si="0"/>
        <v>12.5</v>
      </c>
      <c r="G15" s="2"/>
    </row>
    <row r="16" spans="2:7" x14ac:dyDescent="0.25">
      <c r="B16" s="4">
        <v>45716</v>
      </c>
      <c r="C16" s="2" t="s">
        <v>3409</v>
      </c>
      <c r="D16" s="2"/>
      <c r="E16" s="23">
        <f>14+5</f>
        <v>19</v>
      </c>
      <c r="F16" s="2">
        <f t="shared" si="0"/>
        <v>5</v>
      </c>
      <c r="G16" s="2"/>
    </row>
    <row r="17" spans="2:7" x14ac:dyDescent="0.25">
      <c r="B17" s="4">
        <v>45717</v>
      </c>
      <c r="C17" s="2" t="s">
        <v>3410</v>
      </c>
      <c r="D17" s="2"/>
      <c r="E17" s="23">
        <f>19+5</f>
        <v>24</v>
      </c>
      <c r="F17" s="2">
        <f t="shared" si="0"/>
        <v>5</v>
      </c>
      <c r="G17" s="2"/>
    </row>
    <row r="18" spans="2:7" x14ac:dyDescent="0.25">
      <c r="B18" s="4">
        <v>45718</v>
      </c>
      <c r="C18" s="2" t="s">
        <v>3411</v>
      </c>
      <c r="D18" s="2"/>
      <c r="E18" s="23">
        <f>24+11</f>
        <v>35</v>
      </c>
      <c r="F18" s="2">
        <f t="shared" si="0"/>
        <v>11</v>
      </c>
      <c r="G18" s="2"/>
    </row>
    <row r="19" spans="2:7" x14ac:dyDescent="0.25">
      <c r="B19" s="4">
        <v>45719</v>
      </c>
      <c r="C19" s="2" t="s">
        <v>3429</v>
      </c>
      <c r="D19" s="2" t="s">
        <v>3430</v>
      </c>
      <c r="E19" s="23">
        <v>38</v>
      </c>
      <c r="F19" s="2">
        <f>E19-E18</f>
        <v>3</v>
      </c>
      <c r="G19" s="2"/>
    </row>
    <row r="20" spans="2:7" x14ac:dyDescent="0.25">
      <c r="B20" s="4">
        <v>45720</v>
      </c>
      <c r="C20" s="2" t="s">
        <v>3449</v>
      </c>
      <c r="D20" s="2"/>
      <c r="E20" s="23">
        <v>39</v>
      </c>
      <c r="F20" s="2">
        <f t="shared" ref="F20:F83" si="1">E20-E19</f>
        <v>1</v>
      </c>
      <c r="G20" s="2"/>
    </row>
    <row r="21" spans="2:7" x14ac:dyDescent="0.25">
      <c r="B21" s="4">
        <v>45721</v>
      </c>
      <c r="C21" s="2" t="s">
        <v>3450</v>
      </c>
      <c r="D21" s="2"/>
      <c r="E21" s="23">
        <v>41</v>
      </c>
      <c r="F21" s="2">
        <f t="shared" si="1"/>
        <v>2</v>
      </c>
      <c r="G21" s="2"/>
    </row>
    <row r="22" spans="2:7" x14ac:dyDescent="0.25">
      <c r="B22" s="4">
        <v>45722</v>
      </c>
      <c r="C22" s="2" t="s">
        <v>3451</v>
      </c>
      <c r="D22" s="2"/>
      <c r="E22" s="23">
        <v>45</v>
      </c>
      <c r="F22" s="2">
        <f t="shared" si="1"/>
        <v>4</v>
      </c>
      <c r="G22" s="2"/>
    </row>
    <row r="23" spans="2:7" x14ac:dyDescent="0.25">
      <c r="B23" s="4">
        <v>45723</v>
      </c>
      <c r="C23" s="2" t="s">
        <v>3461</v>
      </c>
      <c r="D23" s="2"/>
      <c r="E23" s="23">
        <v>47</v>
      </c>
      <c r="F23" s="2">
        <f t="shared" si="1"/>
        <v>2</v>
      </c>
      <c r="G23" s="2"/>
    </row>
    <row r="24" spans="2:7" x14ac:dyDescent="0.25">
      <c r="B24" s="4">
        <v>45724</v>
      </c>
      <c r="C24" s="2" t="s">
        <v>3481</v>
      </c>
      <c r="D24" s="2"/>
      <c r="E24" s="23">
        <v>53</v>
      </c>
      <c r="F24" s="2">
        <f t="shared" si="1"/>
        <v>6</v>
      </c>
      <c r="G24" s="2"/>
    </row>
    <row r="25" spans="2:7" x14ac:dyDescent="0.25">
      <c r="B25" s="4">
        <v>45725</v>
      </c>
      <c r="C25" s="2" t="s">
        <v>3482</v>
      </c>
      <c r="D25" s="2"/>
      <c r="E25" s="23">
        <v>54</v>
      </c>
      <c r="F25" s="2">
        <f t="shared" si="1"/>
        <v>1</v>
      </c>
      <c r="G25" s="2"/>
    </row>
    <row r="26" spans="2:7" x14ac:dyDescent="0.25">
      <c r="B26" s="4">
        <v>45726</v>
      </c>
      <c r="C26" s="2" t="s">
        <v>3489</v>
      </c>
      <c r="D26" s="2"/>
      <c r="E26" s="23">
        <v>56</v>
      </c>
      <c r="F26" s="2">
        <f t="shared" si="1"/>
        <v>2</v>
      </c>
      <c r="G26" s="2"/>
    </row>
    <row r="27" spans="2:7" x14ac:dyDescent="0.25">
      <c r="B27" s="4">
        <v>45727</v>
      </c>
      <c r="C27" s="2" t="s">
        <v>3496</v>
      </c>
      <c r="D27" s="2"/>
      <c r="E27" s="23">
        <v>56.5</v>
      </c>
      <c r="F27" s="2">
        <f t="shared" si="1"/>
        <v>0.5</v>
      </c>
      <c r="G27" s="2"/>
    </row>
    <row r="28" spans="2:7" x14ac:dyDescent="0.25">
      <c r="B28" s="4">
        <v>45728</v>
      </c>
      <c r="C28" s="58" t="s">
        <v>3512</v>
      </c>
      <c r="D28" s="2"/>
      <c r="E28" s="33">
        <v>58.5</v>
      </c>
      <c r="F28" s="2">
        <f t="shared" si="1"/>
        <v>2</v>
      </c>
      <c r="G28" s="2"/>
    </row>
    <row r="29" spans="2:7" x14ac:dyDescent="0.25">
      <c r="B29" s="4">
        <v>45729</v>
      </c>
      <c r="C29" s="58" t="s">
        <v>3513</v>
      </c>
      <c r="D29" s="2"/>
      <c r="E29" s="23">
        <v>69</v>
      </c>
      <c r="F29" s="2">
        <f t="shared" si="1"/>
        <v>10.5</v>
      </c>
      <c r="G29" s="2"/>
    </row>
    <row r="30" spans="2:7" x14ac:dyDescent="0.25">
      <c r="B30" s="4">
        <v>45730</v>
      </c>
      <c r="C30" s="58" t="s">
        <v>3516</v>
      </c>
      <c r="D30" s="12" t="s">
        <v>3523</v>
      </c>
      <c r="E30" s="23">
        <v>80</v>
      </c>
      <c r="F30" s="2">
        <f t="shared" si="1"/>
        <v>11</v>
      </c>
      <c r="G30" s="2"/>
    </row>
    <row r="31" spans="2:7" x14ac:dyDescent="0.25">
      <c r="B31" s="4">
        <v>45731</v>
      </c>
      <c r="C31" s="58" t="s">
        <v>3535</v>
      </c>
      <c r="D31" s="12" t="s">
        <v>3537</v>
      </c>
      <c r="E31" s="23">
        <v>82</v>
      </c>
      <c r="F31" s="2">
        <f t="shared" si="1"/>
        <v>2</v>
      </c>
      <c r="G31" s="2"/>
    </row>
    <row r="32" spans="2:7" x14ac:dyDescent="0.25">
      <c r="B32" s="4">
        <v>45732</v>
      </c>
      <c r="C32" s="58" t="s">
        <v>3536</v>
      </c>
      <c r="D32" s="12"/>
      <c r="E32" s="23">
        <v>83</v>
      </c>
      <c r="F32" s="2">
        <f t="shared" si="1"/>
        <v>1</v>
      </c>
      <c r="G32" s="2"/>
    </row>
    <row r="33" spans="2:7" x14ac:dyDescent="0.25">
      <c r="B33" s="4">
        <v>45733</v>
      </c>
      <c r="C33" s="58" t="s">
        <v>3539</v>
      </c>
      <c r="D33" s="2"/>
      <c r="E33" s="23">
        <v>86</v>
      </c>
      <c r="F33" s="2">
        <f t="shared" si="1"/>
        <v>3</v>
      </c>
      <c r="G33" s="2"/>
    </row>
    <row r="34" spans="2:7" x14ac:dyDescent="0.25">
      <c r="B34" s="4">
        <v>45734</v>
      </c>
      <c r="C34" s="2" t="s">
        <v>3547</v>
      </c>
      <c r="D34" s="2"/>
      <c r="E34" s="23">
        <v>86</v>
      </c>
      <c r="F34" s="2">
        <f t="shared" si="1"/>
        <v>0</v>
      </c>
      <c r="G34" s="2"/>
    </row>
    <row r="35" spans="2:7" x14ac:dyDescent="0.25">
      <c r="B35" s="4">
        <v>45735</v>
      </c>
      <c r="C35" s="58" t="s">
        <v>3548</v>
      </c>
      <c r="D35" s="2"/>
      <c r="E35" s="23">
        <v>86.5</v>
      </c>
      <c r="F35" s="2">
        <f t="shared" si="1"/>
        <v>0.5</v>
      </c>
      <c r="G35" s="2"/>
    </row>
    <row r="36" spans="2:7" x14ac:dyDescent="0.25">
      <c r="B36" s="4">
        <v>45736</v>
      </c>
      <c r="C36" s="58" t="s">
        <v>3549</v>
      </c>
      <c r="D36" s="2"/>
      <c r="E36" s="23">
        <v>87</v>
      </c>
      <c r="F36" s="2">
        <f t="shared" si="1"/>
        <v>0.5</v>
      </c>
      <c r="G36" s="2"/>
    </row>
    <row r="37" spans="2:7" x14ac:dyDescent="0.25">
      <c r="B37" s="4">
        <v>45737</v>
      </c>
      <c r="C37" s="2"/>
      <c r="D37" s="2"/>
      <c r="E37" s="23">
        <v>87</v>
      </c>
      <c r="F37" s="2">
        <f t="shared" si="1"/>
        <v>0</v>
      </c>
      <c r="G37" s="2"/>
    </row>
    <row r="38" spans="2:7" x14ac:dyDescent="0.25">
      <c r="B38" s="4">
        <v>45738</v>
      </c>
      <c r="C38" s="2"/>
      <c r="D38" s="2"/>
      <c r="E38" s="23">
        <v>87</v>
      </c>
      <c r="F38" s="2">
        <f t="shared" si="1"/>
        <v>0</v>
      </c>
      <c r="G38" s="2"/>
    </row>
    <row r="39" spans="2:7" x14ac:dyDescent="0.25">
      <c r="B39" s="4">
        <v>45739</v>
      </c>
      <c r="C39" s="58" t="s">
        <v>3564</v>
      </c>
      <c r="D39" s="2"/>
      <c r="E39" s="23">
        <v>90</v>
      </c>
      <c r="F39" s="2">
        <f t="shared" si="1"/>
        <v>3</v>
      </c>
      <c r="G39" s="2"/>
    </row>
    <row r="40" spans="2:7" x14ac:dyDescent="0.25">
      <c r="B40" s="4">
        <v>45740</v>
      </c>
      <c r="C40" s="58" t="s">
        <v>3571</v>
      </c>
      <c r="D40" s="2" t="s">
        <v>3581</v>
      </c>
      <c r="E40" s="23">
        <v>93</v>
      </c>
      <c r="F40" s="2">
        <f t="shared" si="1"/>
        <v>3</v>
      </c>
      <c r="G40" s="2"/>
    </row>
    <row r="41" spans="2:7" x14ac:dyDescent="0.25">
      <c r="B41" s="4">
        <v>45741</v>
      </c>
      <c r="C41" s="58" t="s">
        <v>3584</v>
      </c>
      <c r="D41" s="2"/>
      <c r="E41" s="23">
        <v>93</v>
      </c>
      <c r="F41" s="2">
        <f t="shared" si="1"/>
        <v>0</v>
      </c>
      <c r="G41" s="2"/>
    </row>
    <row r="42" spans="2:7" x14ac:dyDescent="0.25">
      <c r="B42" s="4">
        <v>45742</v>
      </c>
      <c r="C42" s="2"/>
      <c r="D42" s="2"/>
      <c r="E42" s="23">
        <v>93</v>
      </c>
      <c r="F42" s="2">
        <f t="shared" si="1"/>
        <v>0</v>
      </c>
      <c r="G42" s="2"/>
    </row>
    <row r="43" spans="2:7" x14ac:dyDescent="0.25">
      <c r="B43" s="4">
        <v>45743</v>
      </c>
      <c r="C43" s="2"/>
      <c r="D43" s="2"/>
      <c r="E43" s="23">
        <v>93</v>
      </c>
      <c r="F43" s="2">
        <f t="shared" si="1"/>
        <v>0</v>
      </c>
      <c r="G43" s="2"/>
    </row>
    <row r="44" spans="2:7" x14ac:dyDescent="0.25">
      <c r="B44" s="4">
        <v>45744</v>
      </c>
      <c r="C44" s="2"/>
      <c r="D44" s="2"/>
      <c r="E44" s="23">
        <v>93</v>
      </c>
      <c r="F44" s="2">
        <f t="shared" si="1"/>
        <v>0</v>
      </c>
      <c r="G44" s="2"/>
    </row>
    <row r="45" spans="2:7" x14ac:dyDescent="0.25">
      <c r="B45" s="4">
        <v>45745</v>
      </c>
      <c r="C45" s="2" t="s">
        <v>131</v>
      </c>
      <c r="D45" s="2"/>
      <c r="E45" s="23">
        <v>93</v>
      </c>
      <c r="F45" s="2">
        <f t="shared" si="1"/>
        <v>0</v>
      </c>
      <c r="G45" s="2"/>
    </row>
    <row r="46" spans="2:7" x14ac:dyDescent="0.25">
      <c r="B46" s="4">
        <v>45746</v>
      </c>
      <c r="C46" s="2"/>
      <c r="D46" s="2"/>
      <c r="E46" s="23">
        <v>93</v>
      </c>
      <c r="F46" s="2">
        <f t="shared" si="1"/>
        <v>0</v>
      </c>
      <c r="G46" s="2"/>
    </row>
    <row r="47" spans="2:7" x14ac:dyDescent="0.25">
      <c r="B47" s="4">
        <v>45747</v>
      </c>
      <c r="C47" s="2"/>
      <c r="D47" s="2"/>
      <c r="E47" s="23">
        <v>93</v>
      </c>
      <c r="F47" s="2">
        <f t="shared" si="1"/>
        <v>0</v>
      </c>
      <c r="G47" s="2"/>
    </row>
    <row r="48" spans="2:7" x14ac:dyDescent="0.25">
      <c r="B48" s="4">
        <v>45748</v>
      </c>
      <c r="C48" s="2"/>
      <c r="D48" s="2"/>
      <c r="E48" s="23">
        <v>93</v>
      </c>
      <c r="F48" s="2">
        <f t="shared" si="1"/>
        <v>0</v>
      </c>
      <c r="G48" s="2"/>
    </row>
    <row r="49" spans="2:7" x14ac:dyDescent="0.25">
      <c r="B49" s="4">
        <v>45749</v>
      </c>
      <c r="C49" s="2"/>
      <c r="D49" s="2"/>
      <c r="E49" s="23">
        <v>93</v>
      </c>
      <c r="F49" s="2">
        <f t="shared" si="1"/>
        <v>0</v>
      </c>
      <c r="G49" s="2"/>
    </row>
    <row r="50" spans="2:7" x14ac:dyDescent="0.25">
      <c r="B50" s="4">
        <v>45750</v>
      </c>
      <c r="C50" s="2"/>
      <c r="D50" s="2"/>
      <c r="E50" s="23">
        <v>93</v>
      </c>
      <c r="F50" s="2">
        <f t="shared" si="1"/>
        <v>0</v>
      </c>
      <c r="G50" s="2"/>
    </row>
    <row r="51" spans="2:7" x14ac:dyDescent="0.25">
      <c r="B51" s="4">
        <v>45751</v>
      </c>
      <c r="C51" s="2"/>
      <c r="D51" s="2"/>
      <c r="E51" s="23">
        <v>93</v>
      </c>
      <c r="F51" s="2">
        <f t="shared" si="1"/>
        <v>0</v>
      </c>
      <c r="G51" s="2"/>
    </row>
    <row r="52" spans="2:7" x14ac:dyDescent="0.25">
      <c r="B52" s="4">
        <v>45752</v>
      </c>
      <c r="C52" s="2"/>
      <c r="D52" s="2"/>
      <c r="E52" s="23">
        <v>93</v>
      </c>
      <c r="F52" s="2">
        <f t="shared" si="1"/>
        <v>0</v>
      </c>
      <c r="G52" s="2"/>
    </row>
    <row r="53" spans="2:7" x14ac:dyDescent="0.25">
      <c r="B53" s="4">
        <v>45753</v>
      </c>
      <c r="C53" s="2"/>
      <c r="D53" s="2"/>
      <c r="E53" s="23">
        <v>93</v>
      </c>
      <c r="F53" s="2">
        <f t="shared" si="1"/>
        <v>0</v>
      </c>
      <c r="G53" s="2"/>
    </row>
    <row r="54" spans="2:7" x14ac:dyDescent="0.25">
      <c r="B54" s="4">
        <v>45754</v>
      </c>
      <c r="C54" s="2" t="s">
        <v>3633</v>
      </c>
      <c r="D54" s="2"/>
      <c r="E54" s="23">
        <v>93</v>
      </c>
      <c r="F54" s="2">
        <f t="shared" si="1"/>
        <v>0</v>
      </c>
      <c r="G54" s="2"/>
    </row>
    <row r="55" spans="2:7" x14ac:dyDescent="0.25">
      <c r="B55" s="4">
        <v>45755</v>
      </c>
      <c r="C55" s="2" t="s">
        <v>3639</v>
      </c>
      <c r="D55" s="2"/>
      <c r="E55" s="23">
        <v>93</v>
      </c>
      <c r="F55" s="2">
        <f t="shared" si="1"/>
        <v>0</v>
      </c>
      <c r="G55" s="2"/>
    </row>
    <row r="56" spans="2:7" x14ac:dyDescent="0.25">
      <c r="B56" s="4">
        <v>45756</v>
      </c>
      <c r="C56" s="2" t="s">
        <v>3639</v>
      </c>
      <c r="D56" s="2"/>
      <c r="E56" s="23">
        <v>93</v>
      </c>
      <c r="F56" s="2">
        <f t="shared" si="1"/>
        <v>0</v>
      </c>
      <c r="G56" s="2"/>
    </row>
    <row r="57" spans="2:7" x14ac:dyDescent="0.25">
      <c r="B57" s="4">
        <v>45757</v>
      </c>
      <c r="C57" s="2" t="s">
        <v>3639</v>
      </c>
      <c r="D57" s="2"/>
      <c r="E57" s="23">
        <v>93</v>
      </c>
      <c r="F57" s="2">
        <f t="shared" si="1"/>
        <v>0</v>
      </c>
      <c r="G57" s="2"/>
    </row>
    <row r="58" spans="2:7" x14ac:dyDescent="0.25">
      <c r="B58" s="4">
        <v>45758</v>
      </c>
      <c r="C58" s="2" t="s">
        <v>3639</v>
      </c>
      <c r="D58" s="2"/>
      <c r="E58" s="23">
        <v>93</v>
      </c>
      <c r="F58" s="2">
        <f t="shared" si="1"/>
        <v>0</v>
      </c>
      <c r="G58" s="2"/>
    </row>
    <row r="59" spans="2:7" x14ac:dyDescent="0.25">
      <c r="B59" s="4">
        <v>45759</v>
      </c>
      <c r="C59" s="2" t="s">
        <v>3639</v>
      </c>
      <c r="D59" s="2"/>
      <c r="E59" s="23">
        <v>93</v>
      </c>
      <c r="F59" s="2">
        <f t="shared" si="1"/>
        <v>0</v>
      </c>
      <c r="G59" s="2"/>
    </row>
    <row r="60" spans="2:7" x14ac:dyDescent="0.25">
      <c r="B60" s="4">
        <v>45760</v>
      </c>
      <c r="C60" s="2" t="s">
        <v>3639</v>
      </c>
      <c r="D60" s="2"/>
      <c r="E60" s="23">
        <v>93</v>
      </c>
      <c r="F60" s="2">
        <f t="shared" si="1"/>
        <v>0</v>
      </c>
      <c r="G60" s="2"/>
    </row>
    <row r="61" spans="2:7" x14ac:dyDescent="0.25">
      <c r="B61" s="4">
        <v>45761</v>
      </c>
      <c r="C61" s="2" t="s">
        <v>3676</v>
      </c>
      <c r="D61" s="2"/>
      <c r="E61" s="23">
        <v>30</v>
      </c>
      <c r="F61" s="2">
        <f t="shared" si="1"/>
        <v>-63</v>
      </c>
      <c r="G61" s="2"/>
    </row>
    <row r="62" spans="2:7" x14ac:dyDescent="0.25">
      <c r="B62" s="4">
        <v>45762</v>
      </c>
      <c r="C62" s="2" t="s">
        <v>3683</v>
      </c>
      <c r="D62" s="2"/>
      <c r="E62" s="23">
        <v>88</v>
      </c>
      <c r="F62" s="2">
        <f t="shared" si="1"/>
        <v>58</v>
      </c>
      <c r="G62" s="2"/>
    </row>
    <row r="63" spans="2:7" x14ac:dyDescent="0.25">
      <c r="B63" s="4">
        <v>45763</v>
      </c>
      <c r="C63" s="2" t="s">
        <v>3695</v>
      </c>
      <c r="D63" s="2"/>
      <c r="E63" s="23">
        <v>93</v>
      </c>
      <c r="F63" s="2">
        <f t="shared" si="1"/>
        <v>5</v>
      </c>
      <c r="G63" s="2"/>
    </row>
    <row r="64" spans="2:7" x14ac:dyDescent="0.25">
      <c r="B64" s="4">
        <v>45764</v>
      </c>
      <c r="C64" s="2" t="s">
        <v>3707</v>
      </c>
      <c r="D64" s="2" t="s">
        <v>3708</v>
      </c>
      <c r="E64" s="23">
        <v>93.4</v>
      </c>
      <c r="F64" s="2">
        <f t="shared" si="1"/>
        <v>0.40000000000000568</v>
      </c>
      <c r="G64" s="2"/>
    </row>
    <row r="65" spans="2:7" x14ac:dyDescent="0.25">
      <c r="B65" s="4">
        <v>45765</v>
      </c>
      <c r="C65" s="2" t="s">
        <v>3721</v>
      </c>
      <c r="D65" s="2" t="s">
        <v>3726</v>
      </c>
      <c r="E65" s="23">
        <v>93.6</v>
      </c>
      <c r="F65" s="2">
        <f t="shared" si="1"/>
        <v>0.19999999999998863</v>
      </c>
      <c r="G65" s="2"/>
    </row>
    <row r="66" spans="2:7" x14ac:dyDescent="0.25">
      <c r="B66" s="4">
        <v>45766</v>
      </c>
      <c r="C66" s="2" t="s">
        <v>3740</v>
      </c>
      <c r="D66" s="2" t="s">
        <v>3727</v>
      </c>
      <c r="E66" s="23">
        <v>93.6</v>
      </c>
      <c r="F66" s="2">
        <f t="shared" si="1"/>
        <v>0</v>
      </c>
      <c r="G66" s="2"/>
    </row>
    <row r="67" spans="2:7" x14ac:dyDescent="0.25">
      <c r="B67" s="4">
        <v>45767</v>
      </c>
      <c r="C67" s="2" t="s">
        <v>3740</v>
      </c>
      <c r="D67" s="2" t="s">
        <v>3741</v>
      </c>
      <c r="E67" s="23">
        <v>93.6</v>
      </c>
      <c r="F67" s="2">
        <f t="shared" si="1"/>
        <v>0</v>
      </c>
      <c r="G67" s="2"/>
    </row>
    <row r="68" spans="2:7" x14ac:dyDescent="0.25">
      <c r="B68" s="4">
        <v>45768</v>
      </c>
      <c r="C68" s="2" t="s">
        <v>3750</v>
      </c>
      <c r="D68" s="2" t="s">
        <v>3747</v>
      </c>
      <c r="E68" s="23"/>
      <c r="F68" s="2">
        <f t="shared" si="1"/>
        <v>-93.6</v>
      </c>
      <c r="G68" s="2"/>
    </row>
    <row r="69" spans="2:7" x14ac:dyDescent="0.25">
      <c r="B69" s="4">
        <v>45769</v>
      </c>
      <c r="C69" s="2" t="s">
        <v>3760</v>
      </c>
      <c r="D69" s="2" t="s">
        <v>3748</v>
      </c>
      <c r="E69" s="2"/>
      <c r="F69" s="2">
        <f t="shared" si="1"/>
        <v>0</v>
      </c>
      <c r="G69" s="2"/>
    </row>
    <row r="70" spans="2:7" x14ac:dyDescent="0.25">
      <c r="B70" s="4">
        <v>45770</v>
      </c>
      <c r="C70" s="2" t="s">
        <v>3768</v>
      </c>
      <c r="D70" s="2" t="s">
        <v>3774</v>
      </c>
      <c r="E70" s="2"/>
      <c r="F70" s="2">
        <f t="shared" si="1"/>
        <v>0</v>
      </c>
      <c r="G70" s="2"/>
    </row>
    <row r="71" spans="2:7" x14ac:dyDescent="0.25">
      <c r="B71" s="4">
        <v>45771</v>
      </c>
      <c r="C71" s="2" t="s">
        <v>3784</v>
      </c>
      <c r="D71" s="2"/>
      <c r="E71" s="2"/>
      <c r="F71" s="2">
        <f t="shared" si="1"/>
        <v>0</v>
      </c>
      <c r="G71" s="2"/>
    </row>
    <row r="72" spans="2:7" x14ac:dyDescent="0.25">
      <c r="B72" s="4">
        <v>45772</v>
      </c>
      <c r="C72" s="2" t="s">
        <v>3790</v>
      </c>
      <c r="D72" s="2"/>
      <c r="E72" s="2"/>
      <c r="F72" s="2">
        <f t="shared" si="1"/>
        <v>0</v>
      </c>
      <c r="G72" s="2"/>
    </row>
    <row r="73" spans="2:7" x14ac:dyDescent="0.25">
      <c r="B73" s="4">
        <v>45773</v>
      </c>
      <c r="C73" s="2" t="s">
        <v>3802</v>
      </c>
      <c r="D73" s="2" t="s">
        <v>3796</v>
      </c>
      <c r="E73" s="2"/>
      <c r="F73" s="2">
        <f t="shared" si="1"/>
        <v>0</v>
      </c>
      <c r="G73" s="2"/>
    </row>
    <row r="74" spans="2:7" x14ac:dyDescent="0.25">
      <c r="B74" s="4">
        <v>45774</v>
      </c>
      <c r="C74" s="2" t="s">
        <v>3803</v>
      </c>
      <c r="D74" s="2"/>
      <c r="E74" s="2"/>
      <c r="F74" s="2">
        <f t="shared" si="1"/>
        <v>0</v>
      </c>
      <c r="G74" s="2"/>
    </row>
    <row r="75" spans="2:7" x14ac:dyDescent="0.25">
      <c r="B75" s="4">
        <v>45775</v>
      </c>
      <c r="C75" s="2" t="s">
        <v>3817</v>
      </c>
      <c r="D75" s="2" t="s">
        <v>3818</v>
      </c>
      <c r="E75" s="2"/>
      <c r="F75" s="2">
        <f t="shared" si="1"/>
        <v>0</v>
      </c>
      <c r="G75" s="2"/>
    </row>
    <row r="76" spans="2:7" x14ac:dyDescent="0.25">
      <c r="B76" s="4">
        <v>45776</v>
      </c>
      <c r="C76" s="2" t="s">
        <v>3833</v>
      </c>
      <c r="D76" s="2"/>
      <c r="E76" s="2"/>
      <c r="F76" s="2">
        <f t="shared" si="1"/>
        <v>0</v>
      </c>
      <c r="G76" s="2"/>
    </row>
    <row r="77" spans="2:7" x14ac:dyDescent="0.25">
      <c r="B77" s="4">
        <v>45777</v>
      </c>
      <c r="C77" s="2" t="s">
        <v>3833</v>
      </c>
      <c r="D77" s="2"/>
      <c r="E77" s="2"/>
      <c r="F77" s="2">
        <f t="shared" si="1"/>
        <v>0</v>
      </c>
      <c r="G77" s="2"/>
    </row>
    <row r="78" spans="2:7" x14ac:dyDescent="0.25">
      <c r="B78" s="4">
        <v>45778</v>
      </c>
      <c r="C78" s="2" t="s">
        <v>3843</v>
      </c>
      <c r="D78" s="2"/>
      <c r="E78" s="2"/>
      <c r="F78" s="2">
        <f t="shared" si="1"/>
        <v>0</v>
      </c>
      <c r="G78" s="2"/>
    </row>
    <row r="79" spans="2:7" x14ac:dyDescent="0.25">
      <c r="B79" s="4">
        <v>45779</v>
      </c>
      <c r="C79" s="2"/>
      <c r="D79" s="2"/>
      <c r="E79" s="2"/>
      <c r="F79" s="2">
        <f t="shared" si="1"/>
        <v>0</v>
      </c>
      <c r="G79" s="2"/>
    </row>
    <row r="80" spans="2:7" x14ac:dyDescent="0.25">
      <c r="B80" s="4">
        <v>45780</v>
      </c>
      <c r="C80" s="2"/>
      <c r="D80" s="2"/>
      <c r="E80" s="2"/>
      <c r="F80" s="2">
        <f t="shared" si="1"/>
        <v>0</v>
      </c>
      <c r="G80" s="2"/>
    </row>
    <row r="81" spans="2:7" x14ac:dyDescent="0.25">
      <c r="B81" s="4">
        <v>45781</v>
      </c>
      <c r="C81" s="2"/>
      <c r="D81" s="2"/>
      <c r="E81" s="2"/>
      <c r="F81" s="2">
        <f t="shared" si="1"/>
        <v>0</v>
      </c>
      <c r="G81" s="2"/>
    </row>
    <row r="82" spans="2:7" x14ac:dyDescent="0.25">
      <c r="B82" s="4">
        <v>45782</v>
      </c>
      <c r="C82" s="2"/>
      <c r="D82" s="2"/>
      <c r="E82" s="2"/>
      <c r="F82" s="2">
        <f t="shared" si="1"/>
        <v>0</v>
      </c>
      <c r="G82" s="2"/>
    </row>
    <row r="83" spans="2:7" x14ac:dyDescent="0.25">
      <c r="B83" s="4">
        <v>45783</v>
      </c>
      <c r="C83" s="2" t="s">
        <v>3858</v>
      </c>
      <c r="D83" s="2"/>
      <c r="E83" s="2"/>
      <c r="F83" s="2">
        <f t="shared" si="1"/>
        <v>0</v>
      </c>
      <c r="G83" s="2"/>
    </row>
    <row r="84" spans="2:7" x14ac:dyDescent="0.25">
      <c r="B84" s="4">
        <v>45784</v>
      </c>
      <c r="C84" s="2" t="s">
        <v>3869</v>
      </c>
      <c r="D84" s="2"/>
      <c r="E84" s="2"/>
      <c r="F84" s="2">
        <f t="shared" ref="F84:F139" si="2">E84-E83</f>
        <v>0</v>
      </c>
      <c r="G84" s="2"/>
    </row>
    <row r="85" spans="2:7" x14ac:dyDescent="0.25">
      <c r="B85" s="4">
        <v>45785</v>
      </c>
      <c r="C85" s="2" t="s">
        <v>3877</v>
      </c>
      <c r="D85" s="2"/>
      <c r="E85" s="2"/>
      <c r="F85" s="2">
        <f t="shared" si="2"/>
        <v>0</v>
      </c>
      <c r="G85" s="2"/>
    </row>
    <row r="86" spans="2:7" x14ac:dyDescent="0.25">
      <c r="B86" s="4">
        <v>45786</v>
      </c>
      <c r="C86" s="2" t="s">
        <v>3897</v>
      </c>
      <c r="D86" s="2"/>
      <c r="E86" s="2"/>
      <c r="F86" s="2">
        <f t="shared" si="2"/>
        <v>0</v>
      </c>
      <c r="G86" s="2"/>
    </row>
    <row r="87" spans="2:7" x14ac:dyDescent="0.25">
      <c r="B87" s="4">
        <v>45787</v>
      </c>
      <c r="C87" s="2" t="s">
        <v>3898</v>
      </c>
      <c r="D87" s="2"/>
      <c r="E87" s="2"/>
      <c r="F87" s="2">
        <f t="shared" si="2"/>
        <v>0</v>
      </c>
      <c r="G87" s="2"/>
    </row>
    <row r="88" spans="2:7" x14ac:dyDescent="0.25">
      <c r="B88" s="4">
        <v>45788</v>
      </c>
      <c r="C88" s="2"/>
      <c r="D88" s="2"/>
      <c r="E88" s="2"/>
      <c r="F88" s="2">
        <f t="shared" si="2"/>
        <v>0</v>
      </c>
      <c r="G88" s="2"/>
    </row>
    <row r="89" spans="2:7" x14ac:dyDescent="0.25">
      <c r="B89" s="4">
        <v>45789</v>
      </c>
      <c r="C89" s="2"/>
      <c r="D89" s="2"/>
      <c r="E89" s="2"/>
      <c r="F89" s="2">
        <f t="shared" si="2"/>
        <v>0</v>
      </c>
      <c r="G89" s="2"/>
    </row>
    <row r="90" spans="2:7" x14ac:dyDescent="0.25">
      <c r="B90" s="4">
        <v>45790</v>
      </c>
      <c r="C90" s="2" t="s">
        <v>3907</v>
      </c>
      <c r="D90" s="2"/>
      <c r="E90" s="2"/>
      <c r="F90" s="2">
        <f t="shared" si="2"/>
        <v>0</v>
      </c>
      <c r="G90" s="2"/>
    </row>
    <row r="91" spans="2:7" x14ac:dyDescent="0.25">
      <c r="B91" s="4">
        <v>45791</v>
      </c>
      <c r="C91" s="2" t="s">
        <v>3916</v>
      </c>
      <c r="D91" s="2" t="s">
        <v>3922</v>
      </c>
      <c r="E91" s="2"/>
      <c r="F91" s="2">
        <f t="shared" si="2"/>
        <v>0</v>
      </c>
      <c r="G91" s="2"/>
    </row>
    <row r="92" spans="2:7" x14ac:dyDescent="0.25">
      <c r="B92" s="4">
        <v>45792</v>
      </c>
      <c r="C92" s="2" t="s">
        <v>3932</v>
      </c>
      <c r="D92" s="2" t="s">
        <v>3923</v>
      </c>
      <c r="E92" s="2"/>
      <c r="F92" s="2">
        <f t="shared" si="2"/>
        <v>0</v>
      </c>
      <c r="G92" s="2"/>
    </row>
    <row r="93" spans="2:7" x14ac:dyDescent="0.25">
      <c r="B93" s="4">
        <v>45793</v>
      </c>
      <c r="C93" s="2" t="s">
        <v>3950</v>
      </c>
      <c r="D93" s="2"/>
      <c r="E93" s="2"/>
      <c r="F93" s="2">
        <f t="shared" si="2"/>
        <v>0</v>
      </c>
      <c r="G93" s="2"/>
    </row>
    <row r="94" spans="2:7" x14ac:dyDescent="0.25">
      <c r="B94" s="4">
        <v>45794</v>
      </c>
      <c r="C94" s="2" t="s">
        <v>3958</v>
      </c>
      <c r="D94" s="2"/>
      <c r="E94" s="2"/>
      <c r="F94" s="2">
        <f t="shared" si="2"/>
        <v>0</v>
      </c>
      <c r="G94" s="2"/>
    </row>
    <row r="95" spans="2:7" x14ac:dyDescent="0.25">
      <c r="B95" s="4">
        <v>45795</v>
      </c>
      <c r="C95" s="2" t="s">
        <v>3957</v>
      </c>
      <c r="D95" s="2"/>
      <c r="E95" s="2"/>
      <c r="F95" s="2">
        <f t="shared" si="2"/>
        <v>0</v>
      </c>
      <c r="G95" s="2"/>
    </row>
    <row r="96" spans="2:7" x14ac:dyDescent="0.25">
      <c r="B96" s="4">
        <v>45796</v>
      </c>
      <c r="C96" s="2" t="s">
        <v>3997</v>
      </c>
      <c r="D96" s="2"/>
      <c r="E96" s="2"/>
      <c r="F96" s="2">
        <f t="shared" si="2"/>
        <v>0</v>
      </c>
      <c r="G96" s="2"/>
    </row>
    <row r="97" spans="2:7" x14ac:dyDescent="0.25">
      <c r="B97" s="4">
        <v>45797</v>
      </c>
      <c r="C97" s="2" t="s">
        <v>3996</v>
      </c>
      <c r="D97" s="2"/>
      <c r="E97" s="2"/>
      <c r="F97" s="2">
        <f t="shared" si="2"/>
        <v>0</v>
      </c>
      <c r="G97" s="2"/>
    </row>
    <row r="98" spans="2:7" x14ac:dyDescent="0.25">
      <c r="B98" s="4">
        <v>45798</v>
      </c>
      <c r="C98" s="2" t="s">
        <v>3997</v>
      </c>
      <c r="D98" s="2"/>
      <c r="E98" s="2"/>
      <c r="F98" s="2">
        <f t="shared" si="2"/>
        <v>0</v>
      </c>
      <c r="G98" s="2"/>
    </row>
    <row r="99" spans="2:7" x14ac:dyDescent="0.25">
      <c r="B99" s="4">
        <v>45799</v>
      </c>
      <c r="C99" s="2" t="s">
        <v>4013</v>
      </c>
      <c r="D99" s="2"/>
      <c r="E99" s="2"/>
      <c r="F99" s="2">
        <f t="shared" si="2"/>
        <v>0</v>
      </c>
      <c r="G99" s="2"/>
    </row>
    <row r="100" spans="2:7" x14ac:dyDescent="0.25">
      <c r="B100" s="4">
        <v>45800</v>
      </c>
      <c r="C100" s="2" t="s">
        <v>3997</v>
      </c>
      <c r="D100" s="2"/>
      <c r="E100" s="2"/>
      <c r="F100" s="2">
        <f t="shared" si="2"/>
        <v>0</v>
      </c>
      <c r="G100" s="2"/>
    </row>
    <row r="101" spans="2:7" x14ac:dyDescent="0.25">
      <c r="B101" s="4">
        <v>45801</v>
      </c>
      <c r="C101" s="2" t="s">
        <v>3997</v>
      </c>
      <c r="D101" s="2"/>
      <c r="E101" s="2"/>
      <c r="F101" s="2">
        <f t="shared" si="2"/>
        <v>0</v>
      </c>
      <c r="G101" s="2"/>
    </row>
    <row r="102" spans="2:7" x14ac:dyDescent="0.25">
      <c r="B102" s="4">
        <v>45802</v>
      </c>
      <c r="C102" s="2" t="s">
        <v>4034</v>
      </c>
      <c r="D102" s="2"/>
      <c r="E102" s="2"/>
      <c r="F102" s="2">
        <f t="shared" si="2"/>
        <v>0</v>
      </c>
      <c r="G102" s="2"/>
    </row>
    <row r="103" spans="2:7" x14ac:dyDescent="0.25">
      <c r="B103" s="4">
        <v>45803</v>
      </c>
      <c r="C103" s="2" t="s">
        <v>4047</v>
      </c>
      <c r="D103" s="2"/>
      <c r="E103" s="2"/>
      <c r="F103" s="2">
        <f t="shared" si="2"/>
        <v>0</v>
      </c>
      <c r="G103" s="2"/>
    </row>
    <row r="104" spans="2:7" x14ac:dyDescent="0.25">
      <c r="B104" s="4">
        <v>45804</v>
      </c>
      <c r="C104" s="2" t="s">
        <v>4055</v>
      </c>
      <c r="D104" s="2"/>
      <c r="E104" s="2"/>
      <c r="F104" s="2">
        <f t="shared" si="2"/>
        <v>0</v>
      </c>
      <c r="G104" s="2"/>
    </row>
    <row r="105" spans="2:7" x14ac:dyDescent="0.25">
      <c r="B105" s="4">
        <v>45805</v>
      </c>
      <c r="C105" s="2" t="s">
        <v>4071</v>
      </c>
      <c r="D105" s="2"/>
      <c r="E105" s="2"/>
      <c r="F105" s="2">
        <f t="shared" si="2"/>
        <v>0</v>
      </c>
      <c r="G105" s="2"/>
    </row>
    <row r="106" spans="2:7" x14ac:dyDescent="0.25">
      <c r="B106" s="4">
        <v>45806</v>
      </c>
      <c r="C106" s="2" t="s">
        <v>3950</v>
      </c>
      <c r="D106" s="2" t="s">
        <v>4076</v>
      </c>
      <c r="E106" s="2"/>
      <c r="F106" s="2">
        <f t="shared" si="2"/>
        <v>0</v>
      </c>
      <c r="G106" s="2"/>
    </row>
    <row r="107" spans="2:7" x14ac:dyDescent="0.25">
      <c r="B107" s="4">
        <v>45807</v>
      </c>
      <c r="C107" s="2" t="s">
        <v>4083</v>
      </c>
      <c r="D107" s="2"/>
      <c r="E107" s="2"/>
      <c r="F107" s="2">
        <f t="shared" si="2"/>
        <v>0</v>
      </c>
      <c r="G107" s="2"/>
    </row>
    <row r="108" spans="2:7" x14ac:dyDescent="0.25">
      <c r="B108" s="4">
        <v>45808</v>
      </c>
      <c r="C108" s="2" t="s">
        <v>4087</v>
      </c>
      <c r="D108" s="2"/>
      <c r="E108" s="2"/>
      <c r="F108" s="2">
        <f t="shared" si="2"/>
        <v>0</v>
      </c>
      <c r="G108" s="2"/>
    </row>
    <row r="109" spans="2:7" x14ac:dyDescent="0.25">
      <c r="B109" s="4">
        <v>45809</v>
      </c>
      <c r="C109" s="2" t="s">
        <v>4088</v>
      </c>
      <c r="D109" s="2" t="s">
        <v>4107</v>
      </c>
      <c r="E109" s="2"/>
      <c r="F109" s="2">
        <f t="shared" si="2"/>
        <v>0</v>
      </c>
      <c r="G109" s="2"/>
    </row>
    <row r="110" spans="2:7" x14ac:dyDescent="0.25">
      <c r="B110" s="4">
        <v>45810</v>
      </c>
      <c r="C110" s="2"/>
      <c r="D110" s="2" t="s">
        <v>4108</v>
      </c>
      <c r="E110" s="2"/>
      <c r="F110" s="2">
        <f t="shared" si="2"/>
        <v>0</v>
      </c>
      <c r="G110" s="2"/>
    </row>
    <row r="111" spans="2:7" x14ac:dyDescent="0.25">
      <c r="B111" s="4">
        <v>45811</v>
      </c>
      <c r="C111" s="2"/>
      <c r="D111" s="2"/>
      <c r="E111" s="2"/>
      <c r="F111" s="2">
        <f t="shared" si="2"/>
        <v>0</v>
      </c>
      <c r="G111" s="2"/>
    </row>
    <row r="112" spans="2:7" x14ac:dyDescent="0.25">
      <c r="B112" s="4">
        <v>45812</v>
      </c>
      <c r="C112" s="2" t="s">
        <v>4144</v>
      </c>
      <c r="D112" s="2" t="s">
        <v>4153</v>
      </c>
      <c r="E112" s="2"/>
      <c r="F112" s="2">
        <f t="shared" si="2"/>
        <v>0</v>
      </c>
      <c r="G112" s="2"/>
    </row>
    <row r="113" spans="2:7" x14ac:dyDescent="0.25">
      <c r="B113" s="4">
        <v>45813</v>
      </c>
      <c r="C113" s="2"/>
      <c r="D113" s="2"/>
      <c r="E113" s="2"/>
      <c r="F113" s="2">
        <f t="shared" si="2"/>
        <v>0</v>
      </c>
      <c r="G113" s="2"/>
    </row>
    <row r="114" spans="2:7" x14ac:dyDescent="0.25">
      <c r="B114" s="4">
        <v>45814</v>
      </c>
      <c r="C114" s="2"/>
      <c r="D114" s="2"/>
      <c r="E114" s="2"/>
      <c r="F114" s="2">
        <f t="shared" si="2"/>
        <v>0</v>
      </c>
      <c r="G114" s="2"/>
    </row>
    <row r="115" spans="2:7" x14ac:dyDescent="0.25">
      <c r="B115" s="4">
        <v>45815</v>
      </c>
      <c r="C115" s="2"/>
      <c r="D115" s="2"/>
      <c r="E115" s="23"/>
      <c r="F115" s="2">
        <f t="shared" si="2"/>
        <v>0</v>
      </c>
      <c r="G115" s="2"/>
    </row>
    <row r="116" spans="2:7" x14ac:dyDescent="0.25">
      <c r="B116" s="4">
        <v>45816</v>
      </c>
      <c r="C116" s="2"/>
      <c r="D116" s="2"/>
      <c r="E116" s="23"/>
      <c r="F116" s="2">
        <f t="shared" si="2"/>
        <v>0</v>
      </c>
      <c r="G116" s="2"/>
    </row>
    <row r="117" spans="2:7" x14ac:dyDescent="0.25">
      <c r="B117" s="4">
        <v>45817</v>
      </c>
      <c r="C117" s="2"/>
      <c r="D117" s="2"/>
      <c r="E117" s="23"/>
      <c r="F117" s="2">
        <f t="shared" si="2"/>
        <v>0</v>
      </c>
      <c r="G117" s="2"/>
    </row>
    <row r="118" spans="2:7" x14ac:dyDescent="0.25">
      <c r="B118" s="4">
        <v>45818</v>
      </c>
      <c r="C118" s="2"/>
      <c r="D118" s="2"/>
      <c r="E118" s="23"/>
      <c r="F118" s="2">
        <f t="shared" si="2"/>
        <v>0</v>
      </c>
      <c r="G118" s="2"/>
    </row>
    <row r="119" spans="2:7" x14ac:dyDescent="0.25">
      <c r="B119" s="4">
        <v>45819</v>
      </c>
      <c r="C119" s="2" t="s">
        <v>4144</v>
      </c>
      <c r="D119" s="2"/>
      <c r="E119" s="23"/>
      <c r="F119" s="2">
        <f t="shared" si="2"/>
        <v>0</v>
      </c>
      <c r="G119" s="2"/>
    </row>
    <row r="120" spans="2:7" x14ac:dyDescent="0.25">
      <c r="B120" s="4">
        <v>45820</v>
      </c>
      <c r="C120" s="2" t="s">
        <v>4144</v>
      </c>
      <c r="D120" s="2"/>
      <c r="E120" s="23"/>
      <c r="F120" s="2">
        <f t="shared" si="2"/>
        <v>0</v>
      </c>
      <c r="G120" s="2"/>
    </row>
    <row r="121" spans="2:7" x14ac:dyDescent="0.25">
      <c r="B121" s="4">
        <v>45821</v>
      </c>
      <c r="C121" s="2" t="s">
        <v>3932</v>
      </c>
      <c r="D121" s="2"/>
      <c r="E121" s="23"/>
      <c r="F121" s="2">
        <f t="shared" si="2"/>
        <v>0</v>
      </c>
      <c r="G121" s="2"/>
    </row>
    <row r="122" spans="2:7" x14ac:dyDescent="0.25">
      <c r="B122" s="4">
        <v>45822</v>
      </c>
      <c r="C122" s="2" t="s">
        <v>3932</v>
      </c>
      <c r="D122" s="2"/>
      <c r="E122" s="23"/>
      <c r="F122" s="2">
        <f t="shared" si="2"/>
        <v>0</v>
      </c>
      <c r="G122" s="2"/>
    </row>
    <row r="123" spans="2:7" x14ac:dyDescent="0.25">
      <c r="B123" s="4">
        <v>45823</v>
      </c>
      <c r="C123" s="2" t="s">
        <v>3932</v>
      </c>
      <c r="D123" s="2"/>
      <c r="E123" s="23"/>
      <c r="F123" s="2">
        <f t="shared" si="2"/>
        <v>0</v>
      </c>
      <c r="G123" s="2"/>
    </row>
    <row r="124" spans="2:7" x14ac:dyDescent="0.25">
      <c r="B124" s="4">
        <v>45824</v>
      </c>
      <c r="C124" s="2" t="s">
        <v>4275</v>
      </c>
      <c r="D124" s="2"/>
      <c r="E124" s="23"/>
      <c r="F124" s="2">
        <f t="shared" si="2"/>
        <v>0</v>
      </c>
      <c r="G124" s="2"/>
    </row>
    <row r="125" spans="2:7" x14ac:dyDescent="0.25">
      <c r="B125" s="4">
        <v>45825</v>
      </c>
      <c r="C125" s="2"/>
      <c r="D125" s="2"/>
      <c r="E125" s="23">
        <v>0</v>
      </c>
      <c r="F125" s="2">
        <f t="shared" si="2"/>
        <v>0</v>
      </c>
      <c r="G125" s="2"/>
    </row>
    <row r="126" spans="2:7" x14ac:dyDescent="0.25">
      <c r="B126" s="4">
        <v>45826</v>
      </c>
      <c r="C126" s="2" t="s">
        <v>4301</v>
      </c>
      <c r="D126" s="2"/>
      <c r="E126" s="23">
        <v>40</v>
      </c>
      <c r="F126" s="2">
        <f t="shared" si="2"/>
        <v>40</v>
      </c>
      <c r="G126" s="2"/>
    </row>
    <row r="127" spans="2:7" x14ac:dyDescent="0.25">
      <c r="B127" s="4">
        <v>45827</v>
      </c>
      <c r="C127" s="2" t="s">
        <v>4321</v>
      </c>
      <c r="D127" s="2" t="s">
        <v>4300</v>
      </c>
      <c r="E127" s="23">
        <v>60</v>
      </c>
      <c r="F127" s="2">
        <f t="shared" si="2"/>
        <v>20</v>
      </c>
      <c r="G127" s="2"/>
    </row>
    <row r="128" spans="2:7" x14ac:dyDescent="0.25">
      <c r="B128" s="4">
        <v>45828</v>
      </c>
      <c r="C128" s="2" t="s">
        <v>4339</v>
      </c>
      <c r="D128" s="2" t="s">
        <v>4322</v>
      </c>
      <c r="E128" s="23">
        <v>65</v>
      </c>
      <c r="F128" s="2">
        <f t="shared" si="2"/>
        <v>5</v>
      </c>
      <c r="G128" s="2"/>
    </row>
    <row r="129" spans="2:7" x14ac:dyDescent="0.25">
      <c r="B129" s="4">
        <v>45829</v>
      </c>
      <c r="C129" s="2"/>
      <c r="D129" s="2"/>
      <c r="E129" s="23">
        <v>65</v>
      </c>
      <c r="F129" s="2">
        <f t="shared" si="2"/>
        <v>0</v>
      </c>
      <c r="G129" s="2"/>
    </row>
    <row r="130" spans="2:7" x14ac:dyDescent="0.25">
      <c r="B130" s="4">
        <v>45830</v>
      </c>
      <c r="C130" s="2"/>
      <c r="D130" s="2"/>
      <c r="E130" s="23">
        <v>65</v>
      </c>
      <c r="F130" s="2">
        <f t="shared" si="2"/>
        <v>0</v>
      </c>
      <c r="G130" s="2"/>
    </row>
    <row r="131" spans="2:7" x14ac:dyDescent="0.25">
      <c r="B131" s="4">
        <v>45831</v>
      </c>
      <c r="C131" s="2" t="s">
        <v>4370</v>
      </c>
      <c r="D131" s="2"/>
      <c r="E131" s="23">
        <v>70</v>
      </c>
      <c r="F131" s="2">
        <f t="shared" si="2"/>
        <v>5</v>
      </c>
      <c r="G131" s="2"/>
    </row>
    <row r="132" spans="2:7" x14ac:dyDescent="0.25">
      <c r="B132" s="4">
        <v>45832</v>
      </c>
      <c r="C132" s="2" t="s">
        <v>4400</v>
      </c>
      <c r="D132" s="2"/>
      <c r="E132" s="23">
        <v>80</v>
      </c>
      <c r="F132" s="2">
        <f t="shared" si="2"/>
        <v>10</v>
      </c>
      <c r="G132" s="2"/>
    </row>
    <row r="133" spans="2:7" x14ac:dyDescent="0.25">
      <c r="B133" s="4">
        <v>45833</v>
      </c>
      <c r="C133" s="2" t="s">
        <v>4418</v>
      </c>
      <c r="D133" s="2"/>
      <c r="E133" s="23">
        <v>83</v>
      </c>
      <c r="F133" s="2">
        <f t="shared" si="2"/>
        <v>3</v>
      </c>
      <c r="G133" s="2"/>
    </row>
    <row r="134" spans="2:7" x14ac:dyDescent="0.25">
      <c r="B134" s="4">
        <v>45834</v>
      </c>
      <c r="C134" s="2"/>
      <c r="D134" s="2"/>
      <c r="E134" s="23">
        <v>83</v>
      </c>
      <c r="F134" s="2">
        <f t="shared" si="2"/>
        <v>0</v>
      </c>
      <c r="G134" s="2"/>
    </row>
    <row r="135" spans="2:7" x14ac:dyDescent="0.25">
      <c r="B135" s="4">
        <v>45835</v>
      </c>
      <c r="C135" s="2" t="s">
        <v>4442</v>
      </c>
      <c r="D135" s="2"/>
      <c r="E135" s="23">
        <v>40</v>
      </c>
      <c r="F135" s="2">
        <f t="shared" si="2"/>
        <v>-43</v>
      </c>
      <c r="G135" s="2"/>
    </row>
    <row r="136" spans="2:7" x14ac:dyDescent="0.25">
      <c r="B136" s="4">
        <v>45836</v>
      </c>
      <c r="C136" s="2"/>
      <c r="D136" s="2"/>
      <c r="E136" s="23">
        <v>40</v>
      </c>
      <c r="F136" s="2">
        <f t="shared" si="2"/>
        <v>0</v>
      </c>
      <c r="G136" s="2"/>
    </row>
    <row r="137" spans="2:7" x14ac:dyDescent="0.25">
      <c r="B137" s="4">
        <v>45837</v>
      </c>
      <c r="C137" s="2" t="s">
        <v>4464</v>
      </c>
      <c r="D137" s="2"/>
      <c r="E137" s="23">
        <v>86</v>
      </c>
      <c r="F137" s="2">
        <f t="shared" si="2"/>
        <v>46</v>
      </c>
      <c r="G137" s="2"/>
    </row>
    <row r="138" spans="2:7" x14ac:dyDescent="0.25">
      <c r="B138" s="4">
        <v>45838</v>
      </c>
      <c r="C138" s="2"/>
      <c r="D138" s="2"/>
      <c r="E138" s="23"/>
      <c r="F138" s="2">
        <f t="shared" si="2"/>
        <v>-86</v>
      </c>
      <c r="G138" s="2"/>
    </row>
    <row r="139" spans="2:7" x14ac:dyDescent="0.25">
      <c r="B139" s="4">
        <v>45839</v>
      </c>
      <c r="C139" s="2" t="s">
        <v>4271</v>
      </c>
      <c r="D139" s="2"/>
      <c r="E139" s="23"/>
      <c r="F139" s="2">
        <f t="shared" si="2"/>
        <v>0</v>
      </c>
      <c r="G139" s="92"/>
    </row>
    <row r="140" spans="2:7" x14ac:dyDescent="0.25">
      <c r="B140" s="4">
        <v>45840</v>
      </c>
      <c r="C140" s="2" t="s">
        <v>2181</v>
      </c>
      <c r="D140" s="2"/>
      <c r="E140" s="23"/>
      <c r="F140" s="2"/>
    </row>
    <row r="141" spans="2:7" x14ac:dyDescent="0.25">
      <c r="B141" s="4">
        <v>45841</v>
      </c>
      <c r="C141" s="2" t="s">
        <v>1178</v>
      </c>
      <c r="D141" s="2"/>
      <c r="E141" s="23"/>
      <c r="F141" s="2"/>
    </row>
    <row r="142" spans="2:7" x14ac:dyDescent="0.25">
      <c r="B142" s="4">
        <v>45842</v>
      </c>
      <c r="C142" s="2" t="s">
        <v>149</v>
      </c>
      <c r="D142" s="2"/>
      <c r="E142" s="23"/>
      <c r="F142" s="2"/>
    </row>
    <row r="143" spans="2:7" x14ac:dyDescent="0.25">
      <c r="B143" s="4">
        <v>45843</v>
      </c>
      <c r="C143" s="2" t="s">
        <v>539</v>
      </c>
      <c r="D143" s="2"/>
      <c r="E143" s="23"/>
      <c r="F143" s="2"/>
    </row>
    <row r="144" spans="2:7" x14ac:dyDescent="0.25">
      <c r="B144" s="4">
        <v>45844</v>
      </c>
      <c r="C144" s="2" t="s">
        <v>3931</v>
      </c>
      <c r="D144" s="2"/>
      <c r="E144" s="23"/>
      <c r="F144" s="2"/>
    </row>
    <row r="145" spans="2:6" x14ac:dyDescent="0.25">
      <c r="B145" s="4">
        <v>45845</v>
      </c>
      <c r="C145" s="2" t="s">
        <v>3931</v>
      </c>
      <c r="D145" s="2"/>
      <c r="E145" s="23"/>
      <c r="F145" s="2"/>
    </row>
    <row r="146" spans="2:6" x14ac:dyDescent="0.25">
      <c r="B146" s="4">
        <v>45846</v>
      </c>
      <c r="C146" s="2" t="s">
        <v>3931</v>
      </c>
      <c r="D146" s="2"/>
      <c r="E146" s="23"/>
      <c r="F146" s="2"/>
    </row>
    <row r="147" spans="2:6" x14ac:dyDescent="0.25">
      <c r="B147" s="4">
        <v>45847</v>
      </c>
      <c r="C147" s="2"/>
      <c r="D147" s="2"/>
      <c r="E147" s="23"/>
      <c r="F147" s="2"/>
    </row>
    <row r="148" spans="2:6" x14ac:dyDescent="0.25">
      <c r="B148" s="4">
        <v>45848</v>
      </c>
      <c r="C148" s="2" t="s">
        <v>3565</v>
      </c>
      <c r="D148" s="2"/>
      <c r="E148" s="23"/>
      <c r="F148" s="2"/>
    </row>
    <row r="149" spans="2:6" x14ac:dyDescent="0.25">
      <c r="B149" s="4">
        <v>45849</v>
      </c>
      <c r="C149" s="2"/>
      <c r="D149" s="2"/>
      <c r="E149" s="23"/>
      <c r="F149" s="2"/>
    </row>
    <row r="150" spans="2:6" x14ac:dyDescent="0.25">
      <c r="B150" s="4">
        <v>45850</v>
      </c>
      <c r="C150" s="2"/>
      <c r="D150" s="2"/>
      <c r="E150" s="23"/>
      <c r="F150" s="2"/>
    </row>
    <row r="151" spans="2:6" x14ac:dyDescent="0.25">
      <c r="B151" s="4">
        <v>45851</v>
      </c>
      <c r="C151" s="2"/>
      <c r="D151" s="2"/>
      <c r="E151" s="23"/>
      <c r="F151" s="2"/>
    </row>
    <row r="152" spans="2:6" x14ac:dyDescent="0.25">
      <c r="B152" s="2"/>
      <c r="C152" s="2"/>
      <c r="D152" s="2"/>
      <c r="E152" s="23"/>
      <c r="F152" s="2"/>
    </row>
    <row r="153" spans="2:6" x14ac:dyDescent="0.25">
      <c r="B153" s="2"/>
      <c r="C153" s="2"/>
      <c r="D153" s="2"/>
      <c r="E153" s="2"/>
      <c r="F153" s="2"/>
    </row>
    <row r="154" spans="2:6" x14ac:dyDescent="0.25">
      <c r="B154" s="2"/>
      <c r="C154" s="2"/>
      <c r="D154" s="2"/>
      <c r="E154" s="2"/>
      <c r="F154" s="2"/>
    </row>
    <row r="155" spans="2:6" x14ac:dyDescent="0.25">
      <c r="B155" s="2"/>
      <c r="C155" s="2"/>
      <c r="D155" s="2"/>
      <c r="E155" s="2"/>
      <c r="F155" s="2"/>
    </row>
    <row r="156" spans="2:6" x14ac:dyDescent="0.25">
      <c r="B156" s="2"/>
      <c r="C156" s="2"/>
      <c r="D156" s="2"/>
      <c r="E156" s="2"/>
      <c r="F156" s="2"/>
    </row>
    <row r="157" spans="2:6" x14ac:dyDescent="0.25">
      <c r="B157" s="2"/>
      <c r="C157" s="2"/>
      <c r="D157" s="2"/>
      <c r="E157" s="2"/>
      <c r="F157" s="2"/>
    </row>
    <row r="158" spans="2:6" x14ac:dyDescent="0.25">
      <c r="B158" s="2"/>
      <c r="C158" s="2"/>
      <c r="D158" s="2"/>
      <c r="E158" s="2"/>
      <c r="F158" s="2"/>
    </row>
    <row r="159" spans="2:6" x14ac:dyDescent="0.25">
      <c r="B159" s="2"/>
      <c r="C159" s="2"/>
      <c r="D159" s="2"/>
      <c r="E159" s="2"/>
      <c r="F159" s="2"/>
    </row>
    <row r="160" spans="2:6" x14ac:dyDescent="0.25">
      <c r="B160" s="2"/>
      <c r="C160" s="2"/>
      <c r="D160" s="2"/>
      <c r="E160" s="2"/>
      <c r="F160" s="2"/>
    </row>
    <row r="161" spans="2:6" x14ac:dyDescent="0.25">
      <c r="B161" s="2"/>
      <c r="C161" s="2"/>
      <c r="D161" s="2"/>
      <c r="E161" s="2"/>
      <c r="F161" s="2"/>
    </row>
    <row r="162" spans="2:6" x14ac:dyDescent="0.25">
      <c r="B162" s="2"/>
      <c r="C162" s="2"/>
      <c r="D162" s="2"/>
      <c r="E162" s="2"/>
      <c r="F162" s="2"/>
    </row>
    <row r="163" spans="2:6" x14ac:dyDescent="0.25">
      <c r="B163" s="2"/>
      <c r="C163" s="2"/>
      <c r="D163" s="2"/>
      <c r="E163" s="2"/>
      <c r="F163" s="2"/>
    </row>
    <row r="164" spans="2:6" x14ac:dyDescent="0.25">
      <c r="B164" s="2"/>
      <c r="C164" s="2"/>
      <c r="D164" s="2"/>
      <c r="E164" s="2"/>
      <c r="F164" s="2"/>
    </row>
    <row r="165" spans="2:6" x14ac:dyDescent="0.25">
      <c r="B165" s="2"/>
      <c r="C165" s="2"/>
      <c r="D165" s="2"/>
      <c r="E165" s="2"/>
      <c r="F165" s="2"/>
    </row>
    <row r="166" spans="2:6" x14ac:dyDescent="0.25">
      <c r="B166" s="2"/>
      <c r="C166" s="2"/>
      <c r="D166" s="2"/>
      <c r="E166" s="2"/>
      <c r="F166" s="2"/>
    </row>
    <row r="167" spans="2:6" x14ac:dyDescent="0.25">
      <c r="B167" s="2"/>
      <c r="C167" s="2"/>
      <c r="D167" s="2"/>
      <c r="E167" s="2"/>
      <c r="F167" s="2"/>
    </row>
    <row r="168" spans="2:6" x14ac:dyDescent="0.25">
      <c r="B168" s="2"/>
      <c r="C168" s="2"/>
      <c r="D168" s="2"/>
      <c r="E168" s="2"/>
      <c r="F168" s="2"/>
    </row>
    <row r="169" spans="2:6" x14ac:dyDescent="0.25">
      <c r="B169" s="2"/>
      <c r="C169" s="2"/>
      <c r="D169" s="2"/>
      <c r="E169" s="2"/>
      <c r="F169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</sheetPr>
  <dimension ref="A3:F419"/>
  <sheetViews>
    <sheetView showGridLines="0" zoomScaleNormal="100" workbookViewId="0">
      <pane ySplit="4" topLeftCell="A394" activePane="bottomLeft" state="frozen"/>
      <selection pane="bottomLeft" activeCell="B400" sqref="B400"/>
    </sheetView>
  </sheetViews>
  <sheetFormatPr defaultRowHeight="15" x14ac:dyDescent="0.25"/>
  <cols>
    <col min="1" max="1" width="19.5703125" customWidth="1"/>
    <col min="2" max="2" width="79" customWidth="1"/>
    <col min="3" max="3" width="42.140625" bestFit="1" customWidth="1"/>
    <col min="4" max="4" width="11.85546875" bestFit="1" customWidth="1"/>
    <col min="5" max="5" width="12.85546875" bestFit="1" customWidth="1"/>
    <col min="6" max="6" width="15.42578125" bestFit="1" customWidth="1"/>
  </cols>
  <sheetData>
    <row r="3" spans="1:6" x14ac:dyDescent="0.25">
      <c r="A3" s="53" t="s">
        <v>4963</v>
      </c>
      <c r="B3" s="34" t="s">
        <v>2138</v>
      </c>
    </row>
    <row r="4" spans="1:6" ht="15.75" x14ac:dyDescent="0.25">
      <c r="A4" s="10" t="s">
        <v>0</v>
      </c>
      <c r="B4" s="11" t="s">
        <v>1</v>
      </c>
      <c r="C4" s="11" t="s">
        <v>2</v>
      </c>
      <c r="D4" s="11" t="s">
        <v>934</v>
      </c>
      <c r="E4" s="11" t="s">
        <v>1095</v>
      </c>
      <c r="F4" s="11" t="s">
        <v>1507</v>
      </c>
    </row>
    <row r="5" spans="1:6" x14ac:dyDescent="0.25">
      <c r="A5" s="3">
        <v>45517</v>
      </c>
      <c r="B5" s="2" t="s">
        <v>1486</v>
      </c>
      <c r="C5" s="2" t="s">
        <v>1487</v>
      </c>
      <c r="D5" s="23"/>
      <c r="E5" s="2"/>
      <c r="F5" s="2"/>
    </row>
    <row r="6" spans="1:6" x14ac:dyDescent="0.25">
      <c r="A6" s="3">
        <v>45518</v>
      </c>
      <c r="B6" s="2" t="s">
        <v>805</v>
      </c>
      <c r="C6" s="2"/>
      <c r="D6" s="23"/>
      <c r="E6" s="2"/>
      <c r="F6" s="2"/>
    </row>
    <row r="7" spans="1:6" x14ac:dyDescent="0.25">
      <c r="A7" s="3">
        <v>45519</v>
      </c>
      <c r="B7" s="2" t="s">
        <v>860</v>
      </c>
      <c r="C7" s="2"/>
      <c r="D7" s="23"/>
      <c r="E7" s="2"/>
      <c r="F7" s="2"/>
    </row>
    <row r="8" spans="1:6" x14ac:dyDescent="0.25">
      <c r="A8" s="3">
        <v>45520</v>
      </c>
      <c r="B8" s="2" t="s">
        <v>2124</v>
      </c>
      <c r="C8" s="2"/>
      <c r="D8" s="23"/>
      <c r="E8" s="2"/>
      <c r="F8" s="2"/>
    </row>
    <row r="9" spans="1:6" x14ac:dyDescent="0.25">
      <c r="A9" s="3">
        <v>45521</v>
      </c>
      <c r="B9" s="2" t="s">
        <v>2125</v>
      </c>
      <c r="C9" s="2"/>
      <c r="D9" s="23"/>
      <c r="E9" s="2"/>
      <c r="F9" s="2"/>
    </row>
    <row r="10" spans="1:6" x14ac:dyDescent="0.25">
      <c r="A10" s="3">
        <v>45522</v>
      </c>
      <c r="B10" s="2" t="s">
        <v>135</v>
      </c>
      <c r="C10" s="2"/>
      <c r="D10" s="23">
        <v>0</v>
      </c>
      <c r="E10" s="2"/>
      <c r="F10" s="2"/>
    </row>
    <row r="11" spans="1:6" x14ac:dyDescent="0.25">
      <c r="A11" s="3">
        <v>45523</v>
      </c>
      <c r="B11" s="2" t="s">
        <v>1544</v>
      </c>
      <c r="C11" s="2"/>
      <c r="D11" s="23">
        <v>2.2999999999999998</v>
      </c>
      <c r="E11" s="2">
        <f>D11-D10</f>
        <v>2.2999999999999998</v>
      </c>
      <c r="F11" s="2"/>
    </row>
    <row r="12" spans="1:6" x14ac:dyDescent="0.25">
      <c r="A12" s="3">
        <v>45524</v>
      </c>
      <c r="B12" s="2" t="s">
        <v>1562</v>
      </c>
      <c r="C12" s="2" t="s">
        <v>1564</v>
      </c>
      <c r="D12" s="23">
        <v>5</v>
      </c>
      <c r="E12" s="2">
        <f t="shared" ref="E12:E75" si="0">D12-D11</f>
        <v>2.7</v>
      </c>
      <c r="F12" s="2"/>
    </row>
    <row r="13" spans="1:6" x14ac:dyDescent="0.25">
      <c r="A13" s="3">
        <v>45525</v>
      </c>
      <c r="B13" s="2" t="s">
        <v>1563</v>
      </c>
      <c r="C13" s="2"/>
      <c r="D13" s="23">
        <v>6</v>
      </c>
      <c r="E13" s="2">
        <f t="shared" si="0"/>
        <v>1</v>
      </c>
      <c r="F13" s="2"/>
    </row>
    <row r="14" spans="1:6" x14ac:dyDescent="0.25">
      <c r="A14" s="3">
        <v>45525</v>
      </c>
      <c r="B14" s="2" t="s">
        <v>1593</v>
      </c>
      <c r="C14" s="2"/>
      <c r="D14" s="23"/>
      <c r="E14" s="2"/>
      <c r="F14" s="2"/>
    </row>
    <row r="15" spans="1:6" x14ac:dyDescent="0.25">
      <c r="A15" s="3">
        <v>45526</v>
      </c>
      <c r="B15" s="2" t="s">
        <v>1594</v>
      </c>
      <c r="C15" s="2"/>
      <c r="D15" s="23">
        <v>6</v>
      </c>
      <c r="E15" s="2">
        <f>D15-D13</f>
        <v>0</v>
      </c>
      <c r="F15" s="2"/>
    </row>
    <row r="16" spans="1:6" x14ac:dyDescent="0.25">
      <c r="A16" s="3">
        <v>45527</v>
      </c>
      <c r="B16" s="2" t="s">
        <v>1592</v>
      </c>
      <c r="C16" s="2"/>
      <c r="D16" s="23">
        <v>7</v>
      </c>
      <c r="E16" s="2">
        <f t="shared" si="0"/>
        <v>1</v>
      </c>
      <c r="F16" s="2"/>
    </row>
    <row r="17" spans="1:6" x14ac:dyDescent="0.25">
      <c r="A17" s="3">
        <v>45528</v>
      </c>
      <c r="B17" s="2" t="s">
        <v>1607</v>
      </c>
      <c r="C17" s="2"/>
      <c r="D17" s="23">
        <v>9</v>
      </c>
      <c r="E17" s="2">
        <f t="shared" si="0"/>
        <v>2</v>
      </c>
      <c r="F17" s="2"/>
    </row>
    <row r="18" spans="1:6" x14ac:dyDescent="0.25">
      <c r="A18" s="3">
        <v>45529</v>
      </c>
      <c r="B18" s="2" t="s">
        <v>1608</v>
      </c>
      <c r="C18" s="2"/>
      <c r="D18" s="23">
        <v>11</v>
      </c>
      <c r="E18" s="2">
        <f t="shared" si="0"/>
        <v>2</v>
      </c>
      <c r="F18" s="2"/>
    </row>
    <row r="19" spans="1:6" x14ac:dyDescent="0.25">
      <c r="A19" s="3">
        <v>45530</v>
      </c>
      <c r="B19" s="2" t="s">
        <v>1608</v>
      </c>
      <c r="C19" s="2" t="s">
        <v>1615</v>
      </c>
      <c r="D19" s="23">
        <v>11</v>
      </c>
      <c r="E19" s="2">
        <f t="shared" si="0"/>
        <v>0</v>
      </c>
      <c r="F19" s="2"/>
    </row>
    <row r="20" spans="1:6" x14ac:dyDescent="0.25">
      <c r="A20" s="3">
        <v>45531</v>
      </c>
      <c r="B20" s="2" t="s">
        <v>1638</v>
      </c>
      <c r="C20" s="2"/>
      <c r="D20" s="23">
        <v>13.5</v>
      </c>
      <c r="E20" s="2">
        <f t="shared" si="0"/>
        <v>2.5</v>
      </c>
      <c r="F20" s="2"/>
    </row>
    <row r="21" spans="1:6" x14ac:dyDescent="0.25">
      <c r="A21" s="3">
        <v>45532</v>
      </c>
      <c r="B21" s="2" t="s">
        <v>1641</v>
      </c>
      <c r="C21" s="2" t="s">
        <v>1642</v>
      </c>
      <c r="D21" s="23">
        <v>16</v>
      </c>
      <c r="E21" s="2">
        <f t="shared" si="0"/>
        <v>2.5</v>
      </c>
      <c r="F21" s="2"/>
    </row>
    <row r="22" spans="1:6" x14ac:dyDescent="0.25">
      <c r="A22" s="3">
        <v>45533</v>
      </c>
      <c r="B22" s="2" t="s">
        <v>1661</v>
      </c>
      <c r="C22" s="2" t="s">
        <v>1666</v>
      </c>
      <c r="D22" s="23">
        <v>16</v>
      </c>
      <c r="E22" s="2">
        <f t="shared" si="0"/>
        <v>0</v>
      </c>
      <c r="F22" s="2"/>
    </row>
    <row r="23" spans="1:6" x14ac:dyDescent="0.25">
      <c r="A23" s="3">
        <v>45534</v>
      </c>
      <c r="B23" s="2" t="s">
        <v>1672</v>
      </c>
      <c r="C23" s="2" t="s">
        <v>1680</v>
      </c>
      <c r="D23" s="23">
        <v>16</v>
      </c>
      <c r="E23" s="2">
        <f t="shared" si="0"/>
        <v>0</v>
      </c>
      <c r="F23" s="2"/>
    </row>
    <row r="24" spans="1:6" x14ac:dyDescent="0.25">
      <c r="A24" s="3">
        <v>45535</v>
      </c>
      <c r="B24" s="2" t="s">
        <v>1700</v>
      </c>
      <c r="C24" s="2"/>
      <c r="D24" s="23">
        <v>16</v>
      </c>
      <c r="E24" s="2">
        <f t="shared" si="0"/>
        <v>0</v>
      </c>
      <c r="F24" s="2"/>
    </row>
    <row r="25" spans="1:6" x14ac:dyDescent="0.25">
      <c r="A25" s="3">
        <v>45536</v>
      </c>
      <c r="B25" s="2" t="s">
        <v>1701</v>
      </c>
      <c r="C25" s="2" t="s">
        <v>1705</v>
      </c>
      <c r="D25" s="23">
        <v>21</v>
      </c>
      <c r="E25" s="2">
        <f t="shared" si="0"/>
        <v>5</v>
      </c>
      <c r="F25" s="2"/>
    </row>
    <row r="26" spans="1:6" x14ac:dyDescent="0.25">
      <c r="A26" s="3">
        <v>45537</v>
      </c>
      <c r="B26" s="2" t="s">
        <v>1710</v>
      </c>
      <c r="C26" s="2"/>
      <c r="D26" s="23">
        <v>22</v>
      </c>
      <c r="E26" s="2">
        <f t="shared" si="0"/>
        <v>1</v>
      </c>
      <c r="F26" s="2"/>
    </row>
    <row r="27" spans="1:6" x14ac:dyDescent="0.25">
      <c r="A27" s="3">
        <v>45538</v>
      </c>
      <c r="B27" s="2" t="s">
        <v>1710</v>
      </c>
      <c r="C27" s="2" t="s">
        <v>1356</v>
      </c>
      <c r="D27" s="23">
        <v>22</v>
      </c>
      <c r="E27" s="2">
        <f t="shared" si="0"/>
        <v>0</v>
      </c>
      <c r="F27" s="2"/>
    </row>
    <row r="28" spans="1:6" x14ac:dyDescent="0.25">
      <c r="A28" s="3">
        <v>45539</v>
      </c>
      <c r="B28" s="2" t="s">
        <v>1741</v>
      </c>
      <c r="C28" s="2" t="s">
        <v>1742</v>
      </c>
      <c r="D28" s="23">
        <v>24</v>
      </c>
      <c r="E28" s="2">
        <f t="shared" si="0"/>
        <v>2</v>
      </c>
      <c r="F28" s="2"/>
    </row>
    <row r="29" spans="1:6" x14ac:dyDescent="0.25">
      <c r="A29" s="3">
        <v>45540</v>
      </c>
      <c r="B29" s="2" t="s">
        <v>135</v>
      </c>
      <c r="C29" s="2" t="s">
        <v>1782</v>
      </c>
      <c r="D29" s="23">
        <v>24</v>
      </c>
      <c r="E29" s="2">
        <f t="shared" si="0"/>
        <v>0</v>
      </c>
      <c r="F29" s="2"/>
    </row>
    <row r="30" spans="1:6" x14ac:dyDescent="0.25">
      <c r="A30" s="3">
        <v>45541</v>
      </c>
      <c r="B30" s="2" t="s">
        <v>1855</v>
      </c>
      <c r="C30" s="2"/>
      <c r="D30" s="23">
        <v>24.5</v>
      </c>
      <c r="E30" s="2">
        <f t="shared" si="0"/>
        <v>0.5</v>
      </c>
      <c r="F30" s="2"/>
    </row>
    <row r="31" spans="1:6" x14ac:dyDescent="0.25">
      <c r="A31" s="3">
        <v>45542</v>
      </c>
      <c r="B31" s="2" t="s">
        <v>1856</v>
      </c>
      <c r="C31" s="2"/>
      <c r="D31" s="23">
        <v>25.5</v>
      </c>
      <c r="E31" s="2">
        <f t="shared" si="0"/>
        <v>1</v>
      </c>
      <c r="F31" s="2"/>
    </row>
    <row r="32" spans="1:6" x14ac:dyDescent="0.25">
      <c r="A32" s="3">
        <v>45543</v>
      </c>
      <c r="B32" s="2" t="s">
        <v>1857</v>
      </c>
      <c r="C32" s="2" t="s">
        <v>1705</v>
      </c>
      <c r="D32" s="23">
        <v>25.8</v>
      </c>
      <c r="E32" s="2">
        <f t="shared" si="0"/>
        <v>0.30000000000000071</v>
      </c>
      <c r="F32" s="2"/>
    </row>
    <row r="33" spans="1:6" x14ac:dyDescent="0.25">
      <c r="A33" s="3">
        <v>45544</v>
      </c>
      <c r="B33" s="2" t="s">
        <v>1857</v>
      </c>
      <c r="C33" s="2"/>
      <c r="D33" s="23">
        <v>25.8</v>
      </c>
      <c r="E33" s="2">
        <f t="shared" si="0"/>
        <v>0</v>
      </c>
      <c r="F33" s="2"/>
    </row>
    <row r="34" spans="1:6" x14ac:dyDescent="0.25">
      <c r="A34" s="3">
        <v>45545</v>
      </c>
      <c r="B34" s="2" t="s">
        <v>1857</v>
      </c>
      <c r="C34" s="2"/>
      <c r="D34" s="23">
        <v>25.8</v>
      </c>
      <c r="E34" s="2">
        <f t="shared" si="0"/>
        <v>0</v>
      </c>
      <c r="F34" s="2"/>
    </row>
    <row r="35" spans="1:6" x14ac:dyDescent="0.25">
      <c r="A35" s="3">
        <v>45546</v>
      </c>
      <c r="B35" s="2" t="s">
        <v>1857</v>
      </c>
      <c r="C35" s="2"/>
      <c r="D35" s="23">
        <v>25.8</v>
      </c>
      <c r="E35" s="2">
        <f t="shared" si="0"/>
        <v>0</v>
      </c>
      <c r="F35" s="2"/>
    </row>
    <row r="36" spans="1:6" x14ac:dyDescent="0.25">
      <c r="A36" s="3">
        <v>45547</v>
      </c>
      <c r="B36" s="2" t="s">
        <v>1847</v>
      </c>
      <c r="C36" s="2"/>
      <c r="D36" s="23">
        <v>26</v>
      </c>
      <c r="E36" s="2">
        <f t="shared" si="0"/>
        <v>0.19999999999999929</v>
      </c>
      <c r="F36" s="2"/>
    </row>
    <row r="37" spans="1:6" x14ac:dyDescent="0.25">
      <c r="A37" s="3">
        <v>45548</v>
      </c>
      <c r="B37" s="2" t="s">
        <v>1872</v>
      </c>
      <c r="C37" s="2" t="s">
        <v>1867</v>
      </c>
      <c r="D37" s="23">
        <v>26.2</v>
      </c>
      <c r="E37" s="2">
        <f t="shared" si="0"/>
        <v>0.19999999999999929</v>
      </c>
      <c r="F37" s="2"/>
    </row>
    <row r="38" spans="1:6" x14ac:dyDescent="0.25">
      <c r="A38" s="3">
        <v>45549</v>
      </c>
      <c r="B38" s="2" t="s">
        <v>1896</v>
      </c>
      <c r="C38" s="2"/>
      <c r="D38" s="23">
        <v>25.8</v>
      </c>
      <c r="E38" s="2">
        <f t="shared" si="0"/>
        <v>-0.39999999999999858</v>
      </c>
      <c r="F38" s="2"/>
    </row>
    <row r="39" spans="1:6" x14ac:dyDescent="0.25">
      <c r="A39" s="3">
        <v>45550</v>
      </c>
      <c r="B39" s="2" t="s">
        <v>1897</v>
      </c>
      <c r="C39" s="2"/>
      <c r="D39" s="23">
        <v>26.2</v>
      </c>
      <c r="E39" s="2">
        <f t="shared" si="0"/>
        <v>0.39999999999999858</v>
      </c>
      <c r="F39" s="2"/>
    </row>
    <row r="40" spans="1:6" x14ac:dyDescent="0.25">
      <c r="A40" s="3">
        <v>45551</v>
      </c>
      <c r="B40" s="2" t="s">
        <v>1898</v>
      </c>
      <c r="C40" s="2"/>
      <c r="D40" s="23">
        <v>26.4</v>
      </c>
      <c r="E40" s="2">
        <f t="shared" si="0"/>
        <v>0.19999999999999929</v>
      </c>
      <c r="F40" s="2"/>
    </row>
    <row r="41" spans="1:6" x14ac:dyDescent="0.25">
      <c r="A41" s="3">
        <v>45552</v>
      </c>
      <c r="B41" s="2" t="s">
        <v>1929</v>
      </c>
      <c r="C41" s="2"/>
      <c r="D41" s="23">
        <v>26.7</v>
      </c>
      <c r="E41" s="2">
        <f t="shared" si="0"/>
        <v>0.30000000000000071</v>
      </c>
      <c r="F41" s="2"/>
    </row>
    <row r="42" spans="1:6" x14ac:dyDescent="0.25">
      <c r="A42" s="3">
        <v>45553</v>
      </c>
      <c r="B42" s="2" t="s">
        <v>1928</v>
      </c>
      <c r="C42" s="2" t="s">
        <v>1930</v>
      </c>
      <c r="D42" s="23">
        <v>27.2</v>
      </c>
      <c r="E42" s="2">
        <f t="shared" si="0"/>
        <v>0.5</v>
      </c>
      <c r="F42" s="2"/>
    </row>
    <row r="43" spans="1:6" x14ac:dyDescent="0.25">
      <c r="A43" s="3">
        <v>45554</v>
      </c>
      <c r="B43" s="2" t="s">
        <v>1943</v>
      </c>
      <c r="C43" s="2"/>
      <c r="D43" s="23">
        <v>27.4</v>
      </c>
      <c r="E43" s="2">
        <f t="shared" si="0"/>
        <v>0.19999999999999929</v>
      </c>
      <c r="F43" s="2"/>
    </row>
    <row r="44" spans="1:6" x14ac:dyDescent="0.25">
      <c r="A44" s="3">
        <v>45555</v>
      </c>
      <c r="B44" s="2" t="s">
        <v>1955</v>
      </c>
      <c r="C44" s="2"/>
      <c r="D44" s="23">
        <v>27.4</v>
      </c>
      <c r="E44" s="2">
        <f t="shared" si="0"/>
        <v>0</v>
      </c>
      <c r="F44" s="2"/>
    </row>
    <row r="45" spans="1:6" x14ac:dyDescent="0.25">
      <c r="A45" s="3">
        <v>45556</v>
      </c>
      <c r="B45" s="2" t="s">
        <v>1973</v>
      </c>
      <c r="C45" s="2"/>
      <c r="D45" s="23">
        <v>27.8</v>
      </c>
      <c r="E45" s="2">
        <f t="shared" si="0"/>
        <v>0.40000000000000213</v>
      </c>
      <c r="F45" s="2"/>
    </row>
    <row r="46" spans="1:6" x14ac:dyDescent="0.25">
      <c r="A46" s="3">
        <v>45557</v>
      </c>
      <c r="B46" s="2" t="s">
        <v>1972</v>
      </c>
      <c r="C46" s="2"/>
      <c r="D46" s="23">
        <v>28</v>
      </c>
      <c r="E46" s="2">
        <f t="shared" si="0"/>
        <v>0.19999999999999929</v>
      </c>
      <c r="F46" s="2"/>
    </row>
    <row r="47" spans="1:6" x14ac:dyDescent="0.25">
      <c r="A47" s="3">
        <v>45558</v>
      </c>
      <c r="B47" s="2" t="s">
        <v>1975</v>
      </c>
      <c r="C47" s="2"/>
      <c r="D47" s="23">
        <v>28.2</v>
      </c>
      <c r="E47" s="2">
        <f t="shared" si="0"/>
        <v>0.19999999999999929</v>
      </c>
      <c r="F47" s="2"/>
    </row>
    <row r="48" spans="1:6" x14ac:dyDescent="0.25">
      <c r="A48" s="3">
        <v>45559</v>
      </c>
      <c r="B48" s="2" t="s">
        <v>1984</v>
      </c>
      <c r="C48" s="2" t="s">
        <v>1991</v>
      </c>
      <c r="D48" s="33">
        <v>28.4</v>
      </c>
      <c r="E48" s="2">
        <f t="shared" si="0"/>
        <v>0.19999999999999929</v>
      </c>
      <c r="F48" s="2"/>
    </row>
    <row r="49" spans="1:6" x14ac:dyDescent="0.25">
      <c r="A49" s="3">
        <v>45560</v>
      </c>
      <c r="B49" s="2" t="s">
        <v>1998</v>
      </c>
      <c r="C49" s="2" t="s">
        <v>1020</v>
      </c>
      <c r="D49" s="23">
        <v>26.8</v>
      </c>
      <c r="E49" s="2">
        <f t="shared" si="0"/>
        <v>-1.5999999999999979</v>
      </c>
      <c r="F49" s="2"/>
    </row>
    <row r="50" spans="1:6" x14ac:dyDescent="0.25">
      <c r="A50" s="3">
        <v>45561</v>
      </c>
      <c r="B50" s="2" t="s">
        <v>2005</v>
      </c>
      <c r="C50" s="2" t="s">
        <v>1020</v>
      </c>
      <c r="D50" s="23">
        <v>27.2</v>
      </c>
      <c r="E50" s="2">
        <f t="shared" si="0"/>
        <v>0.39999999999999858</v>
      </c>
      <c r="F50" s="2"/>
    </row>
    <row r="51" spans="1:6" x14ac:dyDescent="0.25">
      <c r="A51" s="3">
        <v>45562</v>
      </c>
      <c r="B51" s="2" t="s">
        <v>2017</v>
      </c>
      <c r="C51" s="2" t="s">
        <v>2015</v>
      </c>
      <c r="D51" s="23">
        <v>27.6</v>
      </c>
      <c r="E51" s="2">
        <f t="shared" si="0"/>
        <v>0.40000000000000213</v>
      </c>
      <c r="F51" s="2"/>
    </row>
    <row r="52" spans="1:6" x14ac:dyDescent="0.25">
      <c r="A52" s="3">
        <v>45563</v>
      </c>
      <c r="B52" s="2" t="s">
        <v>2032</v>
      </c>
      <c r="C52" s="2" t="s">
        <v>2016</v>
      </c>
      <c r="D52" s="23">
        <v>27.8</v>
      </c>
      <c r="E52" s="2">
        <f t="shared" si="0"/>
        <v>0.19999999999999929</v>
      </c>
      <c r="F52" s="2"/>
    </row>
    <row r="53" spans="1:6" x14ac:dyDescent="0.25">
      <c r="A53" s="3">
        <v>45564</v>
      </c>
      <c r="B53" s="2" t="s">
        <v>2033</v>
      </c>
      <c r="C53" s="2" t="s">
        <v>2034</v>
      </c>
      <c r="D53" s="23">
        <v>28.8</v>
      </c>
      <c r="E53" s="2">
        <f t="shared" si="0"/>
        <v>1</v>
      </c>
      <c r="F53" s="2"/>
    </row>
    <row r="54" spans="1:6" x14ac:dyDescent="0.25">
      <c r="A54" s="3">
        <v>45565</v>
      </c>
      <c r="B54" s="2" t="s">
        <v>2049</v>
      </c>
      <c r="C54" s="2" t="s">
        <v>2045</v>
      </c>
      <c r="D54" s="23">
        <v>29.3</v>
      </c>
      <c r="E54" s="2">
        <f t="shared" si="0"/>
        <v>0.5</v>
      </c>
      <c r="F54" s="2"/>
    </row>
    <row r="55" spans="1:6" x14ac:dyDescent="0.25">
      <c r="A55" s="3">
        <v>45566</v>
      </c>
      <c r="B55" s="2" t="s">
        <v>2078</v>
      </c>
      <c r="C55" s="2" t="s">
        <v>2058</v>
      </c>
      <c r="D55" s="33">
        <v>29.5</v>
      </c>
      <c r="E55" s="2">
        <f t="shared" si="0"/>
        <v>0.19999999999999929</v>
      </c>
      <c r="F55" s="2"/>
    </row>
    <row r="56" spans="1:6" x14ac:dyDescent="0.25">
      <c r="A56" s="3">
        <v>45567</v>
      </c>
      <c r="B56" s="2" t="s">
        <v>2074</v>
      </c>
      <c r="C56" s="2" t="s">
        <v>2108</v>
      </c>
      <c r="D56" s="23">
        <v>28</v>
      </c>
      <c r="E56" s="2">
        <f t="shared" si="0"/>
        <v>-1.5</v>
      </c>
      <c r="F56" s="2"/>
    </row>
    <row r="57" spans="1:6" x14ac:dyDescent="0.25">
      <c r="A57" s="3">
        <v>45568</v>
      </c>
      <c r="B57" s="2" t="s">
        <v>2090</v>
      </c>
      <c r="C57" s="2" t="s">
        <v>2108</v>
      </c>
      <c r="D57" s="23">
        <v>28.3</v>
      </c>
      <c r="E57" s="2">
        <f t="shared" si="0"/>
        <v>0.30000000000000071</v>
      </c>
      <c r="F57" s="2"/>
    </row>
    <row r="58" spans="1:6" x14ac:dyDescent="0.25">
      <c r="A58" s="3">
        <v>45569</v>
      </c>
      <c r="B58" s="2" t="s">
        <v>2098</v>
      </c>
      <c r="C58" s="2" t="s">
        <v>2107</v>
      </c>
      <c r="D58" s="23">
        <v>28.8</v>
      </c>
      <c r="E58" s="2">
        <f t="shared" si="0"/>
        <v>0.5</v>
      </c>
      <c r="F58" s="2"/>
    </row>
    <row r="59" spans="1:6" x14ac:dyDescent="0.25">
      <c r="A59" s="3">
        <v>45570</v>
      </c>
      <c r="B59" s="2" t="s">
        <v>2120</v>
      </c>
      <c r="C59" s="2" t="s">
        <v>2107</v>
      </c>
      <c r="D59" s="23">
        <v>29.3</v>
      </c>
      <c r="E59" s="2">
        <f t="shared" si="0"/>
        <v>0.5</v>
      </c>
      <c r="F59" s="2"/>
    </row>
    <row r="60" spans="1:6" x14ac:dyDescent="0.25">
      <c r="A60" s="3">
        <v>45571</v>
      </c>
      <c r="B60" s="2" t="s">
        <v>2120</v>
      </c>
      <c r="C60" s="2" t="s">
        <v>2108</v>
      </c>
      <c r="D60" s="23">
        <v>29.3</v>
      </c>
      <c r="E60" s="2">
        <f t="shared" si="0"/>
        <v>0</v>
      </c>
      <c r="F60" s="2"/>
    </row>
    <row r="61" spans="1:6" x14ac:dyDescent="0.25">
      <c r="A61" s="3">
        <v>45572</v>
      </c>
      <c r="B61" s="2" t="s">
        <v>2133</v>
      </c>
      <c r="C61" s="2" t="s">
        <v>2107</v>
      </c>
      <c r="D61" s="33">
        <v>29.5</v>
      </c>
      <c r="E61" s="2">
        <f t="shared" si="0"/>
        <v>0.19999999999999929</v>
      </c>
      <c r="F61" s="2"/>
    </row>
    <row r="62" spans="1:6" x14ac:dyDescent="0.25">
      <c r="A62" s="3">
        <v>45573</v>
      </c>
      <c r="B62" s="2" t="s">
        <v>2152</v>
      </c>
      <c r="C62" s="2"/>
      <c r="D62" s="23">
        <v>30</v>
      </c>
      <c r="E62" s="2">
        <f t="shared" si="0"/>
        <v>0.5</v>
      </c>
      <c r="F62" s="2"/>
    </row>
    <row r="63" spans="1:6" x14ac:dyDescent="0.25">
      <c r="A63" s="3">
        <v>45574</v>
      </c>
      <c r="B63" s="2" t="s">
        <v>2157</v>
      </c>
      <c r="C63" s="2"/>
      <c r="D63" s="23">
        <v>30.2</v>
      </c>
      <c r="E63" s="2">
        <f t="shared" si="0"/>
        <v>0.19999999999999929</v>
      </c>
      <c r="F63" s="2"/>
    </row>
    <row r="64" spans="1:6" x14ac:dyDescent="0.25">
      <c r="A64" s="3">
        <v>45575</v>
      </c>
      <c r="B64" s="2" t="s">
        <v>2168</v>
      </c>
      <c r="C64" s="2"/>
      <c r="D64" s="23">
        <v>30</v>
      </c>
      <c r="E64" s="2">
        <f t="shared" si="0"/>
        <v>-0.19999999999999929</v>
      </c>
      <c r="F64" s="2"/>
    </row>
    <row r="65" spans="1:6" x14ac:dyDescent="0.25">
      <c r="A65" s="3">
        <v>45576</v>
      </c>
      <c r="B65" s="2" t="s">
        <v>2172</v>
      </c>
      <c r="C65" s="2"/>
      <c r="D65" s="23">
        <v>30.8</v>
      </c>
      <c r="E65" s="2">
        <f t="shared" si="0"/>
        <v>0.80000000000000071</v>
      </c>
      <c r="F65" s="2"/>
    </row>
    <row r="66" spans="1:6" x14ac:dyDescent="0.25">
      <c r="A66" s="3">
        <v>45577</v>
      </c>
      <c r="B66" s="2" t="s">
        <v>2195</v>
      </c>
      <c r="C66" s="2"/>
      <c r="D66" s="33">
        <v>31.2</v>
      </c>
      <c r="E66" s="2">
        <f t="shared" si="0"/>
        <v>0.39999999999999858</v>
      </c>
      <c r="F66" s="2"/>
    </row>
    <row r="67" spans="1:6" x14ac:dyDescent="0.25">
      <c r="A67" s="3">
        <v>45578</v>
      </c>
      <c r="B67" s="2" t="s">
        <v>2196</v>
      </c>
      <c r="C67" s="2"/>
      <c r="D67" s="23">
        <v>29.3</v>
      </c>
      <c r="E67" s="2">
        <f t="shared" si="0"/>
        <v>-1.8999999999999986</v>
      </c>
      <c r="F67" s="2"/>
    </row>
    <row r="68" spans="1:6" x14ac:dyDescent="0.25">
      <c r="A68" s="3">
        <v>45579</v>
      </c>
      <c r="B68" s="2" t="s">
        <v>2172</v>
      </c>
      <c r="C68" s="2"/>
      <c r="D68" s="23">
        <v>30</v>
      </c>
      <c r="E68" s="2">
        <f t="shared" si="0"/>
        <v>0.69999999999999929</v>
      </c>
      <c r="F68" s="2"/>
    </row>
    <row r="69" spans="1:6" x14ac:dyDescent="0.25">
      <c r="A69" s="3">
        <v>45580</v>
      </c>
      <c r="B69" s="2" t="s">
        <v>2204</v>
      </c>
      <c r="C69" s="2"/>
      <c r="D69" s="33">
        <v>31.2</v>
      </c>
      <c r="E69" s="2">
        <f t="shared" si="0"/>
        <v>1.1999999999999993</v>
      </c>
      <c r="F69" s="2"/>
    </row>
    <row r="70" spans="1:6" x14ac:dyDescent="0.25">
      <c r="A70" s="3">
        <v>45581</v>
      </c>
      <c r="B70" s="2" t="s">
        <v>2211</v>
      </c>
      <c r="C70" s="2"/>
      <c r="D70" s="23">
        <v>31.7</v>
      </c>
      <c r="E70" s="2">
        <f t="shared" si="0"/>
        <v>0.5</v>
      </c>
      <c r="F70" s="2"/>
    </row>
    <row r="71" spans="1:6" x14ac:dyDescent="0.25">
      <c r="A71" s="3">
        <v>45582</v>
      </c>
      <c r="B71" s="2" t="s">
        <v>2234</v>
      </c>
      <c r="C71" s="2"/>
      <c r="D71" s="23">
        <v>32.299999999999997</v>
      </c>
      <c r="E71" s="2">
        <f t="shared" si="0"/>
        <v>0.59999999999999787</v>
      </c>
      <c r="F71" s="2"/>
    </row>
    <row r="72" spans="1:6" x14ac:dyDescent="0.25">
      <c r="A72" s="3">
        <v>45583</v>
      </c>
      <c r="B72" s="2" t="s">
        <v>2235</v>
      </c>
      <c r="C72" s="2" t="s">
        <v>2241</v>
      </c>
      <c r="D72" s="23">
        <v>32.799999999999997</v>
      </c>
      <c r="E72" s="2">
        <f t="shared" si="0"/>
        <v>0.5</v>
      </c>
      <c r="F72" s="2"/>
    </row>
    <row r="73" spans="1:6" x14ac:dyDescent="0.25">
      <c r="A73" s="3">
        <v>45584</v>
      </c>
      <c r="B73" s="2" t="s">
        <v>2250</v>
      </c>
      <c r="C73" s="2"/>
      <c r="D73" s="23">
        <v>33</v>
      </c>
      <c r="E73" s="2">
        <f t="shared" si="0"/>
        <v>0.20000000000000284</v>
      </c>
      <c r="F73" s="2"/>
    </row>
    <row r="74" spans="1:6" x14ac:dyDescent="0.25">
      <c r="A74" s="3">
        <v>45585</v>
      </c>
      <c r="B74" s="2" t="s">
        <v>2251</v>
      </c>
      <c r="C74" s="2"/>
      <c r="D74" s="33">
        <v>34</v>
      </c>
      <c r="E74" s="2">
        <f t="shared" si="0"/>
        <v>1</v>
      </c>
      <c r="F74" s="2"/>
    </row>
    <row r="75" spans="1:6" x14ac:dyDescent="0.25">
      <c r="A75" s="3">
        <v>45586</v>
      </c>
      <c r="B75" s="2" t="s">
        <v>2259</v>
      </c>
      <c r="C75" s="2"/>
      <c r="D75" s="23">
        <v>32.200000000000003</v>
      </c>
      <c r="E75" s="2">
        <f t="shared" si="0"/>
        <v>-1.7999999999999972</v>
      </c>
      <c r="F75" s="2"/>
    </row>
    <row r="76" spans="1:6" x14ac:dyDescent="0.25">
      <c r="A76" s="3">
        <v>45587</v>
      </c>
      <c r="B76" s="2" t="s">
        <v>2266</v>
      </c>
      <c r="C76" s="2"/>
      <c r="D76" s="23">
        <v>33</v>
      </c>
      <c r="E76" s="2">
        <f t="shared" ref="E76:E115" si="1">D76-D75</f>
        <v>0.79999999999999716</v>
      </c>
      <c r="F76" s="2"/>
    </row>
    <row r="77" spans="1:6" x14ac:dyDescent="0.25">
      <c r="A77" s="3">
        <v>45588</v>
      </c>
      <c r="B77" s="2" t="s">
        <v>2282</v>
      </c>
      <c r="C77" s="2"/>
      <c r="D77" s="23">
        <v>33.299999999999997</v>
      </c>
      <c r="E77" s="2">
        <f t="shared" si="1"/>
        <v>0.29999999999999716</v>
      </c>
      <c r="F77" s="2"/>
    </row>
    <row r="78" spans="1:6" x14ac:dyDescent="0.25">
      <c r="A78" s="3">
        <v>45589</v>
      </c>
      <c r="B78" s="2" t="s">
        <v>2294</v>
      </c>
      <c r="C78" s="2"/>
      <c r="D78" s="23">
        <v>33.5</v>
      </c>
      <c r="E78" s="2">
        <f t="shared" si="1"/>
        <v>0.20000000000000284</v>
      </c>
      <c r="F78" s="2"/>
    </row>
    <row r="79" spans="1:6" x14ac:dyDescent="0.25">
      <c r="A79" s="3">
        <v>45590</v>
      </c>
      <c r="B79" s="2" t="s">
        <v>2307</v>
      </c>
      <c r="C79" s="2"/>
      <c r="D79" s="33">
        <v>34</v>
      </c>
      <c r="E79" s="2">
        <f t="shared" si="1"/>
        <v>0.5</v>
      </c>
      <c r="F79" s="2"/>
    </row>
    <row r="80" spans="1:6" x14ac:dyDescent="0.25">
      <c r="A80" s="3">
        <v>45591</v>
      </c>
      <c r="B80" s="2" t="s">
        <v>2325</v>
      </c>
      <c r="C80" s="2"/>
      <c r="D80" s="23">
        <v>37</v>
      </c>
      <c r="E80" s="2">
        <f t="shared" si="1"/>
        <v>3</v>
      </c>
      <c r="F80" s="2"/>
    </row>
    <row r="81" spans="1:6" x14ac:dyDescent="0.25">
      <c r="A81" s="3">
        <v>45592</v>
      </c>
      <c r="B81" s="2" t="s">
        <v>2326</v>
      </c>
      <c r="C81" s="2"/>
      <c r="D81" s="23">
        <v>38</v>
      </c>
      <c r="E81" s="2">
        <f t="shared" si="1"/>
        <v>1</v>
      </c>
      <c r="F81" s="2"/>
    </row>
    <row r="82" spans="1:6" x14ac:dyDescent="0.25">
      <c r="A82" s="3">
        <v>45593</v>
      </c>
      <c r="B82" s="2" t="s">
        <v>2340</v>
      </c>
      <c r="C82" s="2"/>
      <c r="D82" s="33">
        <v>40.5</v>
      </c>
      <c r="E82" s="2">
        <f t="shared" si="1"/>
        <v>2.5</v>
      </c>
      <c r="F82" s="2"/>
    </row>
    <row r="83" spans="1:6" x14ac:dyDescent="0.25">
      <c r="A83" s="3">
        <v>45594</v>
      </c>
      <c r="B83" s="2" t="s">
        <v>2350</v>
      </c>
      <c r="C83" s="2"/>
      <c r="D83" s="23">
        <v>31.5</v>
      </c>
      <c r="E83" s="2">
        <f t="shared" si="1"/>
        <v>-9</v>
      </c>
      <c r="F83" s="2"/>
    </row>
    <row r="84" spans="1:6" x14ac:dyDescent="0.25">
      <c r="A84" s="3">
        <v>45595</v>
      </c>
      <c r="B84" s="2" t="s">
        <v>2362</v>
      </c>
      <c r="C84" s="2"/>
      <c r="D84" s="23">
        <v>33.299999999999997</v>
      </c>
      <c r="E84" s="2">
        <f t="shared" si="1"/>
        <v>1.7999999999999972</v>
      </c>
      <c r="F84" s="2"/>
    </row>
    <row r="85" spans="1:6" x14ac:dyDescent="0.25">
      <c r="A85" s="3">
        <v>45596</v>
      </c>
      <c r="B85" s="2" t="s">
        <v>2371</v>
      </c>
      <c r="C85" s="2"/>
      <c r="D85" s="23">
        <v>35.299999999999997</v>
      </c>
      <c r="E85" s="2">
        <f t="shared" si="1"/>
        <v>2</v>
      </c>
      <c r="F85" s="2"/>
    </row>
    <row r="86" spans="1:6" x14ac:dyDescent="0.25">
      <c r="A86" s="3">
        <v>45597</v>
      </c>
      <c r="B86" s="2" t="s">
        <v>2378</v>
      </c>
      <c r="C86" s="2"/>
      <c r="D86" s="23">
        <v>39.299999999999997</v>
      </c>
      <c r="E86" s="2">
        <f t="shared" si="1"/>
        <v>4</v>
      </c>
      <c r="F86" s="2"/>
    </row>
    <row r="87" spans="1:6" x14ac:dyDescent="0.25">
      <c r="A87" s="3">
        <v>45598</v>
      </c>
      <c r="B87" s="2" t="s">
        <v>2391</v>
      </c>
      <c r="C87" s="2"/>
      <c r="D87" s="23">
        <v>41.3</v>
      </c>
      <c r="E87" s="2">
        <f t="shared" si="1"/>
        <v>2</v>
      </c>
      <c r="F87" s="2"/>
    </row>
    <row r="88" spans="1:6" x14ac:dyDescent="0.25">
      <c r="A88" s="3">
        <v>45599</v>
      </c>
      <c r="B88" s="2" t="s">
        <v>2392</v>
      </c>
      <c r="C88" s="2"/>
      <c r="D88" s="23">
        <v>42.4</v>
      </c>
      <c r="E88" s="2">
        <f t="shared" si="1"/>
        <v>1.1000000000000014</v>
      </c>
      <c r="F88" s="2"/>
    </row>
    <row r="89" spans="1:6" x14ac:dyDescent="0.25">
      <c r="A89" s="3">
        <v>45600</v>
      </c>
      <c r="B89" s="2" t="s">
        <v>2397</v>
      </c>
      <c r="C89" s="2"/>
      <c r="D89" s="23">
        <v>45.5</v>
      </c>
      <c r="E89" s="2">
        <f t="shared" si="1"/>
        <v>3.1000000000000014</v>
      </c>
      <c r="F89" s="2"/>
    </row>
    <row r="90" spans="1:6" x14ac:dyDescent="0.25">
      <c r="A90" s="3">
        <v>45601</v>
      </c>
      <c r="B90" s="2" t="s">
        <v>2408</v>
      </c>
      <c r="C90" s="2"/>
      <c r="D90" s="23">
        <v>47.5</v>
      </c>
      <c r="E90" s="2">
        <f t="shared" si="1"/>
        <v>2</v>
      </c>
      <c r="F90" s="2"/>
    </row>
    <row r="91" spans="1:6" x14ac:dyDescent="0.25">
      <c r="A91" s="3">
        <v>45602</v>
      </c>
      <c r="B91" s="2" t="s">
        <v>2409</v>
      </c>
      <c r="C91" s="2"/>
      <c r="D91" s="23">
        <v>50.09</v>
      </c>
      <c r="E91" s="2">
        <f t="shared" si="1"/>
        <v>2.5900000000000034</v>
      </c>
      <c r="F91" s="2"/>
    </row>
    <row r="92" spans="1:6" x14ac:dyDescent="0.25">
      <c r="A92" s="3">
        <v>45603</v>
      </c>
      <c r="B92" s="2" t="s">
        <v>2421</v>
      </c>
      <c r="C92" s="2"/>
      <c r="D92" s="23">
        <v>52</v>
      </c>
      <c r="E92" s="2">
        <f t="shared" si="1"/>
        <v>1.9099999999999966</v>
      </c>
      <c r="F92" s="2"/>
    </row>
    <row r="93" spans="1:6" x14ac:dyDescent="0.25">
      <c r="A93" s="3">
        <v>45604</v>
      </c>
      <c r="B93" s="2" t="s">
        <v>2435</v>
      </c>
      <c r="C93" s="2"/>
      <c r="D93" s="23">
        <v>55</v>
      </c>
      <c r="E93" s="2">
        <f t="shared" si="1"/>
        <v>3</v>
      </c>
      <c r="F93" s="2"/>
    </row>
    <row r="94" spans="1:6" x14ac:dyDescent="0.25">
      <c r="A94" s="3">
        <v>45605</v>
      </c>
      <c r="B94" s="2" t="s">
        <v>2451</v>
      </c>
      <c r="C94" s="2"/>
      <c r="D94" s="23">
        <v>57</v>
      </c>
      <c r="E94" s="2">
        <f t="shared" si="1"/>
        <v>2</v>
      </c>
      <c r="F94" s="2"/>
    </row>
    <row r="95" spans="1:6" x14ac:dyDescent="0.25">
      <c r="A95" s="3">
        <v>45606</v>
      </c>
      <c r="B95" s="2" t="s">
        <v>2452</v>
      </c>
      <c r="C95" s="2"/>
      <c r="D95" s="23">
        <v>59</v>
      </c>
      <c r="E95" s="2">
        <f t="shared" si="1"/>
        <v>2</v>
      </c>
      <c r="F95" s="2"/>
    </row>
    <row r="96" spans="1:6" x14ac:dyDescent="0.25">
      <c r="A96" s="3">
        <v>45607</v>
      </c>
      <c r="B96" s="2" t="s">
        <v>2466</v>
      </c>
      <c r="C96" s="2" t="s">
        <v>2467</v>
      </c>
      <c r="D96" s="23">
        <v>60</v>
      </c>
      <c r="E96" s="2">
        <f t="shared" si="1"/>
        <v>1</v>
      </c>
      <c r="F96" s="2"/>
    </row>
    <row r="97" spans="1:6" x14ac:dyDescent="0.25">
      <c r="A97" s="3">
        <v>45608</v>
      </c>
      <c r="B97" s="2" t="s">
        <v>2479</v>
      </c>
      <c r="C97" s="2" t="s">
        <v>2489</v>
      </c>
      <c r="D97" s="23">
        <v>62</v>
      </c>
      <c r="E97" s="2">
        <f t="shared" si="1"/>
        <v>2</v>
      </c>
      <c r="F97" s="2"/>
    </row>
    <row r="98" spans="1:6" x14ac:dyDescent="0.25">
      <c r="A98" s="3">
        <v>45609</v>
      </c>
      <c r="B98" s="2" t="s">
        <v>2479</v>
      </c>
      <c r="C98" s="2" t="s">
        <v>2496</v>
      </c>
      <c r="D98" s="23">
        <v>62</v>
      </c>
      <c r="E98" s="2">
        <f t="shared" si="1"/>
        <v>0</v>
      </c>
      <c r="F98" s="2"/>
    </row>
    <row r="99" spans="1:6" x14ac:dyDescent="0.25">
      <c r="A99" s="3">
        <v>45610</v>
      </c>
      <c r="B99" s="2" t="s">
        <v>2508</v>
      </c>
      <c r="C99" s="2"/>
      <c r="D99" s="23">
        <v>62</v>
      </c>
      <c r="E99" s="2">
        <f t="shared" si="1"/>
        <v>0</v>
      </c>
      <c r="F99" s="2"/>
    </row>
    <row r="100" spans="1:6" x14ac:dyDescent="0.25">
      <c r="A100" s="3">
        <v>45611</v>
      </c>
      <c r="B100" s="2" t="s">
        <v>2519</v>
      </c>
      <c r="C100" s="2"/>
      <c r="D100" s="23">
        <v>62</v>
      </c>
      <c r="E100" s="2">
        <f t="shared" si="1"/>
        <v>0</v>
      </c>
      <c r="F100" s="2"/>
    </row>
    <row r="101" spans="1:6" x14ac:dyDescent="0.25">
      <c r="A101" s="3">
        <v>45612</v>
      </c>
      <c r="B101" s="2" t="s">
        <v>2534</v>
      </c>
      <c r="C101" s="2"/>
      <c r="D101" s="23">
        <v>62</v>
      </c>
      <c r="E101" s="2">
        <f t="shared" si="1"/>
        <v>0</v>
      </c>
      <c r="F101" s="2"/>
    </row>
    <row r="102" spans="1:6" x14ac:dyDescent="0.25">
      <c r="A102" s="3">
        <v>45613</v>
      </c>
      <c r="B102" s="2" t="s">
        <v>2535</v>
      </c>
      <c r="C102" s="2"/>
      <c r="D102" s="23">
        <v>62.5</v>
      </c>
      <c r="E102" s="2">
        <f t="shared" si="1"/>
        <v>0.5</v>
      </c>
      <c r="F102" s="2"/>
    </row>
    <row r="103" spans="1:6" x14ac:dyDescent="0.25">
      <c r="A103" s="3">
        <v>45614</v>
      </c>
      <c r="B103" s="2" t="s">
        <v>2535</v>
      </c>
      <c r="C103" s="2" t="s">
        <v>2545</v>
      </c>
      <c r="D103" s="23">
        <v>62.5</v>
      </c>
      <c r="E103" s="2">
        <f t="shared" si="1"/>
        <v>0</v>
      </c>
      <c r="F103" s="2"/>
    </row>
    <row r="104" spans="1:6" x14ac:dyDescent="0.25">
      <c r="A104" s="3">
        <v>45615</v>
      </c>
      <c r="B104" s="2" t="s">
        <v>2561</v>
      </c>
      <c r="C104" s="2" t="s">
        <v>2550</v>
      </c>
      <c r="D104" s="23">
        <v>62.5</v>
      </c>
      <c r="E104" s="2">
        <f t="shared" si="1"/>
        <v>0</v>
      </c>
      <c r="F104" s="2"/>
    </row>
    <row r="105" spans="1:6" x14ac:dyDescent="0.25">
      <c r="A105" s="3">
        <v>45616</v>
      </c>
      <c r="B105" s="2" t="s">
        <v>2568</v>
      </c>
      <c r="C105" s="2" t="s">
        <v>2569</v>
      </c>
      <c r="D105" s="23">
        <v>63</v>
      </c>
      <c r="E105" s="2">
        <f t="shared" si="1"/>
        <v>0.5</v>
      </c>
      <c r="F105" s="2"/>
    </row>
    <row r="106" spans="1:6" s="117" customFormat="1" ht="30" x14ac:dyDescent="0.25">
      <c r="A106" s="36">
        <v>45617</v>
      </c>
      <c r="B106" s="116" t="s">
        <v>2578</v>
      </c>
      <c r="C106" s="55"/>
      <c r="D106" s="41">
        <v>30</v>
      </c>
      <c r="E106" s="55">
        <f t="shared" si="1"/>
        <v>-33</v>
      </c>
      <c r="F106" s="55"/>
    </row>
    <row r="107" spans="1:6" x14ac:dyDescent="0.25">
      <c r="A107" s="3">
        <v>45618</v>
      </c>
      <c r="B107" s="2" t="s">
        <v>2589</v>
      </c>
      <c r="C107" s="2"/>
      <c r="D107" s="23">
        <v>30</v>
      </c>
      <c r="E107" s="2">
        <f t="shared" si="1"/>
        <v>0</v>
      </c>
      <c r="F107" s="2"/>
    </row>
    <row r="108" spans="1:6" x14ac:dyDescent="0.25">
      <c r="A108" s="3">
        <v>45619</v>
      </c>
      <c r="B108" s="2" t="s">
        <v>2600</v>
      </c>
      <c r="C108" s="2"/>
      <c r="D108" s="23">
        <v>52</v>
      </c>
      <c r="E108" s="2">
        <f t="shared" si="1"/>
        <v>22</v>
      </c>
      <c r="F108" s="2"/>
    </row>
    <row r="109" spans="1:6" x14ac:dyDescent="0.25">
      <c r="A109" s="3">
        <v>45620</v>
      </c>
      <c r="B109" s="2" t="s">
        <v>2601</v>
      </c>
      <c r="C109" s="2"/>
      <c r="D109" s="23">
        <v>63</v>
      </c>
      <c r="E109" s="2">
        <f t="shared" si="1"/>
        <v>11</v>
      </c>
      <c r="F109" s="2"/>
    </row>
    <row r="110" spans="1:6" x14ac:dyDescent="0.25">
      <c r="A110" s="3">
        <v>45621</v>
      </c>
      <c r="B110" s="2" t="s">
        <v>2616</v>
      </c>
      <c r="C110" s="2"/>
      <c r="D110" s="23">
        <v>63.3</v>
      </c>
      <c r="E110" s="2">
        <f t="shared" si="1"/>
        <v>0.29999999999999716</v>
      </c>
      <c r="F110" s="2"/>
    </row>
    <row r="111" spans="1:6" x14ac:dyDescent="0.25">
      <c r="A111" s="3">
        <v>45622</v>
      </c>
      <c r="B111" s="2"/>
      <c r="C111" s="2"/>
      <c r="D111" s="23">
        <v>63.3</v>
      </c>
      <c r="E111" s="2">
        <f t="shared" si="1"/>
        <v>0</v>
      </c>
      <c r="F111" s="2"/>
    </row>
    <row r="112" spans="1:6" x14ac:dyDescent="0.25">
      <c r="A112" s="3">
        <v>45623</v>
      </c>
      <c r="B112" s="2" t="s">
        <v>2624</v>
      </c>
      <c r="C112" s="2"/>
      <c r="D112" s="23">
        <v>63.5</v>
      </c>
      <c r="E112" s="2">
        <f t="shared" si="1"/>
        <v>0.20000000000000284</v>
      </c>
      <c r="F112" s="2"/>
    </row>
    <row r="113" spans="1:6" x14ac:dyDescent="0.25">
      <c r="A113" s="3">
        <v>45624</v>
      </c>
      <c r="B113" s="2" t="s">
        <v>2624</v>
      </c>
      <c r="C113" s="2" t="s">
        <v>2636</v>
      </c>
      <c r="D113" s="23">
        <v>63.5</v>
      </c>
      <c r="E113" s="2">
        <f t="shared" si="1"/>
        <v>0</v>
      </c>
      <c r="F113" s="2"/>
    </row>
    <row r="114" spans="1:6" x14ac:dyDescent="0.25">
      <c r="A114" s="3">
        <v>45625</v>
      </c>
      <c r="B114" s="2" t="s">
        <v>2645</v>
      </c>
      <c r="C114" s="2"/>
      <c r="D114" s="23">
        <v>63.7</v>
      </c>
      <c r="E114" s="2">
        <f t="shared" si="1"/>
        <v>0.20000000000000284</v>
      </c>
      <c r="F114" s="2"/>
    </row>
    <row r="115" spans="1:6" x14ac:dyDescent="0.25">
      <c r="A115" s="3">
        <v>45626</v>
      </c>
      <c r="B115" s="2" t="s">
        <v>2663</v>
      </c>
      <c r="C115" s="2"/>
      <c r="D115" s="23">
        <v>65</v>
      </c>
      <c r="E115" s="2">
        <f t="shared" si="1"/>
        <v>1.2999999999999972</v>
      </c>
      <c r="F115" s="2"/>
    </row>
    <row r="116" spans="1:6" x14ac:dyDescent="0.25">
      <c r="A116" s="3">
        <v>45627</v>
      </c>
      <c r="B116" s="2" t="s">
        <v>2664</v>
      </c>
      <c r="C116" s="2"/>
      <c r="D116" s="23">
        <v>65</v>
      </c>
      <c r="E116" s="23">
        <f>D117-D116</f>
        <v>0</v>
      </c>
      <c r="F116" s="2"/>
    </row>
    <row r="117" spans="1:6" x14ac:dyDescent="0.25">
      <c r="A117" s="3">
        <v>45628</v>
      </c>
      <c r="B117" s="2"/>
      <c r="C117" s="2"/>
      <c r="D117" s="23">
        <v>65</v>
      </c>
      <c r="E117" s="23">
        <f t="shared" ref="E117:E118" si="2">D118-D117</f>
        <v>0</v>
      </c>
      <c r="F117" s="2"/>
    </row>
    <row r="118" spans="1:6" x14ac:dyDescent="0.25">
      <c r="A118" s="3">
        <v>45629</v>
      </c>
      <c r="B118" s="2" t="s">
        <v>2675</v>
      </c>
      <c r="C118" s="2"/>
      <c r="D118" s="23">
        <v>65</v>
      </c>
      <c r="E118" s="23">
        <f t="shared" si="2"/>
        <v>0</v>
      </c>
      <c r="F118" s="2"/>
    </row>
    <row r="119" spans="1:6" x14ac:dyDescent="0.25">
      <c r="A119" s="3">
        <v>45630</v>
      </c>
      <c r="B119" s="2" t="s">
        <v>2680</v>
      </c>
      <c r="C119" s="2" t="s">
        <v>2684</v>
      </c>
      <c r="D119" s="23">
        <v>65</v>
      </c>
      <c r="E119" s="23">
        <f>D119-D118</f>
        <v>0</v>
      </c>
      <c r="F119" s="2"/>
    </row>
    <row r="120" spans="1:6" x14ac:dyDescent="0.25">
      <c r="A120" s="3">
        <v>45631</v>
      </c>
      <c r="B120" s="2" t="s">
        <v>2690</v>
      </c>
      <c r="C120" s="2"/>
      <c r="D120" s="23">
        <v>65.7</v>
      </c>
      <c r="E120" s="23">
        <f t="shared" ref="E120:E183" si="3">D120-D119</f>
        <v>0.70000000000000284</v>
      </c>
      <c r="F120" s="2"/>
    </row>
    <row r="121" spans="1:6" x14ac:dyDescent="0.25">
      <c r="A121" s="3">
        <v>45632</v>
      </c>
      <c r="B121" s="2" t="s">
        <v>2700</v>
      </c>
      <c r="C121" s="2"/>
      <c r="D121" s="23">
        <v>66.5</v>
      </c>
      <c r="E121" s="23">
        <f t="shared" si="3"/>
        <v>0.79999999999999716</v>
      </c>
      <c r="F121" s="2"/>
    </row>
    <row r="122" spans="1:6" x14ac:dyDescent="0.25">
      <c r="A122" s="3">
        <v>45633</v>
      </c>
      <c r="B122" s="2" t="s">
        <v>2706</v>
      </c>
      <c r="C122" s="2"/>
      <c r="D122" s="23">
        <v>67</v>
      </c>
      <c r="E122" s="23">
        <f t="shared" si="3"/>
        <v>0.5</v>
      </c>
      <c r="F122" s="2"/>
    </row>
    <row r="123" spans="1:6" x14ac:dyDescent="0.25">
      <c r="A123" s="3">
        <v>45634</v>
      </c>
      <c r="B123" s="2" t="s">
        <v>2719</v>
      </c>
      <c r="C123" s="2"/>
      <c r="D123" s="23">
        <v>67</v>
      </c>
      <c r="E123" s="23">
        <f t="shared" si="3"/>
        <v>0</v>
      </c>
      <c r="F123" s="2"/>
    </row>
    <row r="124" spans="1:6" x14ac:dyDescent="0.25">
      <c r="A124" s="3">
        <v>45635</v>
      </c>
      <c r="B124" s="2" t="s">
        <v>2743</v>
      </c>
      <c r="C124" s="2"/>
      <c r="D124" s="23">
        <v>67.3</v>
      </c>
      <c r="E124" s="23">
        <f t="shared" si="3"/>
        <v>0.29999999999999716</v>
      </c>
      <c r="F124" s="2"/>
    </row>
    <row r="125" spans="1:6" x14ac:dyDescent="0.25">
      <c r="A125" s="3">
        <v>45636</v>
      </c>
      <c r="B125" s="2" t="s">
        <v>2755</v>
      </c>
      <c r="C125" s="2"/>
      <c r="D125" s="23">
        <v>67.5</v>
      </c>
      <c r="E125" s="23">
        <f t="shared" si="3"/>
        <v>0.20000000000000284</v>
      </c>
      <c r="F125" s="2"/>
    </row>
    <row r="126" spans="1:6" x14ac:dyDescent="0.25">
      <c r="A126" s="3">
        <v>45637</v>
      </c>
      <c r="B126" s="2" t="s">
        <v>2763</v>
      </c>
      <c r="C126" s="2"/>
      <c r="D126" s="23">
        <v>68</v>
      </c>
      <c r="E126" s="23">
        <f t="shared" si="3"/>
        <v>0.5</v>
      </c>
      <c r="F126" s="2"/>
    </row>
    <row r="127" spans="1:6" x14ac:dyDescent="0.25">
      <c r="A127" s="3">
        <v>45638</v>
      </c>
      <c r="B127" s="2" t="s">
        <v>2767</v>
      </c>
      <c r="C127" s="2" t="s">
        <v>2768</v>
      </c>
      <c r="D127" s="23">
        <v>68.2</v>
      </c>
      <c r="E127" s="23">
        <f t="shared" si="3"/>
        <v>0.20000000000000284</v>
      </c>
      <c r="F127" s="2"/>
    </row>
    <row r="128" spans="1:6" x14ac:dyDescent="0.25">
      <c r="A128" s="3">
        <v>45639</v>
      </c>
      <c r="B128" s="2" t="s">
        <v>2773</v>
      </c>
      <c r="C128" s="2"/>
      <c r="D128" s="23">
        <v>68.2</v>
      </c>
      <c r="E128" s="23">
        <f t="shared" si="3"/>
        <v>0</v>
      </c>
      <c r="F128" s="2"/>
    </row>
    <row r="129" spans="1:6" x14ac:dyDescent="0.25">
      <c r="A129" s="3">
        <v>45640</v>
      </c>
      <c r="B129" s="2" t="s">
        <v>2791</v>
      </c>
      <c r="C129" s="2" t="s">
        <v>2792</v>
      </c>
      <c r="D129" s="23">
        <v>68.3</v>
      </c>
      <c r="E129" s="23">
        <f t="shared" si="3"/>
        <v>9.9999999999994316E-2</v>
      </c>
      <c r="F129" s="2"/>
    </row>
    <row r="130" spans="1:6" x14ac:dyDescent="0.25">
      <c r="A130" s="3">
        <v>45641</v>
      </c>
      <c r="B130" s="2" t="s">
        <v>2793</v>
      </c>
      <c r="C130" s="2" t="s">
        <v>2794</v>
      </c>
      <c r="D130" s="23">
        <v>68.400000000000006</v>
      </c>
      <c r="E130" s="23">
        <f t="shared" si="3"/>
        <v>0.10000000000000853</v>
      </c>
      <c r="F130" s="2"/>
    </row>
    <row r="131" spans="1:6" x14ac:dyDescent="0.25">
      <c r="A131" s="3">
        <v>45642</v>
      </c>
      <c r="B131" s="2" t="s">
        <v>2802</v>
      </c>
      <c r="C131" s="2"/>
      <c r="D131" s="23">
        <v>68.400000000000006</v>
      </c>
      <c r="E131" s="23">
        <f t="shared" si="3"/>
        <v>0</v>
      </c>
      <c r="F131" s="2"/>
    </row>
    <row r="132" spans="1:6" x14ac:dyDescent="0.25">
      <c r="A132" s="3">
        <v>45643</v>
      </c>
      <c r="B132" s="2" t="s">
        <v>2803</v>
      </c>
      <c r="C132" s="2" t="s">
        <v>2804</v>
      </c>
      <c r="D132" s="23">
        <v>68.400000000000006</v>
      </c>
      <c r="E132" s="23">
        <f t="shared" si="3"/>
        <v>0</v>
      </c>
      <c r="F132" s="2"/>
    </row>
    <row r="133" spans="1:6" x14ac:dyDescent="0.25">
      <c r="A133" s="3">
        <v>45644</v>
      </c>
      <c r="B133" s="2" t="s">
        <v>2819</v>
      </c>
      <c r="C133" s="2"/>
      <c r="D133" s="23">
        <v>68.400000000000006</v>
      </c>
      <c r="E133" s="23">
        <f t="shared" si="3"/>
        <v>0</v>
      </c>
      <c r="F133" s="2"/>
    </row>
    <row r="134" spans="1:6" x14ac:dyDescent="0.25">
      <c r="A134" s="3">
        <v>45645</v>
      </c>
      <c r="B134" s="2" t="s">
        <v>2825</v>
      </c>
      <c r="C134" s="2"/>
      <c r="D134" s="23">
        <v>68.400000000000006</v>
      </c>
      <c r="E134" s="23">
        <f t="shared" si="3"/>
        <v>0</v>
      </c>
      <c r="F134" s="2"/>
    </row>
    <row r="135" spans="1:6" x14ac:dyDescent="0.25">
      <c r="A135" s="3">
        <v>45646</v>
      </c>
      <c r="B135" s="2" t="s">
        <v>2834</v>
      </c>
      <c r="C135" s="2"/>
      <c r="D135" s="23">
        <v>68.400000000000006</v>
      </c>
      <c r="E135" s="23">
        <f t="shared" si="3"/>
        <v>0</v>
      </c>
      <c r="F135" s="2"/>
    </row>
    <row r="136" spans="1:6" x14ac:dyDescent="0.25">
      <c r="A136" s="3">
        <v>45647</v>
      </c>
      <c r="B136" s="2" t="s">
        <v>2848</v>
      </c>
      <c r="C136" s="2"/>
      <c r="D136" s="23">
        <v>68.8</v>
      </c>
      <c r="E136" s="23">
        <f t="shared" si="3"/>
        <v>0.39999999999999147</v>
      </c>
      <c r="F136" s="2"/>
    </row>
    <row r="137" spans="1:6" x14ac:dyDescent="0.25">
      <c r="A137" s="3">
        <v>45648</v>
      </c>
      <c r="B137" s="2" t="s">
        <v>2847</v>
      </c>
      <c r="C137" s="2"/>
      <c r="D137" s="23">
        <v>69</v>
      </c>
      <c r="E137" s="23">
        <f t="shared" si="3"/>
        <v>0.20000000000000284</v>
      </c>
      <c r="F137" s="2"/>
    </row>
    <row r="138" spans="1:6" x14ac:dyDescent="0.25">
      <c r="A138" s="3">
        <v>45649</v>
      </c>
      <c r="B138" s="2" t="s">
        <v>2876</v>
      </c>
      <c r="C138" s="2" t="s">
        <v>2877</v>
      </c>
      <c r="D138" s="23">
        <v>69.3</v>
      </c>
      <c r="E138" s="23">
        <f t="shared" si="3"/>
        <v>0.29999999999999716</v>
      </c>
      <c r="F138" s="2"/>
    </row>
    <row r="139" spans="1:6" x14ac:dyDescent="0.25">
      <c r="A139" s="3">
        <v>45650</v>
      </c>
      <c r="B139" s="2" t="s">
        <v>2946</v>
      </c>
      <c r="C139" s="2"/>
      <c r="D139" s="23">
        <v>70</v>
      </c>
      <c r="E139" s="23">
        <f t="shared" si="3"/>
        <v>0.70000000000000284</v>
      </c>
      <c r="F139" s="2"/>
    </row>
    <row r="140" spans="1:6" x14ac:dyDescent="0.25">
      <c r="A140" s="3">
        <v>45651</v>
      </c>
      <c r="B140" s="2" t="s">
        <v>2945</v>
      </c>
      <c r="C140" s="2"/>
      <c r="D140" s="23">
        <v>71.3</v>
      </c>
      <c r="E140" s="23">
        <f t="shared" si="3"/>
        <v>1.2999999999999972</v>
      </c>
      <c r="F140" s="2"/>
    </row>
    <row r="141" spans="1:6" x14ac:dyDescent="0.25">
      <c r="A141" s="3">
        <v>45652</v>
      </c>
      <c r="B141" s="2" t="s">
        <v>2915</v>
      </c>
      <c r="C141" s="2"/>
      <c r="D141" s="23">
        <v>72</v>
      </c>
      <c r="E141" s="23">
        <f t="shared" si="3"/>
        <v>0.70000000000000284</v>
      </c>
      <c r="F141" s="2"/>
    </row>
    <row r="142" spans="1:6" x14ac:dyDescent="0.25">
      <c r="A142" s="3">
        <v>45653</v>
      </c>
      <c r="B142" s="2" t="s">
        <v>2926</v>
      </c>
      <c r="C142" s="2"/>
      <c r="D142" s="23">
        <v>73.3</v>
      </c>
      <c r="E142" s="23">
        <f t="shared" si="3"/>
        <v>1.2999999999999972</v>
      </c>
      <c r="F142" s="2"/>
    </row>
    <row r="143" spans="1:6" x14ac:dyDescent="0.25">
      <c r="A143" s="3">
        <v>45654</v>
      </c>
      <c r="B143" s="2" t="s">
        <v>2944</v>
      </c>
      <c r="C143" s="2"/>
      <c r="D143" s="23">
        <v>69.5</v>
      </c>
      <c r="E143" s="23">
        <f t="shared" si="3"/>
        <v>-3.7999999999999972</v>
      </c>
      <c r="F143" s="2"/>
    </row>
    <row r="144" spans="1:6" x14ac:dyDescent="0.25">
      <c r="A144" s="3">
        <v>45655</v>
      </c>
      <c r="B144" s="2" t="s">
        <v>2943</v>
      </c>
      <c r="C144" s="2"/>
      <c r="D144" s="25">
        <v>73.7</v>
      </c>
      <c r="E144" s="23">
        <f t="shared" si="3"/>
        <v>4.2000000000000028</v>
      </c>
      <c r="F144" s="2"/>
    </row>
    <row r="145" spans="1:6" x14ac:dyDescent="0.25">
      <c r="A145" s="3">
        <v>45656</v>
      </c>
      <c r="B145" s="2" t="s">
        <v>2955</v>
      </c>
      <c r="C145" s="2"/>
      <c r="D145" s="23">
        <v>74.2</v>
      </c>
      <c r="E145" s="23">
        <f t="shared" si="3"/>
        <v>0.5</v>
      </c>
      <c r="F145" s="2"/>
    </row>
    <row r="146" spans="1:6" x14ac:dyDescent="0.25">
      <c r="A146" s="3">
        <v>45657</v>
      </c>
      <c r="B146" s="2" t="s">
        <v>2971</v>
      </c>
      <c r="C146" s="2"/>
      <c r="D146" s="23">
        <v>74.2</v>
      </c>
      <c r="E146" s="23">
        <f t="shared" si="3"/>
        <v>0</v>
      </c>
      <c r="F146" s="2"/>
    </row>
    <row r="147" spans="1:6" x14ac:dyDescent="0.25">
      <c r="A147" s="77">
        <v>45658</v>
      </c>
      <c r="B147" s="2" t="s">
        <v>480</v>
      </c>
      <c r="C147" s="2"/>
      <c r="D147" s="23">
        <v>74.8</v>
      </c>
      <c r="E147" s="23">
        <f t="shared" si="3"/>
        <v>0.59999999999999432</v>
      </c>
      <c r="F147" s="2"/>
    </row>
    <row r="148" spans="1:6" x14ac:dyDescent="0.25">
      <c r="A148" s="77">
        <v>45659</v>
      </c>
      <c r="B148" s="2" t="s">
        <v>2985</v>
      </c>
      <c r="C148" s="2" t="s">
        <v>2992</v>
      </c>
      <c r="D148" s="23">
        <v>75.2</v>
      </c>
      <c r="E148" s="23">
        <f t="shared" si="3"/>
        <v>0.40000000000000568</v>
      </c>
      <c r="F148" s="2"/>
    </row>
    <row r="149" spans="1:6" x14ac:dyDescent="0.25">
      <c r="A149" s="77">
        <v>45660</v>
      </c>
      <c r="B149" s="2" t="s">
        <v>3003</v>
      </c>
      <c r="C149" s="2"/>
      <c r="D149" s="23">
        <v>76</v>
      </c>
      <c r="E149" s="23">
        <f t="shared" si="3"/>
        <v>0.79999999999999716</v>
      </c>
      <c r="F149" s="2"/>
    </row>
    <row r="150" spans="1:6" x14ac:dyDescent="0.25">
      <c r="A150" s="77">
        <v>45661</v>
      </c>
      <c r="B150" s="2" t="s">
        <v>3012</v>
      </c>
      <c r="C150" s="2"/>
      <c r="D150" s="23">
        <v>76</v>
      </c>
      <c r="E150" s="23">
        <f t="shared" si="3"/>
        <v>0</v>
      </c>
      <c r="F150" s="2"/>
    </row>
    <row r="151" spans="1:6" x14ac:dyDescent="0.25">
      <c r="A151" s="77">
        <v>45662</v>
      </c>
      <c r="B151" s="2" t="s">
        <v>3011</v>
      </c>
      <c r="C151" s="2"/>
      <c r="D151" s="23">
        <v>76.7</v>
      </c>
      <c r="E151" s="23">
        <f t="shared" si="3"/>
        <v>0.70000000000000284</v>
      </c>
      <c r="F151" s="2"/>
    </row>
    <row r="152" spans="1:6" x14ac:dyDescent="0.25">
      <c r="A152" s="77">
        <v>45663</v>
      </c>
      <c r="B152" s="2" t="s">
        <v>3050</v>
      </c>
      <c r="C152" s="2"/>
      <c r="D152" s="23">
        <v>77</v>
      </c>
      <c r="E152" s="23">
        <f t="shared" si="3"/>
        <v>0.29999999999999716</v>
      </c>
      <c r="F152" s="2"/>
    </row>
    <row r="153" spans="1:6" x14ac:dyDescent="0.25">
      <c r="A153" s="77">
        <v>45664</v>
      </c>
      <c r="B153" s="2" t="s">
        <v>3065</v>
      </c>
      <c r="C153" s="2"/>
      <c r="D153" s="23">
        <v>77.5</v>
      </c>
      <c r="E153" s="23">
        <f t="shared" si="3"/>
        <v>0.5</v>
      </c>
      <c r="F153" s="2"/>
    </row>
    <row r="154" spans="1:6" x14ac:dyDescent="0.25">
      <c r="A154" s="77">
        <v>45665</v>
      </c>
      <c r="B154" s="2" t="s">
        <v>3074</v>
      </c>
      <c r="C154" s="2"/>
      <c r="D154" s="23">
        <v>78.3</v>
      </c>
      <c r="E154" s="23">
        <f t="shared" si="3"/>
        <v>0.79999999999999716</v>
      </c>
      <c r="F154" s="2"/>
    </row>
    <row r="155" spans="1:6" x14ac:dyDescent="0.25">
      <c r="A155" s="77">
        <v>45666</v>
      </c>
      <c r="B155" s="2" t="s">
        <v>3085</v>
      </c>
      <c r="C155" s="2"/>
      <c r="D155" s="23">
        <v>79.3</v>
      </c>
      <c r="E155" s="23">
        <f t="shared" si="3"/>
        <v>1</v>
      </c>
      <c r="F155" s="2"/>
    </row>
    <row r="156" spans="1:6" x14ac:dyDescent="0.25">
      <c r="A156" s="77">
        <v>45667</v>
      </c>
      <c r="B156" s="2" t="s">
        <v>3094</v>
      </c>
      <c r="C156" s="2"/>
      <c r="D156" s="23">
        <v>80.5</v>
      </c>
      <c r="E156" s="23">
        <f t="shared" si="3"/>
        <v>1.2000000000000028</v>
      </c>
      <c r="F156" s="2"/>
    </row>
    <row r="157" spans="1:6" x14ac:dyDescent="0.25">
      <c r="A157" s="77">
        <v>45668</v>
      </c>
      <c r="B157" s="2" t="s">
        <v>3109</v>
      </c>
      <c r="C157" s="2"/>
      <c r="D157" s="23">
        <v>80.5</v>
      </c>
      <c r="E157" s="23">
        <f t="shared" si="3"/>
        <v>0</v>
      </c>
      <c r="F157" s="2"/>
    </row>
    <row r="158" spans="1:6" x14ac:dyDescent="0.25">
      <c r="A158" s="77">
        <v>45669</v>
      </c>
      <c r="B158" s="2" t="s">
        <v>3110</v>
      </c>
      <c r="C158" s="2"/>
      <c r="D158" s="23">
        <v>81.5</v>
      </c>
      <c r="E158" s="23">
        <f t="shared" si="3"/>
        <v>1</v>
      </c>
      <c r="F158" s="2"/>
    </row>
    <row r="159" spans="1:6" x14ac:dyDescent="0.25">
      <c r="A159" s="77">
        <v>45670</v>
      </c>
      <c r="B159" s="2" t="s">
        <v>3119</v>
      </c>
      <c r="C159" s="2"/>
      <c r="D159" s="23">
        <v>82.2</v>
      </c>
      <c r="E159" s="23">
        <f t="shared" si="3"/>
        <v>0.70000000000000284</v>
      </c>
      <c r="F159" s="2"/>
    </row>
    <row r="160" spans="1:6" x14ac:dyDescent="0.25">
      <c r="A160" s="77">
        <v>45671</v>
      </c>
      <c r="B160" s="2" t="s">
        <v>3132</v>
      </c>
      <c r="C160" s="2"/>
      <c r="D160" s="23">
        <v>83</v>
      </c>
      <c r="E160" s="23">
        <f t="shared" si="3"/>
        <v>0.79999999999999716</v>
      </c>
      <c r="F160" s="2"/>
    </row>
    <row r="161" spans="1:6" x14ac:dyDescent="0.25">
      <c r="A161" s="77">
        <v>45672</v>
      </c>
      <c r="B161" s="2" t="s">
        <v>3141</v>
      </c>
      <c r="C161" s="2"/>
      <c r="D161" s="23">
        <v>84.5</v>
      </c>
      <c r="E161" s="23">
        <f t="shared" si="3"/>
        <v>1.5</v>
      </c>
      <c r="F161" s="2"/>
    </row>
    <row r="162" spans="1:6" x14ac:dyDescent="0.25">
      <c r="A162" s="77">
        <v>45673</v>
      </c>
      <c r="B162" s="2" t="s">
        <v>3155</v>
      </c>
      <c r="C162" s="2"/>
      <c r="D162" s="23">
        <v>86</v>
      </c>
      <c r="E162" s="23">
        <f t="shared" si="3"/>
        <v>1.5</v>
      </c>
      <c r="F162" s="2"/>
    </row>
    <row r="163" spans="1:6" x14ac:dyDescent="0.25">
      <c r="A163" s="77">
        <v>45674</v>
      </c>
      <c r="B163" s="2" t="s">
        <v>3166</v>
      </c>
      <c r="C163" s="2"/>
      <c r="D163" s="23">
        <v>86.5</v>
      </c>
      <c r="E163" s="23">
        <f t="shared" si="3"/>
        <v>0.5</v>
      </c>
      <c r="F163" s="2"/>
    </row>
    <row r="164" spans="1:6" x14ac:dyDescent="0.25">
      <c r="A164" s="77">
        <v>45675</v>
      </c>
      <c r="B164" s="2" t="s">
        <v>3166</v>
      </c>
      <c r="C164" s="2"/>
      <c r="D164" s="23">
        <v>86.5</v>
      </c>
      <c r="E164" s="23">
        <f t="shared" si="3"/>
        <v>0</v>
      </c>
      <c r="F164" s="2"/>
    </row>
    <row r="165" spans="1:6" x14ac:dyDescent="0.25">
      <c r="A165" s="77">
        <v>45676</v>
      </c>
      <c r="B165" s="2" t="s">
        <v>3177</v>
      </c>
      <c r="C165" s="2"/>
      <c r="D165" s="23">
        <v>87</v>
      </c>
      <c r="E165" s="23">
        <f t="shared" si="3"/>
        <v>0.5</v>
      </c>
      <c r="F165" s="2"/>
    </row>
    <row r="166" spans="1:6" x14ac:dyDescent="0.25">
      <c r="A166" s="77">
        <v>45677</v>
      </c>
      <c r="B166" s="2" t="s">
        <v>3177</v>
      </c>
      <c r="C166" s="2"/>
      <c r="D166" s="23">
        <v>87</v>
      </c>
      <c r="E166" s="23">
        <f t="shared" si="3"/>
        <v>0</v>
      </c>
      <c r="F166" s="2"/>
    </row>
    <row r="167" spans="1:6" x14ac:dyDescent="0.25">
      <c r="A167" s="77">
        <v>45678</v>
      </c>
      <c r="B167" s="2" t="s">
        <v>3177</v>
      </c>
      <c r="C167" s="2" t="s">
        <v>3192</v>
      </c>
      <c r="D167" s="23">
        <v>87</v>
      </c>
      <c r="E167" s="23">
        <f t="shared" si="3"/>
        <v>0</v>
      </c>
      <c r="F167" s="2"/>
    </row>
    <row r="168" spans="1:6" x14ac:dyDescent="0.25">
      <c r="A168" s="77">
        <v>45679</v>
      </c>
      <c r="B168" s="2" t="s">
        <v>3197</v>
      </c>
      <c r="C168" s="2"/>
      <c r="D168" s="23">
        <v>87</v>
      </c>
      <c r="E168" s="23">
        <f t="shared" si="3"/>
        <v>0</v>
      </c>
      <c r="F168" s="2"/>
    </row>
    <row r="169" spans="1:6" x14ac:dyDescent="0.25">
      <c r="A169" s="77">
        <v>45680</v>
      </c>
      <c r="B169" s="2" t="s">
        <v>3205</v>
      </c>
      <c r="C169" s="2"/>
      <c r="D169" s="23">
        <v>87</v>
      </c>
      <c r="E169" s="23">
        <f t="shared" si="3"/>
        <v>0</v>
      </c>
      <c r="F169" s="2"/>
    </row>
    <row r="170" spans="1:6" x14ac:dyDescent="0.25">
      <c r="A170" s="77">
        <v>45681</v>
      </c>
      <c r="B170" s="2" t="s">
        <v>3177</v>
      </c>
      <c r="C170" s="2" t="s">
        <v>3229</v>
      </c>
      <c r="D170" s="23">
        <v>87</v>
      </c>
      <c r="E170" s="23">
        <f t="shared" si="3"/>
        <v>0</v>
      </c>
      <c r="F170" s="2"/>
    </row>
    <row r="171" spans="1:6" ht="33" customHeight="1" x14ac:dyDescent="0.25">
      <c r="A171" s="78">
        <v>45682</v>
      </c>
      <c r="B171" s="55" t="s">
        <v>3230</v>
      </c>
      <c r="C171" s="40" t="s">
        <v>3231</v>
      </c>
      <c r="D171" s="41">
        <v>87</v>
      </c>
      <c r="E171" s="41">
        <f t="shared" si="3"/>
        <v>0</v>
      </c>
      <c r="F171" s="2"/>
    </row>
    <row r="172" spans="1:6" ht="45" x14ac:dyDescent="0.25">
      <c r="A172" s="78">
        <v>45683</v>
      </c>
      <c r="B172" s="55" t="s">
        <v>3230</v>
      </c>
      <c r="C172" s="54" t="s">
        <v>3232</v>
      </c>
      <c r="D172" s="25">
        <v>87</v>
      </c>
      <c r="E172" s="41">
        <f t="shared" si="3"/>
        <v>0</v>
      </c>
      <c r="F172" s="2"/>
    </row>
    <row r="173" spans="1:6" x14ac:dyDescent="0.25">
      <c r="A173" s="77">
        <v>45684</v>
      </c>
      <c r="B173" s="55" t="s">
        <v>3233</v>
      </c>
      <c r="C173" s="2"/>
      <c r="D173" s="25">
        <v>87</v>
      </c>
      <c r="E173" s="41">
        <f t="shared" si="3"/>
        <v>0</v>
      </c>
      <c r="F173" s="2"/>
    </row>
    <row r="174" spans="1:6" x14ac:dyDescent="0.25">
      <c r="A174" s="77">
        <v>45685</v>
      </c>
      <c r="B174" s="2" t="s">
        <v>3240</v>
      </c>
      <c r="C174" s="2"/>
      <c r="D174" s="25">
        <v>70</v>
      </c>
      <c r="E174" s="41">
        <f t="shared" si="3"/>
        <v>-17</v>
      </c>
      <c r="F174" s="2"/>
    </row>
    <row r="175" spans="1:6" x14ac:dyDescent="0.25">
      <c r="A175" s="77">
        <v>45686</v>
      </c>
      <c r="B175" s="2" t="s">
        <v>3255</v>
      </c>
      <c r="C175" s="2"/>
      <c r="D175" s="25">
        <v>70.599999999999994</v>
      </c>
      <c r="E175" s="41">
        <f t="shared" si="3"/>
        <v>0.59999999999999432</v>
      </c>
      <c r="F175" s="2"/>
    </row>
    <row r="176" spans="1:6" x14ac:dyDescent="0.25">
      <c r="A176" s="77">
        <v>45687</v>
      </c>
      <c r="B176" s="2" t="s">
        <v>3258</v>
      </c>
      <c r="C176" s="2"/>
      <c r="D176" s="25">
        <v>70.900000000000006</v>
      </c>
      <c r="E176" s="41">
        <f t="shared" si="3"/>
        <v>0.30000000000001137</v>
      </c>
      <c r="F176" s="2"/>
    </row>
    <row r="177" spans="1:6" x14ac:dyDescent="0.25">
      <c r="A177" s="77">
        <v>45688</v>
      </c>
      <c r="B177" s="2" t="s">
        <v>3264</v>
      </c>
      <c r="C177" s="2"/>
      <c r="D177" s="25">
        <v>71.5</v>
      </c>
      <c r="E177" s="41">
        <f t="shared" si="3"/>
        <v>0.59999999999999432</v>
      </c>
      <c r="F177" s="2"/>
    </row>
    <row r="178" spans="1:6" x14ac:dyDescent="0.25">
      <c r="A178" s="77">
        <v>45689</v>
      </c>
      <c r="B178" s="2" t="s">
        <v>3271</v>
      </c>
      <c r="C178" s="2"/>
      <c r="D178" s="25">
        <v>72</v>
      </c>
      <c r="E178" s="41">
        <f t="shared" si="3"/>
        <v>0.5</v>
      </c>
      <c r="F178" s="2"/>
    </row>
    <row r="179" spans="1:6" x14ac:dyDescent="0.25">
      <c r="A179" s="77">
        <v>45690</v>
      </c>
      <c r="B179" s="2" t="s">
        <v>3270</v>
      </c>
      <c r="C179" s="2"/>
      <c r="D179" s="23">
        <v>72.599999999999994</v>
      </c>
      <c r="E179" s="41">
        <f t="shared" si="3"/>
        <v>0.59999999999999432</v>
      </c>
      <c r="F179" s="2"/>
    </row>
    <row r="180" spans="1:6" x14ac:dyDescent="0.25">
      <c r="A180" s="77">
        <v>45691</v>
      </c>
      <c r="B180" s="2" t="s">
        <v>3279</v>
      </c>
      <c r="C180" s="2"/>
      <c r="D180" s="23">
        <v>73.7</v>
      </c>
      <c r="E180" s="41">
        <f t="shared" si="3"/>
        <v>1.1000000000000085</v>
      </c>
      <c r="F180" s="2"/>
    </row>
    <row r="181" spans="1:6" ht="30" x14ac:dyDescent="0.25">
      <c r="A181" s="79">
        <v>45692</v>
      </c>
      <c r="B181" s="6" t="s">
        <v>3289</v>
      </c>
      <c r="C181" s="40" t="s">
        <v>3290</v>
      </c>
      <c r="D181" s="25">
        <v>74.5</v>
      </c>
      <c r="E181" s="25">
        <f t="shared" si="3"/>
        <v>0.79999999999999716</v>
      </c>
      <c r="F181" s="2"/>
    </row>
    <row r="182" spans="1:6" x14ac:dyDescent="0.25">
      <c r="A182" s="79">
        <v>45693</v>
      </c>
      <c r="B182" s="6" t="s">
        <v>3305</v>
      </c>
      <c r="C182" s="2"/>
      <c r="D182" s="23">
        <v>75.2</v>
      </c>
      <c r="E182" s="25">
        <f t="shared" si="3"/>
        <v>0.70000000000000284</v>
      </c>
      <c r="F182" s="2"/>
    </row>
    <row r="183" spans="1:6" x14ac:dyDescent="0.25">
      <c r="A183" s="79">
        <v>45694</v>
      </c>
      <c r="B183" s="6" t="s">
        <v>3304</v>
      </c>
      <c r="C183" s="2"/>
      <c r="D183" s="23">
        <v>75.8</v>
      </c>
      <c r="E183" s="25">
        <f t="shared" si="3"/>
        <v>0.59999999999999432</v>
      </c>
      <c r="F183" s="2"/>
    </row>
    <row r="184" spans="1:6" x14ac:dyDescent="0.25">
      <c r="A184" s="79">
        <v>45695</v>
      </c>
      <c r="B184" s="6" t="s">
        <v>3313</v>
      </c>
      <c r="C184" s="2"/>
      <c r="D184" s="23">
        <v>77.3</v>
      </c>
      <c r="E184" s="25">
        <f t="shared" ref="E184:E246" si="4">D184-D183</f>
        <v>1.5</v>
      </c>
      <c r="F184" s="2"/>
    </row>
    <row r="185" spans="1:6" x14ac:dyDescent="0.25">
      <c r="A185" s="79">
        <v>45696</v>
      </c>
      <c r="B185" s="6" t="s">
        <v>3318</v>
      </c>
      <c r="C185" s="2"/>
      <c r="D185" s="23">
        <v>79</v>
      </c>
      <c r="E185" s="25">
        <f t="shared" si="4"/>
        <v>1.7000000000000028</v>
      </c>
      <c r="F185" s="2"/>
    </row>
    <row r="186" spans="1:6" x14ac:dyDescent="0.25">
      <c r="A186" s="79">
        <v>45697</v>
      </c>
      <c r="B186" s="6" t="s">
        <v>3321</v>
      </c>
      <c r="C186" s="2"/>
      <c r="D186" s="23">
        <v>81.5</v>
      </c>
      <c r="E186" s="25">
        <f t="shared" si="4"/>
        <v>2.5</v>
      </c>
      <c r="F186" s="2"/>
    </row>
    <row r="187" spans="1:6" x14ac:dyDescent="0.25">
      <c r="A187" s="79">
        <v>45698</v>
      </c>
      <c r="B187" s="6" t="s">
        <v>3325</v>
      </c>
      <c r="C187" s="2"/>
      <c r="D187" s="23">
        <v>82.5</v>
      </c>
      <c r="E187" s="25">
        <f t="shared" si="4"/>
        <v>1</v>
      </c>
      <c r="F187" s="2"/>
    </row>
    <row r="188" spans="1:6" x14ac:dyDescent="0.25">
      <c r="A188" s="79">
        <v>45699</v>
      </c>
      <c r="B188" s="6" t="s">
        <v>3333</v>
      </c>
      <c r="C188" s="2"/>
      <c r="D188" s="23">
        <v>84</v>
      </c>
      <c r="E188" s="25">
        <f t="shared" si="4"/>
        <v>1.5</v>
      </c>
      <c r="F188" s="2"/>
    </row>
    <row r="189" spans="1:6" x14ac:dyDescent="0.25">
      <c r="A189" s="79">
        <v>45700</v>
      </c>
      <c r="B189" s="6" t="s">
        <v>3332</v>
      </c>
      <c r="C189" s="2"/>
      <c r="D189" s="23">
        <v>85.7</v>
      </c>
      <c r="E189" s="25">
        <f t="shared" si="4"/>
        <v>1.7000000000000028</v>
      </c>
      <c r="F189" s="2"/>
    </row>
    <row r="190" spans="1:6" x14ac:dyDescent="0.25">
      <c r="A190" s="79">
        <v>45701</v>
      </c>
      <c r="B190" s="6" t="s">
        <v>3340</v>
      </c>
      <c r="C190" s="2" t="s">
        <v>3341</v>
      </c>
      <c r="D190" s="23">
        <v>86</v>
      </c>
      <c r="E190" s="25">
        <f t="shared" si="4"/>
        <v>0.29999999999999716</v>
      </c>
      <c r="F190" s="2"/>
    </row>
    <row r="191" spans="1:6" x14ac:dyDescent="0.25">
      <c r="A191" s="79">
        <v>45702</v>
      </c>
      <c r="B191" s="2" t="s">
        <v>3345</v>
      </c>
      <c r="C191" s="2"/>
      <c r="D191" s="33">
        <v>86</v>
      </c>
      <c r="E191" s="25">
        <f t="shared" si="4"/>
        <v>0</v>
      </c>
      <c r="F191" s="2"/>
    </row>
    <row r="192" spans="1:6" x14ac:dyDescent="0.25">
      <c r="A192" s="79">
        <v>45703</v>
      </c>
      <c r="B192" s="2" t="s">
        <v>3359</v>
      </c>
      <c r="C192" s="2"/>
      <c r="D192" s="23">
        <v>68.5</v>
      </c>
      <c r="E192" s="25">
        <f t="shared" si="4"/>
        <v>-17.5</v>
      </c>
      <c r="F192" s="2"/>
    </row>
    <row r="193" spans="1:6" x14ac:dyDescent="0.25">
      <c r="A193" s="79">
        <v>45704</v>
      </c>
      <c r="B193" s="2" t="s">
        <v>3359</v>
      </c>
      <c r="C193" s="2"/>
      <c r="D193" s="23">
        <v>68.5</v>
      </c>
      <c r="E193" s="25">
        <f t="shared" si="4"/>
        <v>0</v>
      </c>
      <c r="F193" s="2"/>
    </row>
    <row r="194" spans="1:6" x14ac:dyDescent="0.25">
      <c r="A194" s="79">
        <v>45705</v>
      </c>
      <c r="B194" s="2" t="s">
        <v>3360</v>
      </c>
      <c r="C194" s="2"/>
      <c r="D194" s="23">
        <v>70</v>
      </c>
      <c r="E194" s="25">
        <f t="shared" si="4"/>
        <v>1.5</v>
      </c>
      <c r="F194" s="2"/>
    </row>
    <row r="195" spans="1:6" x14ac:dyDescent="0.25">
      <c r="A195" s="79">
        <v>45706</v>
      </c>
      <c r="B195" s="2" t="s">
        <v>3361</v>
      </c>
      <c r="C195" s="2"/>
      <c r="D195" s="23">
        <v>71.2</v>
      </c>
      <c r="E195" s="25">
        <f t="shared" si="4"/>
        <v>1.2000000000000028</v>
      </c>
      <c r="F195" s="2"/>
    </row>
    <row r="196" spans="1:6" x14ac:dyDescent="0.25">
      <c r="A196" s="79">
        <v>45707</v>
      </c>
      <c r="B196" s="2" t="s">
        <v>3363</v>
      </c>
      <c r="C196" s="2"/>
      <c r="D196" s="23">
        <v>72.5</v>
      </c>
      <c r="E196" s="25">
        <f t="shared" si="4"/>
        <v>1.2999999999999972</v>
      </c>
      <c r="F196" s="2"/>
    </row>
    <row r="197" spans="1:6" x14ac:dyDescent="0.25">
      <c r="A197" s="79">
        <v>45708</v>
      </c>
      <c r="B197" s="2" t="s">
        <v>3365</v>
      </c>
      <c r="C197" s="2"/>
      <c r="D197" s="23">
        <v>73.3</v>
      </c>
      <c r="E197" s="25">
        <f t="shared" si="4"/>
        <v>0.79999999999999716</v>
      </c>
      <c r="F197" s="2"/>
    </row>
    <row r="198" spans="1:6" x14ac:dyDescent="0.25">
      <c r="A198" s="79">
        <v>45709</v>
      </c>
      <c r="B198" s="2" t="s">
        <v>3369</v>
      </c>
      <c r="C198" s="2"/>
      <c r="D198" s="23">
        <v>75</v>
      </c>
      <c r="E198" s="25">
        <f t="shared" si="4"/>
        <v>1.7000000000000028</v>
      </c>
      <c r="F198" s="2"/>
    </row>
    <row r="199" spans="1:6" x14ac:dyDescent="0.25">
      <c r="A199" s="79">
        <v>45710</v>
      </c>
      <c r="B199" s="2" t="s">
        <v>3375</v>
      </c>
      <c r="C199" s="2"/>
      <c r="D199" s="23">
        <v>76.8</v>
      </c>
      <c r="E199" s="25">
        <f t="shared" si="4"/>
        <v>1.7999999999999972</v>
      </c>
      <c r="F199" s="2"/>
    </row>
    <row r="200" spans="1:6" x14ac:dyDescent="0.25">
      <c r="A200" s="79">
        <v>45711</v>
      </c>
      <c r="B200" s="2" t="s">
        <v>3376</v>
      </c>
      <c r="C200" s="2"/>
      <c r="D200" s="23">
        <v>78.7</v>
      </c>
      <c r="E200" s="25">
        <f t="shared" si="4"/>
        <v>1.9000000000000057</v>
      </c>
      <c r="F200" s="2"/>
    </row>
    <row r="201" spans="1:6" x14ac:dyDescent="0.25">
      <c r="A201" s="79">
        <v>45712</v>
      </c>
      <c r="B201" s="2" t="s">
        <v>3384</v>
      </c>
      <c r="C201" s="2"/>
      <c r="D201" s="33">
        <v>86</v>
      </c>
      <c r="E201" s="25">
        <f t="shared" si="4"/>
        <v>7.2999999999999972</v>
      </c>
      <c r="F201" s="2"/>
    </row>
    <row r="202" spans="1:6" x14ac:dyDescent="0.25">
      <c r="A202" s="79">
        <v>45713</v>
      </c>
      <c r="B202" s="2" t="s">
        <v>3394</v>
      </c>
      <c r="C202" s="2"/>
      <c r="D202" s="23">
        <v>86</v>
      </c>
      <c r="E202" s="25">
        <f t="shared" si="4"/>
        <v>0</v>
      </c>
      <c r="F202" s="2"/>
    </row>
    <row r="203" spans="1:6" x14ac:dyDescent="0.25">
      <c r="A203" s="79">
        <v>45714</v>
      </c>
      <c r="B203" s="2" t="s">
        <v>285</v>
      </c>
      <c r="C203" s="2"/>
      <c r="D203" s="23">
        <v>86</v>
      </c>
      <c r="E203" s="25">
        <f t="shared" si="4"/>
        <v>0</v>
      </c>
      <c r="F203" s="2"/>
    </row>
    <row r="204" spans="1:6" x14ac:dyDescent="0.25">
      <c r="A204" s="79">
        <v>45715</v>
      </c>
      <c r="B204" s="2" t="s">
        <v>3402</v>
      </c>
      <c r="C204" s="2"/>
      <c r="D204" s="23">
        <v>86</v>
      </c>
      <c r="E204" s="25">
        <f t="shared" si="4"/>
        <v>0</v>
      </c>
      <c r="F204" s="2"/>
    </row>
    <row r="205" spans="1:6" x14ac:dyDescent="0.25">
      <c r="A205" s="79">
        <v>45716</v>
      </c>
      <c r="B205" s="2" t="s">
        <v>3412</v>
      </c>
      <c r="C205" s="2"/>
      <c r="D205" s="23">
        <v>86</v>
      </c>
      <c r="E205" s="25">
        <f t="shared" si="4"/>
        <v>0</v>
      </c>
      <c r="F205" s="2"/>
    </row>
    <row r="206" spans="1:6" x14ac:dyDescent="0.25">
      <c r="A206" s="79">
        <v>45717</v>
      </c>
      <c r="B206" s="2" t="s">
        <v>3412</v>
      </c>
      <c r="C206" s="2"/>
      <c r="D206" s="23">
        <v>86</v>
      </c>
      <c r="E206" s="25">
        <f t="shared" si="4"/>
        <v>0</v>
      </c>
      <c r="F206" s="2"/>
    </row>
    <row r="207" spans="1:6" x14ac:dyDescent="0.25">
      <c r="A207" s="79">
        <v>45718</v>
      </c>
      <c r="B207" s="2" t="s">
        <v>3424</v>
      </c>
      <c r="C207" s="2" t="s">
        <v>3431</v>
      </c>
      <c r="D207" s="23">
        <v>86</v>
      </c>
      <c r="E207" s="25">
        <f t="shared" si="4"/>
        <v>0</v>
      </c>
      <c r="F207" s="2"/>
    </row>
    <row r="208" spans="1:6" x14ac:dyDescent="0.25">
      <c r="A208" s="79">
        <v>45719</v>
      </c>
      <c r="B208" s="2" t="s">
        <v>3442</v>
      </c>
      <c r="C208" s="2"/>
      <c r="D208" s="23">
        <v>70</v>
      </c>
      <c r="E208" s="25">
        <f t="shared" si="4"/>
        <v>-16</v>
      </c>
      <c r="F208" s="2"/>
    </row>
    <row r="209" spans="1:6" x14ac:dyDescent="0.25">
      <c r="A209" s="79">
        <v>45720</v>
      </c>
      <c r="B209" s="2" t="s">
        <v>3447</v>
      </c>
      <c r="C209" s="2"/>
      <c r="D209" s="23">
        <v>70</v>
      </c>
      <c r="E209" s="25">
        <f t="shared" si="4"/>
        <v>0</v>
      </c>
      <c r="F209" s="2"/>
    </row>
    <row r="210" spans="1:6" x14ac:dyDescent="0.25">
      <c r="A210" s="79">
        <v>45721</v>
      </c>
      <c r="B210" s="2" t="s">
        <v>3448</v>
      </c>
      <c r="C210" s="2"/>
      <c r="D210" s="23">
        <v>70</v>
      </c>
      <c r="E210" s="25">
        <f t="shared" si="4"/>
        <v>0</v>
      </c>
      <c r="F210" s="2"/>
    </row>
    <row r="211" spans="1:6" x14ac:dyDescent="0.25">
      <c r="A211" s="79">
        <v>45722</v>
      </c>
      <c r="B211" s="2" t="s">
        <v>3463</v>
      </c>
      <c r="C211" s="2"/>
      <c r="D211" s="23">
        <v>80</v>
      </c>
      <c r="E211" s="25">
        <f t="shared" si="4"/>
        <v>10</v>
      </c>
      <c r="F211" s="2"/>
    </row>
    <row r="212" spans="1:6" x14ac:dyDescent="0.25">
      <c r="A212" s="79">
        <v>45723</v>
      </c>
      <c r="B212" s="2" t="s">
        <v>3462</v>
      </c>
      <c r="C212" s="2"/>
      <c r="D212" s="23">
        <v>84</v>
      </c>
      <c r="E212" s="25">
        <f t="shared" si="4"/>
        <v>4</v>
      </c>
      <c r="F212" s="2"/>
    </row>
    <row r="213" spans="1:6" x14ac:dyDescent="0.25">
      <c r="A213" s="79">
        <v>45724</v>
      </c>
      <c r="B213" s="2" t="s">
        <v>3462</v>
      </c>
      <c r="C213" s="2"/>
      <c r="D213" s="23">
        <v>84</v>
      </c>
      <c r="E213" s="25">
        <f t="shared" si="4"/>
        <v>0</v>
      </c>
      <c r="F213" s="2"/>
    </row>
    <row r="214" spans="1:6" x14ac:dyDescent="0.25">
      <c r="A214" s="79">
        <v>45725</v>
      </c>
      <c r="B214" s="2" t="s">
        <v>3488</v>
      </c>
      <c r="C214" s="2" t="s">
        <v>3487</v>
      </c>
      <c r="D214" s="23">
        <v>87</v>
      </c>
      <c r="E214" s="25">
        <f t="shared" si="4"/>
        <v>3</v>
      </c>
      <c r="F214" s="2"/>
    </row>
    <row r="215" spans="1:6" x14ac:dyDescent="0.25">
      <c r="A215" s="79">
        <v>45726</v>
      </c>
      <c r="B215" s="2" t="s">
        <v>3462</v>
      </c>
      <c r="C215" s="2" t="s">
        <v>3487</v>
      </c>
      <c r="D215" s="23">
        <v>84</v>
      </c>
      <c r="E215" s="25">
        <f t="shared" si="4"/>
        <v>-3</v>
      </c>
      <c r="F215" s="2"/>
    </row>
    <row r="216" spans="1:6" x14ac:dyDescent="0.25">
      <c r="A216" s="79">
        <v>45727</v>
      </c>
      <c r="B216" s="2" t="s">
        <v>3495</v>
      </c>
      <c r="C216" s="2"/>
      <c r="D216" s="23">
        <v>84</v>
      </c>
      <c r="E216" s="25">
        <f t="shared" si="4"/>
        <v>0</v>
      </c>
      <c r="F216" s="2"/>
    </row>
    <row r="217" spans="1:6" x14ac:dyDescent="0.25">
      <c r="A217" s="79">
        <v>45728</v>
      </c>
      <c r="B217" s="2" t="s">
        <v>3499</v>
      </c>
      <c r="C217" s="2"/>
      <c r="D217" s="23">
        <v>87.7</v>
      </c>
      <c r="E217" s="25">
        <f t="shared" si="4"/>
        <v>3.7000000000000028</v>
      </c>
      <c r="F217" s="2"/>
    </row>
    <row r="218" spans="1:6" x14ac:dyDescent="0.25">
      <c r="A218" s="79">
        <v>45729</v>
      </c>
      <c r="B218" s="2" t="s">
        <v>3511</v>
      </c>
      <c r="C218" s="2"/>
      <c r="D218" s="23">
        <v>89</v>
      </c>
      <c r="E218" s="25">
        <f t="shared" si="4"/>
        <v>1.2999999999999972</v>
      </c>
      <c r="F218" s="2"/>
    </row>
    <row r="219" spans="1:6" x14ac:dyDescent="0.25">
      <c r="A219" s="79">
        <v>45730</v>
      </c>
      <c r="B219" s="2" t="s">
        <v>3526</v>
      </c>
      <c r="C219" s="2"/>
      <c r="D219" s="23">
        <v>89</v>
      </c>
      <c r="E219" s="25">
        <f t="shared" si="4"/>
        <v>0</v>
      </c>
      <c r="F219" s="2"/>
    </row>
    <row r="220" spans="1:6" x14ac:dyDescent="0.25">
      <c r="A220" s="79">
        <v>45731</v>
      </c>
      <c r="B220" s="2" t="s">
        <v>3525</v>
      </c>
      <c r="C220" s="2"/>
      <c r="D220" s="23">
        <v>89</v>
      </c>
      <c r="E220" s="25">
        <f t="shared" si="4"/>
        <v>0</v>
      </c>
      <c r="F220" s="2"/>
    </row>
    <row r="221" spans="1:6" x14ac:dyDescent="0.25">
      <c r="A221" s="79">
        <v>45732</v>
      </c>
      <c r="B221" s="2" t="s">
        <v>3545</v>
      </c>
      <c r="C221" s="2"/>
      <c r="D221" s="23">
        <v>89.5</v>
      </c>
      <c r="E221" s="25">
        <f t="shared" si="4"/>
        <v>0.5</v>
      </c>
      <c r="F221" s="2"/>
    </row>
    <row r="222" spans="1:6" x14ac:dyDescent="0.25">
      <c r="A222" s="79">
        <v>45733</v>
      </c>
      <c r="B222" s="2" t="s">
        <v>3544</v>
      </c>
      <c r="C222" s="2"/>
      <c r="D222" s="23">
        <v>89.8</v>
      </c>
      <c r="E222" s="25">
        <f t="shared" si="4"/>
        <v>0.29999999999999716</v>
      </c>
      <c r="F222" s="2"/>
    </row>
    <row r="223" spans="1:6" x14ac:dyDescent="0.25">
      <c r="A223" s="79">
        <v>45734</v>
      </c>
      <c r="B223" s="2" t="s">
        <v>3546</v>
      </c>
      <c r="C223" s="2"/>
      <c r="D223" s="23">
        <v>90</v>
      </c>
      <c r="E223" s="25">
        <f t="shared" si="4"/>
        <v>0.20000000000000284</v>
      </c>
      <c r="F223" s="2"/>
    </row>
    <row r="224" spans="1:6" x14ac:dyDescent="0.25">
      <c r="A224" s="79">
        <v>45735</v>
      </c>
      <c r="B224" s="2" t="s">
        <v>2355</v>
      </c>
      <c r="C224" s="2"/>
      <c r="D224" s="23">
        <v>90</v>
      </c>
      <c r="E224" s="25">
        <f t="shared" si="4"/>
        <v>0</v>
      </c>
      <c r="F224" s="2"/>
    </row>
    <row r="225" spans="1:6" x14ac:dyDescent="0.25">
      <c r="A225" s="79">
        <v>45736</v>
      </c>
      <c r="B225" s="2" t="s">
        <v>2355</v>
      </c>
      <c r="C225" s="2"/>
      <c r="D225" s="23">
        <v>90</v>
      </c>
      <c r="E225" s="25">
        <f t="shared" si="4"/>
        <v>0</v>
      </c>
      <c r="F225" s="2"/>
    </row>
    <row r="226" spans="1:6" x14ac:dyDescent="0.25">
      <c r="A226" s="79">
        <v>45737</v>
      </c>
      <c r="B226" s="2"/>
      <c r="C226" s="2"/>
      <c r="D226" s="23">
        <v>90</v>
      </c>
      <c r="E226" s="25">
        <f t="shared" si="4"/>
        <v>0</v>
      </c>
      <c r="F226" s="2"/>
    </row>
    <row r="227" spans="1:6" x14ac:dyDescent="0.25">
      <c r="A227" s="79">
        <v>45738</v>
      </c>
      <c r="B227" s="2"/>
      <c r="C227" s="2"/>
      <c r="D227" s="23">
        <v>90</v>
      </c>
      <c r="E227" s="25">
        <f t="shared" si="4"/>
        <v>0</v>
      </c>
      <c r="F227" s="2"/>
    </row>
    <row r="228" spans="1:6" x14ac:dyDescent="0.25">
      <c r="A228" s="79">
        <v>45739</v>
      </c>
      <c r="B228" s="2" t="s">
        <v>1178</v>
      </c>
      <c r="C228" s="2"/>
      <c r="D228" s="23">
        <v>90</v>
      </c>
      <c r="E228" s="25">
        <f t="shared" si="4"/>
        <v>0</v>
      </c>
      <c r="F228" s="2"/>
    </row>
    <row r="229" spans="1:6" x14ac:dyDescent="0.25">
      <c r="A229" s="79">
        <v>45740</v>
      </c>
      <c r="B229" s="2" t="s">
        <v>1166</v>
      </c>
      <c r="C229" s="2"/>
      <c r="D229" s="23">
        <v>90</v>
      </c>
      <c r="E229" s="25">
        <f t="shared" si="4"/>
        <v>0</v>
      </c>
      <c r="F229" s="2"/>
    </row>
    <row r="230" spans="1:6" x14ac:dyDescent="0.25">
      <c r="A230" s="79">
        <v>45741</v>
      </c>
      <c r="B230" s="2" t="s">
        <v>3587</v>
      </c>
      <c r="C230" s="2"/>
      <c r="D230" s="23">
        <v>90</v>
      </c>
      <c r="E230" s="25">
        <f t="shared" si="4"/>
        <v>0</v>
      </c>
      <c r="F230" s="2"/>
    </row>
    <row r="231" spans="1:6" x14ac:dyDescent="0.25">
      <c r="A231" s="79">
        <v>45742</v>
      </c>
      <c r="B231" s="2"/>
      <c r="C231" s="2"/>
      <c r="D231" s="23">
        <v>90</v>
      </c>
      <c r="E231" s="25">
        <f t="shared" si="4"/>
        <v>0</v>
      </c>
      <c r="F231" s="2"/>
    </row>
    <row r="232" spans="1:6" x14ac:dyDescent="0.25">
      <c r="A232" s="79">
        <v>45743</v>
      </c>
      <c r="B232" s="2"/>
      <c r="C232" s="2"/>
      <c r="D232" s="23">
        <v>90</v>
      </c>
      <c r="E232" s="25">
        <f t="shared" si="4"/>
        <v>0</v>
      </c>
      <c r="F232" s="2"/>
    </row>
    <row r="233" spans="1:6" x14ac:dyDescent="0.25">
      <c r="A233" s="79">
        <v>45744</v>
      </c>
      <c r="B233" s="2"/>
      <c r="C233" s="2"/>
      <c r="D233" s="23">
        <v>90</v>
      </c>
      <c r="E233" s="25">
        <f t="shared" si="4"/>
        <v>0</v>
      </c>
      <c r="F233" s="2"/>
    </row>
    <row r="234" spans="1:6" x14ac:dyDescent="0.25">
      <c r="A234" s="79">
        <v>45745</v>
      </c>
      <c r="B234" s="2"/>
      <c r="C234" s="2"/>
      <c r="D234" s="23">
        <v>90</v>
      </c>
      <c r="E234" s="25">
        <f t="shared" si="4"/>
        <v>0</v>
      </c>
      <c r="F234" s="2"/>
    </row>
    <row r="235" spans="1:6" x14ac:dyDescent="0.25">
      <c r="A235" s="79">
        <v>45746</v>
      </c>
      <c r="B235" s="2"/>
      <c r="C235" s="2"/>
      <c r="D235" s="23">
        <v>90</v>
      </c>
      <c r="E235" s="25">
        <f t="shared" si="4"/>
        <v>0</v>
      </c>
      <c r="F235" s="2"/>
    </row>
    <row r="236" spans="1:6" x14ac:dyDescent="0.25">
      <c r="A236" s="79">
        <v>45747</v>
      </c>
      <c r="B236" s="2"/>
      <c r="C236" s="2"/>
      <c r="D236" s="23">
        <v>90</v>
      </c>
      <c r="E236" s="25">
        <f t="shared" si="4"/>
        <v>0</v>
      </c>
      <c r="F236" s="2"/>
    </row>
    <row r="237" spans="1:6" x14ac:dyDescent="0.25">
      <c r="A237" s="79">
        <v>45748</v>
      </c>
      <c r="B237" s="2"/>
      <c r="C237" s="2"/>
      <c r="D237" s="23">
        <v>90</v>
      </c>
      <c r="E237" s="25">
        <f t="shared" si="4"/>
        <v>0</v>
      </c>
      <c r="F237" s="2"/>
    </row>
    <row r="238" spans="1:6" x14ac:dyDescent="0.25">
      <c r="A238" s="79">
        <v>45749</v>
      </c>
      <c r="B238" s="2"/>
      <c r="C238" s="2"/>
      <c r="D238" s="23">
        <v>90</v>
      </c>
      <c r="E238" s="25">
        <f t="shared" si="4"/>
        <v>0</v>
      </c>
      <c r="F238" s="2"/>
    </row>
    <row r="239" spans="1:6" x14ac:dyDescent="0.25">
      <c r="A239" s="79">
        <v>45750</v>
      </c>
      <c r="B239" s="2"/>
      <c r="C239" s="2"/>
      <c r="D239" s="23">
        <v>90</v>
      </c>
      <c r="E239" s="25">
        <f t="shared" si="4"/>
        <v>0</v>
      </c>
      <c r="F239" s="2"/>
    </row>
    <row r="240" spans="1:6" x14ac:dyDescent="0.25">
      <c r="A240" s="79">
        <v>45751</v>
      </c>
      <c r="B240" s="2"/>
      <c r="C240" s="2"/>
      <c r="D240" s="23">
        <v>90</v>
      </c>
      <c r="E240" s="25">
        <f t="shared" si="4"/>
        <v>0</v>
      </c>
      <c r="F240" s="2"/>
    </row>
    <row r="241" spans="1:6" x14ac:dyDescent="0.25">
      <c r="A241" s="79">
        <v>45752</v>
      </c>
      <c r="B241" s="2"/>
      <c r="C241" s="2"/>
      <c r="D241" s="23">
        <v>90</v>
      </c>
      <c r="E241" s="25">
        <f t="shared" si="4"/>
        <v>0</v>
      </c>
      <c r="F241" s="2"/>
    </row>
    <row r="242" spans="1:6" x14ac:dyDescent="0.25">
      <c r="A242" s="79">
        <v>45753</v>
      </c>
      <c r="B242" s="2"/>
      <c r="C242" s="2"/>
      <c r="D242" s="23">
        <v>90</v>
      </c>
      <c r="E242" s="25">
        <f t="shared" si="4"/>
        <v>0</v>
      </c>
      <c r="F242" s="2"/>
    </row>
    <row r="243" spans="1:6" x14ac:dyDescent="0.25">
      <c r="A243" s="79">
        <v>45754</v>
      </c>
      <c r="B243" s="2" t="s">
        <v>3634</v>
      </c>
      <c r="C243" s="2" t="s">
        <v>3636</v>
      </c>
      <c r="D243" s="23">
        <v>90</v>
      </c>
      <c r="E243" s="25">
        <f t="shared" si="4"/>
        <v>0</v>
      </c>
      <c r="F243" s="2"/>
    </row>
    <row r="244" spans="1:6" x14ac:dyDescent="0.25">
      <c r="A244" s="79">
        <v>45755</v>
      </c>
      <c r="B244" s="2" t="s">
        <v>3643</v>
      </c>
      <c r="C244" s="2" t="s">
        <v>3644</v>
      </c>
      <c r="D244" s="23">
        <v>87</v>
      </c>
      <c r="E244" s="25">
        <f t="shared" si="4"/>
        <v>-3</v>
      </c>
      <c r="F244" s="2"/>
    </row>
    <row r="245" spans="1:6" x14ac:dyDescent="0.25">
      <c r="A245" s="79">
        <v>45756</v>
      </c>
      <c r="B245" s="2" t="s">
        <v>3643</v>
      </c>
      <c r="C245" s="2"/>
      <c r="D245" s="23"/>
      <c r="E245" s="25">
        <f t="shared" si="4"/>
        <v>-87</v>
      </c>
      <c r="F245" s="2"/>
    </row>
    <row r="246" spans="1:6" x14ac:dyDescent="0.25">
      <c r="A246" s="79">
        <v>45757</v>
      </c>
      <c r="B246" s="2" t="s">
        <v>3643</v>
      </c>
      <c r="C246" s="2"/>
      <c r="D246" s="23"/>
      <c r="E246" s="25">
        <f t="shared" si="4"/>
        <v>0</v>
      </c>
      <c r="F246" s="2"/>
    </row>
    <row r="247" spans="1:6" x14ac:dyDescent="0.25">
      <c r="A247" s="79">
        <v>45758</v>
      </c>
      <c r="B247" s="2" t="s">
        <v>3643</v>
      </c>
      <c r="C247" s="2"/>
      <c r="D247" s="23"/>
      <c r="E247" s="2"/>
      <c r="F247" s="2"/>
    </row>
    <row r="248" spans="1:6" x14ac:dyDescent="0.25">
      <c r="A248" s="79">
        <v>45759</v>
      </c>
      <c r="B248" s="2" t="s">
        <v>3643</v>
      </c>
      <c r="C248" s="2"/>
      <c r="D248" s="23"/>
      <c r="E248" s="2"/>
      <c r="F248" s="2"/>
    </row>
    <row r="249" spans="1:6" x14ac:dyDescent="0.25">
      <c r="A249" s="79">
        <v>45760</v>
      </c>
      <c r="B249" s="2" t="s">
        <v>3643</v>
      </c>
      <c r="C249" s="2"/>
      <c r="D249" s="23"/>
      <c r="E249" s="2"/>
      <c r="F249" s="2"/>
    </row>
    <row r="250" spans="1:6" x14ac:dyDescent="0.25">
      <c r="A250" s="79">
        <v>45761</v>
      </c>
      <c r="B250" s="2" t="s">
        <v>3643</v>
      </c>
      <c r="C250" s="2"/>
      <c r="D250" s="23"/>
      <c r="E250" s="2"/>
      <c r="F250" s="2"/>
    </row>
    <row r="251" spans="1:6" x14ac:dyDescent="0.25">
      <c r="A251" s="79">
        <v>45762</v>
      </c>
      <c r="B251" s="2" t="s">
        <v>3643</v>
      </c>
      <c r="C251" s="2"/>
      <c r="D251" s="2"/>
      <c r="E251" s="2"/>
      <c r="F251" s="2"/>
    </row>
    <row r="252" spans="1:6" x14ac:dyDescent="0.25">
      <c r="A252" s="79">
        <v>45763</v>
      </c>
      <c r="B252" s="2" t="s">
        <v>3643</v>
      </c>
      <c r="C252" s="2"/>
      <c r="D252" s="2"/>
      <c r="E252" s="2"/>
      <c r="F252" s="2"/>
    </row>
    <row r="253" spans="1:6" x14ac:dyDescent="0.25">
      <c r="A253" s="79">
        <v>45764</v>
      </c>
      <c r="B253" s="2" t="s">
        <v>3643</v>
      </c>
      <c r="C253" s="2"/>
      <c r="D253" s="2"/>
      <c r="E253" s="2"/>
      <c r="F253" s="2"/>
    </row>
    <row r="254" spans="1:6" x14ac:dyDescent="0.25">
      <c r="A254" s="79">
        <v>45765</v>
      </c>
      <c r="B254" s="2" t="s">
        <v>3643</v>
      </c>
      <c r="C254" s="2"/>
      <c r="D254" s="2"/>
      <c r="E254" s="2"/>
      <c r="F254" s="2"/>
    </row>
    <row r="255" spans="1:6" x14ac:dyDescent="0.25">
      <c r="A255" s="79">
        <v>45766</v>
      </c>
      <c r="B255" s="2" t="s">
        <v>3643</v>
      </c>
      <c r="C255" s="2"/>
      <c r="D255" s="2"/>
      <c r="E255" s="2"/>
      <c r="F255" s="2"/>
    </row>
    <row r="256" spans="1:6" x14ac:dyDescent="0.25">
      <c r="A256" s="79">
        <v>45767</v>
      </c>
      <c r="B256" s="2" t="s">
        <v>3643</v>
      </c>
      <c r="C256" s="2"/>
      <c r="D256" s="2"/>
      <c r="E256" s="2"/>
      <c r="F256" s="2"/>
    </row>
    <row r="257" spans="1:6" x14ac:dyDescent="0.25">
      <c r="A257" s="79">
        <v>45768</v>
      </c>
      <c r="B257" s="2" t="s">
        <v>3643</v>
      </c>
      <c r="C257" s="2"/>
      <c r="D257" s="2"/>
      <c r="E257" s="2"/>
      <c r="F257" s="2"/>
    </row>
    <row r="258" spans="1:6" x14ac:dyDescent="0.25">
      <c r="A258" s="79">
        <v>45769</v>
      </c>
      <c r="B258" s="2" t="s">
        <v>3643</v>
      </c>
      <c r="C258" s="2"/>
      <c r="D258" s="2"/>
      <c r="E258" s="2"/>
      <c r="F258" s="2"/>
    </row>
    <row r="259" spans="1:6" x14ac:dyDescent="0.25">
      <c r="A259" s="79">
        <v>45770</v>
      </c>
      <c r="B259" s="2" t="s">
        <v>3643</v>
      </c>
      <c r="C259" s="2"/>
      <c r="D259" s="2"/>
      <c r="E259" s="2"/>
      <c r="F259" s="2"/>
    </row>
    <row r="260" spans="1:6" x14ac:dyDescent="0.25">
      <c r="A260" s="79">
        <v>45771</v>
      </c>
      <c r="B260" s="2" t="s">
        <v>3643</v>
      </c>
      <c r="C260" s="2"/>
      <c r="D260" s="2"/>
      <c r="E260" s="2"/>
      <c r="F260" s="2"/>
    </row>
    <row r="261" spans="1:6" x14ac:dyDescent="0.25">
      <c r="A261" s="79">
        <v>45772</v>
      </c>
      <c r="B261" s="2" t="s">
        <v>3643</v>
      </c>
      <c r="C261" s="2"/>
      <c r="D261" s="2"/>
      <c r="E261" s="2"/>
      <c r="F261" s="2"/>
    </row>
    <row r="262" spans="1:6" x14ac:dyDescent="0.25">
      <c r="A262" s="79">
        <v>45773</v>
      </c>
      <c r="B262" s="2" t="s">
        <v>3643</v>
      </c>
      <c r="C262" s="2"/>
      <c r="D262" s="2"/>
      <c r="E262" s="2"/>
      <c r="F262" s="2"/>
    </row>
    <row r="263" spans="1:6" x14ac:dyDescent="0.25">
      <c r="A263" s="79">
        <v>45774</v>
      </c>
      <c r="B263" s="2" t="s">
        <v>3643</v>
      </c>
      <c r="C263" s="2"/>
      <c r="D263" s="2"/>
      <c r="E263" s="2"/>
      <c r="F263" s="2"/>
    </row>
    <row r="264" spans="1:6" x14ac:dyDescent="0.25">
      <c r="A264" s="79">
        <v>45775</v>
      </c>
      <c r="B264" s="2" t="s">
        <v>3643</v>
      </c>
      <c r="C264" s="2"/>
      <c r="D264" s="2"/>
      <c r="E264" s="2"/>
      <c r="F264" s="2"/>
    </row>
    <row r="265" spans="1:6" x14ac:dyDescent="0.25">
      <c r="A265" s="79">
        <v>45776</v>
      </c>
      <c r="B265" s="2" t="s">
        <v>3643</v>
      </c>
      <c r="C265" s="2"/>
      <c r="D265" s="2"/>
      <c r="E265" s="2"/>
      <c r="F265" s="2"/>
    </row>
    <row r="266" spans="1:6" x14ac:dyDescent="0.25">
      <c r="A266" s="79">
        <v>45777</v>
      </c>
      <c r="B266" s="2" t="s">
        <v>3643</v>
      </c>
      <c r="C266" s="2"/>
      <c r="D266" s="2"/>
      <c r="E266" s="2"/>
      <c r="F266" s="2"/>
    </row>
    <row r="267" spans="1:6" x14ac:dyDescent="0.25">
      <c r="A267" s="79">
        <v>45778</v>
      </c>
      <c r="B267" s="2" t="s">
        <v>3643</v>
      </c>
      <c r="C267" s="2"/>
      <c r="D267" s="2"/>
      <c r="E267" s="2"/>
      <c r="F267" s="2"/>
    </row>
    <row r="268" spans="1:6" x14ac:dyDescent="0.25">
      <c r="A268" s="79">
        <v>45779</v>
      </c>
      <c r="B268" s="2" t="s">
        <v>3643</v>
      </c>
      <c r="C268" s="2"/>
      <c r="D268" s="2"/>
      <c r="E268" s="2"/>
      <c r="F268" s="2"/>
    </row>
    <row r="269" spans="1:6" x14ac:dyDescent="0.25">
      <c r="A269" s="79">
        <v>45780</v>
      </c>
      <c r="B269" s="2"/>
      <c r="C269" s="2"/>
      <c r="D269" s="2"/>
      <c r="E269" s="2"/>
      <c r="F269" s="2"/>
    </row>
    <row r="270" spans="1:6" x14ac:dyDescent="0.25">
      <c r="A270" s="79">
        <v>45781</v>
      </c>
      <c r="B270" s="2"/>
      <c r="C270" s="2"/>
      <c r="D270" s="2"/>
      <c r="E270" s="2"/>
      <c r="F270" s="2"/>
    </row>
    <row r="271" spans="1:6" x14ac:dyDescent="0.25">
      <c r="A271" s="79">
        <v>45782</v>
      </c>
      <c r="B271" s="2"/>
      <c r="C271" s="2"/>
      <c r="D271" s="2"/>
      <c r="E271" s="2"/>
      <c r="F271" s="2"/>
    </row>
    <row r="272" spans="1:6" x14ac:dyDescent="0.25">
      <c r="A272" s="79">
        <v>45783</v>
      </c>
      <c r="B272" s="2"/>
      <c r="C272" s="2"/>
      <c r="D272" s="2"/>
      <c r="E272" s="2"/>
      <c r="F272" s="2"/>
    </row>
    <row r="273" spans="1:6" x14ac:dyDescent="0.25">
      <c r="A273" s="79">
        <v>45784</v>
      </c>
      <c r="B273" s="2"/>
      <c r="C273" s="2"/>
      <c r="D273" s="2"/>
      <c r="E273" s="2"/>
      <c r="F273" s="2"/>
    </row>
    <row r="274" spans="1:6" x14ac:dyDescent="0.25">
      <c r="A274" s="79">
        <v>45785</v>
      </c>
      <c r="B274" s="2"/>
      <c r="C274" s="2"/>
      <c r="D274" s="2"/>
      <c r="E274" s="2"/>
      <c r="F274" s="2"/>
    </row>
    <row r="275" spans="1:6" x14ac:dyDescent="0.25">
      <c r="A275" s="79">
        <v>45786</v>
      </c>
      <c r="B275" s="2"/>
      <c r="C275" s="2"/>
      <c r="D275" s="2"/>
      <c r="E275" s="2"/>
      <c r="F275" s="2"/>
    </row>
    <row r="276" spans="1:6" x14ac:dyDescent="0.25">
      <c r="A276" s="79">
        <v>45787</v>
      </c>
      <c r="B276" s="2"/>
      <c r="C276" s="2"/>
      <c r="D276" s="2"/>
      <c r="E276" s="2"/>
      <c r="F276" s="2"/>
    </row>
    <row r="277" spans="1:6" x14ac:dyDescent="0.25">
      <c r="A277" s="79">
        <v>45788</v>
      </c>
      <c r="B277" s="2"/>
      <c r="C277" s="2"/>
      <c r="D277" s="2"/>
      <c r="E277" s="2"/>
      <c r="F277" s="2"/>
    </row>
    <row r="278" spans="1:6" x14ac:dyDescent="0.25">
      <c r="A278" s="79">
        <v>45789</v>
      </c>
      <c r="B278" s="2"/>
      <c r="C278" s="2"/>
      <c r="D278" s="2"/>
      <c r="E278" s="2"/>
      <c r="F278" s="2"/>
    </row>
    <row r="279" spans="1:6" x14ac:dyDescent="0.25">
      <c r="A279" s="79">
        <v>45790</v>
      </c>
      <c r="B279" s="2" t="s">
        <v>3918</v>
      </c>
      <c r="C279" s="2"/>
      <c r="D279" s="2"/>
      <c r="E279" s="2"/>
      <c r="F279" s="2"/>
    </row>
    <row r="280" spans="1:6" x14ac:dyDescent="0.25">
      <c r="A280" s="79">
        <v>45791</v>
      </c>
      <c r="B280" s="2" t="s">
        <v>3924</v>
      </c>
      <c r="C280" s="2" t="s">
        <v>3917</v>
      </c>
      <c r="D280" s="2">
        <v>92</v>
      </c>
      <c r="E280" s="2"/>
      <c r="F280" s="2"/>
    </row>
    <row r="281" spans="1:6" x14ac:dyDescent="0.25">
      <c r="A281" s="79">
        <v>45792</v>
      </c>
      <c r="B281" s="2" t="s">
        <v>2852</v>
      </c>
      <c r="C281" s="2" t="s">
        <v>3927</v>
      </c>
      <c r="D281" s="2">
        <v>105</v>
      </c>
      <c r="E281" s="2">
        <f>D281-D280</f>
        <v>13</v>
      </c>
      <c r="F281" s="2"/>
    </row>
    <row r="282" spans="1:6" x14ac:dyDescent="0.25">
      <c r="A282" s="79">
        <v>45793</v>
      </c>
      <c r="B282" s="2" t="s">
        <v>2880</v>
      </c>
      <c r="C282" s="2" t="s">
        <v>3935</v>
      </c>
      <c r="D282" s="2">
        <v>108</v>
      </c>
      <c r="E282" s="2">
        <f t="shared" ref="E282:E327" si="5">D282-D281</f>
        <v>3</v>
      </c>
      <c r="F282" s="2"/>
    </row>
    <row r="283" spans="1:6" x14ac:dyDescent="0.25">
      <c r="A283" s="79">
        <v>45794</v>
      </c>
      <c r="B283" s="2" t="s">
        <v>2068</v>
      </c>
      <c r="C283" s="2"/>
      <c r="D283" s="2">
        <v>108</v>
      </c>
      <c r="E283" s="2">
        <f t="shared" si="5"/>
        <v>0</v>
      </c>
      <c r="F283" s="2"/>
    </row>
    <row r="284" spans="1:6" x14ac:dyDescent="0.25">
      <c r="A284" s="79">
        <v>45795</v>
      </c>
      <c r="B284" s="2" t="s">
        <v>2068</v>
      </c>
      <c r="C284" s="2" t="s">
        <v>3961</v>
      </c>
      <c r="D284" s="2">
        <v>108</v>
      </c>
      <c r="E284" s="2">
        <f t="shared" si="5"/>
        <v>0</v>
      </c>
      <c r="F284" s="2"/>
    </row>
    <row r="285" spans="1:6" x14ac:dyDescent="0.25">
      <c r="A285" s="79">
        <v>45796</v>
      </c>
      <c r="B285" s="2" t="s">
        <v>3993</v>
      </c>
      <c r="C285" s="2" t="s">
        <v>3994</v>
      </c>
      <c r="D285" s="2">
        <v>108</v>
      </c>
      <c r="E285" s="2">
        <f t="shared" si="5"/>
        <v>0</v>
      </c>
      <c r="F285" s="2"/>
    </row>
    <row r="286" spans="1:6" x14ac:dyDescent="0.25">
      <c r="A286" s="79">
        <v>45797</v>
      </c>
      <c r="B286" s="2" t="s">
        <v>3998</v>
      </c>
      <c r="C286" s="2" t="s">
        <v>3995</v>
      </c>
      <c r="D286" s="2">
        <v>108</v>
      </c>
      <c r="E286" s="2">
        <f t="shared" si="5"/>
        <v>0</v>
      </c>
      <c r="F286" s="2"/>
    </row>
    <row r="287" spans="1:6" x14ac:dyDescent="0.25">
      <c r="A287" s="79">
        <v>45798</v>
      </c>
      <c r="B287" s="2"/>
      <c r="C287" s="2" t="s">
        <v>4009</v>
      </c>
      <c r="D287" s="2">
        <v>108</v>
      </c>
      <c r="E287" s="2">
        <f t="shared" si="5"/>
        <v>0</v>
      </c>
      <c r="F287" s="2"/>
    </row>
    <row r="288" spans="1:6" x14ac:dyDescent="0.25">
      <c r="A288" s="79">
        <v>45799</v>
      </c>
      <c r="B288" s="2"/>
      <c r="C288" s="2"/>
      <c r="D288" s="2">
        <v>108</v>
      </c>
      <c r="E288" s="2">
        <f t="shared" si="5"/>
        <v>0</v>
      </c>
      <c r="F288" s="2"/>
    </row>
    <row r="289" spans="1:6" x14ac:dyDescent="0.25">
      <c r="A289" s="79">
        <v>45800</v>
      </c>
      <c r="B289" s="2" t="s">
        <v>4027</v>
      </c>
      <c r="C289" s="2"/>
      <c r="D289" s="2">
        <v>108</v>
      </c>
      <c r="E289" s="2">
        <f t="shared" si="5"/>
        <v>0</v>
      </c>
      <c r="F289" s="2"/>
    </row>
    <row r="290" spans="1:6" x14ac:dyDescent="0.25">
      <c r="A290" s="79">
        <v>45801</v>
      </c>
      <c r="B290" s="2" t="s">
        <v>4026</v>
      </c>
      <c r="C290" s="2"/>
      <c r="D290" s="2">
        <v>108</v>
      </c>
      <c r="E290" s="2">
        <f t="shared" si="5"/>
        <v>0</v>
      </c>
      <c r="F290" s="2"/>
    </row>
    <row r="291" spans="1:6" x14ac:dyDescent="0.25">
      <c r="A291" s="79">
        <v>45802</v>
      </c>
      <c r="B291" s="2" t="s">
        <v>4025</v>
      </c>
      <c r="C291" s="2"/>
      <c r="D291" s="2">
        <v>108</v>
      </c>
      <c r="E291" s="2">
        <f t="shared" si="5"/>
        <v>0</v>
      </c>
      <c r="F291" s="2"/>
    </row>
    <row r="292" spans="1:6" x14ac:dyDescent="0.25">
      <c r="A292" s="79">
        <v>45803</v>
      </c>
      <c r="B292" s="2" t="s">
        <v>4039</v>
      </c>
      <c r="C292" s="2"/>
      <c r="D292" s="2">
        <v>108</v>
      </c>
      <c r="E292" s="2">
        <f t="shared" si="5"/>
        <v>0</v>
      </c>
      <c r="F292" s="2"/>
    </row>
    <row r="293" spans="1:6" x14ac:dyDescent="0.25">
      <c r="A293" s="79">
        <v>45804</v>
      </c>
      <c r="B293" s="2" t="s">
        <v>4044</v>
      </c>
      <c r="C293" s="2"/>
      <c r="D293" s="2">
        <v>108</v>
      </c>
      <c r="E293" s="2">
        <f t="shared" si="5"/>
        <v>0</v>
      </c>
      <c r="F293" s="2"/>
    </row>
    <row r="294" spans="1:6" x14ac:dyDescent="0.25">
      <c r="A294" s="79">
        <v>45805</v>
      </c>
      <c r="B294" s="2" t="s">
        <v>4070</v>
      </c>
      <c r="C294" s="2"/>
      <c r="D294" s="2">
        <v>108</v>
      </c>
      <c r="E294" s="2">
        <f t="shared" si="5"/>
        <v>0</v>
      </c>
      <c r="F294" s="2"/>
    </row>
    <row r="295" spans="1:6" x14ac:dyDescent="0.25">
      <c r="A295" s="79">
        <v>45806</v>
      </c>
      <c r="B295" s="2" t="s">
        <v>4070</v>
      </c>
      <c r="C295" s="2"/>
      <c r="D295" s="2">
        <v>108</v>
      </c>
      <c r="E295" s="2">
        <f t="shared" si="5"/>
        <v>0</v>
      </c>
      <c r="F295" s="2"/>
    </row>
    <row r="296" spans="1:6" x14ac:dyDescent="0.25">
      <c r="A296" s="79">
        <v>45807</v>
      </c>
      <c r="B296" s="2" t="s">
        <v>519</v>
      </c>
      <c r="C296" s="2"/>
      <c r="D296" s="2">
        <v>108</v>
      </c>
      <c r="E296" s="2">
        <f t="shared" si="5"/>
        <v>0</v>
      </c>
      <c r="F296" s="2"/>
    </row>
    <row r="297" spans="1:6" x14ac:dyDescent="0.25">
      <c r="A297" s="79">
        <v>45808</v>
      </c>
      <c r="B297" s="2" t="s">
        <v>4089</v>
      </c>
      <c r="C297" s="2"/>
      <c r="D297" s="2">
        <v>108</v>
      </c>
      <c r="E297" s="2">
        <f t="shared" si="5"/>
        <v>0</v>
      </c>
      <c r="F297" s="2"/>
    </row>
    <row r="298" spans="1:6" x14ac:dyDescent="0.25">
      <c r="A298" s="79">
        <v>45809</v>
      </c>
      <c r="B298" s="2" t="s">
        <v>4109</v>
      </c>
      <c r="C298" s="2" t="s">
        <v>4105</v>
      </c>
      <c r="D298" s="2">
        <v>108</v>
      </c>
      <c r="E298" s="2">
        <f t="shared" si="5"/>
        <v>0</v>
      </c>
      <c r="F298" s="2"/>
    </row>
    <row r="299" spans="1:6" x14ac:dyDescent="0.25">
      <c r="A299" s="79">
        <v>45810</v>
      </c>
      <c r="B299" s="2" t="s">
        <v>4126</v>
      </c>
      <c r="C299" s="2" t="s">
        <v>4110</v>
      </c>
      <c r="D299" s="2">
        <v>108</v>
      </c>
      <c r="E299" s="2">
        <f t="shared" si="5"/>
        <v>0</v>
      </c>
      <c r="F299" s="2"/>
    </row>
    <row r="300" spans="1:6" x14ac:dyDescent="0.25">
      <c r="A300" s="79">
        <v>45811</v>
      </c>
      <c r="B300" s="2" t="s">
        <v>4133</v>
      </c>
      <c r="C300" s="2"/>
      <c r="D300" s="2">
        <v>108</v>
      </c>
      <c r="E300" s="2">
        <f t="shared" si="5"/>
        <v>0</v>
      </c>
      <c r="F300" s="2"/>
    </row>
    <row r="301" spans="1:6" x14ac:dyDescent="0.25">
      <c r="A301" s="79">
        <v>45812</v>
      </c>
      <c r="B301" s="2" t="s">
        <v>4147</v>
      </c>
      <c r="C301" s="2"/>
      <c r="D301" s="2">
        <v>108</v>
      </c>
      <c r="E301" s="2">
        <f t="shared" si="5"/>
        <v>0</v>
      </c>
      <c r="F301" s="2"/>
    </row>
    <row r="302" spans="1:6" x14ac:dyDescent="0.25">
      <c r="A302" s="79">
        <v>45813</v>
      </c>
      <c r="B302" s="2"/>
      <c r="C302" s="2"/>
      <c r="D302" s="2">
        <v>108</v>
      </c>
      <c r="E302" s="2">
        <f t="shared" si="5"/>
        <v>0</v>
      </c>
      <c r="F302" s="2"/>
    </row>
    <row r="303" spans="1:6" x14ac:dyDescent="0.25">
      <c r="A303" s="79">
        <v>45814</v>
      </c>
      <c r="B303" s="2"/>
      <c r="C303" s="2"/>
      <c r="D303" s="2">
        <v>108</v>
      </c>
      <c r="E303" s="2">
        <f t="shared" si="5"/>
        <v>0</v>
      </c>
      <c r="F303" s="2"/>
    </row>
    <row r="304" spans="1:6" x14ac:dyDescent="0.25">
      <c r="A304" s="79">
        <v>45815</v>
      </c>
      <c r="B304" s="2"/>
      <c r="C304" s="2"/>
      <c r="D304" s="2">
        <v>108</v>
      </c>
      <c r="E304" s="2">
        <f t="shared" si="5"/>
        <v>0</v>
      </c>
      <c r="F304" s="2"/>
    </row>
    <row r="305" spans="1:6" x14ac:dyDescent="0.25">
      <c r="A305" s="79">
        <v>45816</v>
      </c>
      <c r="B305" s="2"/>
      <c r="C305" s="2"/>
      <c r="D305" s="2">
        <v>108</v>
      </c>
      <c r="E305" s="2">
        <f t="shared" si="5"/>
        <v>0</v>
      </c>
      <c r="F305" s="2"/>
    </row>
    <row r="306" spans="1:6" x14ac:dyDescent="0.25">
      <c r="A306" s="79">
        <v>45817</v>
      </c>
      <c r="B306" s="2" t="s">
        <v>4178</v>
      </c>
      <c r="C306" s="2"/>
      <c r="D306" s="2">
        <v>108</v>
      </c>
      <c r="E306" s="2">
        <f t="shared" si="5"/>
        <v>0</v>
      </c>
      <c r="F306" s="2"/>
    </row>
    <row r="307" spans="1:6" x14ac:dyDescent="0.25">
      <c r="A307" s="79">
        <v>45818</v>
      </c>
      <c r="B307" s="2" t="s">
        <v>4205</v>
      </c>
      <c r="C307" s="2" t="s">
        <v>4233</v>
      </c>
      <c r="D307" s="2">
        <v>108</v>
      </c>
      <c r="E307" s="2">
        <f t="shared" si="5"/>
        <v>0</v>
      </c>
      <c r="F307" s="2"/>
    </row>
    <row r="308" spans="1:6" x14ac:dyDescent="0.25">
      <c r="A308" s="79">
        <v>45819</v>
      </c>
      <c r="B308" s="2"/>
      <c r="C308" s="2"/>
      <c r="D308" s="2">
        <v>108</v>
      </c>
      <c r="E308" s="2">
        <f t="shared" si="5"/>
        <v>0</v>
      </c>
      <c r="F308" s="2"/>
    </row>
    <row r="309" spans="1:6" x14ac:dyDescent="0.25">
      <c r="A309" s="79">
        <v>45820</v>
      </c>
      <c r="B309" s="2"/>
      <c r="C309" s="2"/>
      <c r="D309" s="2">
        <v>108</v>
      </c>
      <c r="E309" s="2">
        <f t="shared" si="5"/>
        <v>0</v>
      </c>
      <c r="F309" s="2"/>
    </row>
    <row r="310" spans="1:6" x14ac:dyDescent="0.25">
      <c r="A310" s="79">
        <v>45821</v>
      </c>
      <c r="B310" s="2" t="s">
        <v>4245</v>
      </c>
      <c r="C310" s="2"/>
      <c r="D310" s="2">
        <v>108</v>
      </c>
      <c r="E310" s="2">
        <f t="shared" si="5"/>
        <v>0</v>
      </c>
      <c r="F310" s="2"/>
    </row>
    <row r="311" spans="1:6" x14ac:dyDescent="0.25">
      <c r="A311" s="79">
        <v>45822</v>
      </c>
      <c r="B311" s="2" t="s">
        <v>4246</v>
      </c>
      <c r="C311" s="2" t="s">
        <v>4259</v>
      </c>
      <c r="D311" s="2">
        <v>115</v>
      </c>
      <c r="E311" s="2">
        <f t="shared" si="5"/>
        <v>7</v>
      </c>
      <c r="F311" s="2"/>
    </row>
    <row r="312" spans="1:6" x14ac:dyDescent="0.25">
      <c r="A312" s="79">
        <v>45823</v>
      </c>
      <c r="B312" s="2" t="s">
        <v>480</v>
      </c>
      <c r="C312" s="2"/>
      <c r="D312" s="2">
        <v>115</v>
      </c>
      <c r="E312" s="2">
        <f t="shared" si="5"/>
        <v>0</v>
      </c>
      <c r="F312" s="2"/>
    </row>
    <row r="313" spans="1:6" x14ac:dyDescent="0.25">
      <c r="A313" s="79">
        <v>45824</v>
      </c>
      <c r="B313" s="2" t="s">
        <v>480</v>
      </c>
      <c r="C313" s="2"/>
      <c r="D313" s="2">
        <v>115</v>
      </c>
      <c r="E313" s="2">
        <f t="shared" si="5"/>
        <v>0</v>
      </c>
      <c r="F313" s="2"/>
    </row>
    <row r="314" spans="1:6" x14ac:dyDescent="0.25">
      <c r="A314" s="79">
        <v>45825</v>
      </c>
      <c r="B314" s="2"/>
      <c r="C314" s="2"/>
      <c r="D314" s="2">
        <v>115</v>
      </c>
      <c r="E314" s="2">
        <f t="shared" si="5"/>
        <v>0</v>
      </c>
      <c r="F314" s="2"/>
    </row>
    <row r="315" spans="1:6" x14ac:dyDescent="0.25">
      <c r="A315" s="79">
        <v>45826</v>
      </c>
      <c r="B315" s="2" t="s">
        <v>4287</v>
      </c>
      <c r="C315" s="2" t="s">
        <v>4302</v>
      </c>
      <c r="D315" s="2">
        <v>124</v>
      </c>
      <c r="E315" s="2">
        <f t="shared" si="5"/>
        <v>9</v>
      </c>
      <c r="F315" s="2"/>
    </row>
    <row r="316" spans="1:6" x14ac:dyDescent="0.25">
      <c r="A316" s="79">
        <v>45827</v>
      </c>
      <c r="B316" s="2" t="s">
        <v>4306</v>
      </c>
      <c r="C316" s="2" t="s">
        <v>4303</v>
      </c>
      <c r="D316" s="2">
        <v>124</v>
      </c>
      <c r="E316" s="2">
        <f t="shared" si="5"/>
        <v>0</v>
      </c>
      <c r="F316" s="2"/>
    </row>
    <row r="317" spans="1:6" x14ac:dyDescent="0.25">
      <c r="A317" s="79">
        <v>45828</v>
      </c>
      <c r="B317" s="2" t="s">
        <v>4306</v>
      </c>
      <c r="C317" s="2" t="s">
        <v>4304</v>
      </c>
      <c r="D317" s="2">
        <v>124</v>
      </c>
      <c r="E317" s="2">
        <f t="shared" si="5"/>
        <v>0</v>
      </c>
      <c r="F317" s="2"/>
    </row>
    <row r="318" spans="1:6" x14ac:dyDescent="0.25">
      <c r="A318" s="79">
        <v>45829</v>
      </c>
      <c r="B318" s="2" t="s">
        <v>4306</v>
      </c>
      <c r="C318" s="2"/>
      <c r="D318" s="2">
        <v>124</v>
      </c>
      <c r="E318" s="2">
        <f t="shared" si="5"/>
        <v>0</v>
      </c>
      <c r="F318" s="2"/>
    </row>
    <row r="319" spans="1:6" x14ac:dyDescent="0.25">
      <c r="A319" s="79">
        <v>45830</v>
      </c>
      <c r="B319" s="2" t="s">
        <v>4357</v>
      </c>
      <c r="C319" s="2"/>
      <c r="D319" s="2">
        <v>130</v>
      </c>
      <c r="E319" s="2">
        <f t="shared" si="5"/>
        <v>6</v>
      </c>
      <c r="F319" s="2"/>
    </row>
    <row r="320" spans="1:6" x14ac:dyDescent="0.25">
      <c r="A320" s="79">
        <v>45831</v>
      </c>
      <c r="B320" s="2" t="s">
        <v>4371</v>
      </c>
      <c r="C320" s="2" t="s">
        <v>4383</v>
      </c>
      <c r="D320" s="2">
        <v>130</v>
      </c>
      <c r="E320" s="2">
        <f t="shared" si="5"/>
        <v>0</v>
      </c>
      <c r="F320" s="2"/>
    </row>
    <row r="321" spans="1:6" x14ac:dyDescent="0.25">
      <c r="A321" s="79">
        <v>45832</v>
      </c>
      <c r="B321" s="2" t="s">
        <v>4398</v>
      </c>
      <c r="C321" s="2" t="s">
        <v>4443</v>
      </c>
      <c r="D321" s="2">
        <v>142</v>
      </c>
      <c r="E321" s="2">
        <f t="shared" si="5"/>
        <v>12</v>
      </c>
      <c r="F321" s="2"/>
    </row>
    <row r="322" spans="1:6" x14ac:dyDescent="0.25">
      <c r="A322" s="79">
        <v>45833</v>
      </c>
      <c r="B322" s="2" t="s">
        <v>4439</v>
      </c>
      <c r="C322" s="2"/>
      <c r="D322" s="2">
        <v>142</v>
      </c>
      <c r="E322" s="2">
        <f t="shared" si="5"/>
        <v>0</v>
      </c>
      <c r="F322" s="2"/>
    </row>
    <row r="323" spans="1:6" x14ac:dyDescent="0.25">
      <c r="A323" s="79">
        <v>45834</v>
      </c>
      <c r="B323" s="2" t="s">
        <v>4440</v>
      </c>
      <c r="C323" s="2" t="s">
        <v>4419</v>
      </c>
      <c r="D323" s="2">
        <v>142</v>
      </c>
      <c r="E323" s="2">
        <f t="shared" si="5"/>
        <v>0</v>
      </c>
      <c r="F323" s="2"/>
    </row>
    <row r="324" spans="1:6" x14ac:dyDescent="0.25">
      <c r="A324" s="79">
        <v>45835</v>
      </c>
      <c r="B324" s="2" t="s">
        <v>4441</v>
      </c>
      <c r="C324" s="2"/>
      <c r="D324" s="2">
        <v>142</v>
      </c>
      <c r="E324" s="2">
        <f t="shared" si="5"/>
        <v>0</v>
      </c>
      <c r="F324" s="2"/>
    </row>
    <row r="325" spans="1:6" x14ac:dyDescent="0.25">
      <c r="A325" s="79">
        <v>45836</v>
      </c>
      <c r="B325" s="2" t="s">
        <v>4465</v>
      </c>
      <c r="C325" s="2" t="s">
        <v>4481</v>
      </c>
      <c r="D325" s="2"/>
      <c r="E325" s="2">
        <f t="shared" si="5"/>
        <v>-142</v>
      </c>
      <c r="F325" s="2"/>
    </row>
    <row r="326" spans="1:6" x14ac:dyDescent="0.25">
      <c r="A326" s="79">
        <v>45837</v>
      </c>
      <c r="B326" s="2"/>
      <c r="C326" s="2"/>
      <c r="D326" s="2"/>
      <c r="E326" s="2">
        <f t="shared" si="5"/>
        <v>0</v>
      </c>
      <c r="F326" s="2"/>
    </row>
    <row r="327" spans="1:6" x14ac:dyDescent="0.25">
      <c r="A327" s="79">
        <v>45838</v>
      </c>
      <c r="B327" s="2"/>
      <c r="C327" s="2"/>
      <c r="D327" s="2"/>
      <c r="E327" s="2">
        <f t="shared" si="5"/>
        <v>0</v>
      </c>
      <c r="F327" s="2"/>
    </row>
    <row r="328" spans="1:6" x14ac:dyDescent="0.25">
      <c r="A328" s="79">
        <v>45839</v>
      </c>
      <c r="B328" s="2"/>
      <c r="C328" s="2"/>
      <c r="D328" s="2"/>
      <c r="E328" s="2"/>
      <c r="F328" s="2"/>
    </row>
    <row r="329" spans="1:6" x14ac:dyDescent="0.25">
      <c r="A329" s="79">
        <v>45840</v>
      </c>
      <c r="B329" s="2"/>
      <c r="C329" s="2"/>
      <c r="D329" s="2"/>
      <c r="E329" s="2"/>
      <c r="F329" s="2"/>
    </row>
    <row r="330" spans="1:6" x14ac:dyDescent="0.25">
      <c r="A330" s="79">
        <v>45841</v>
      </c>
      <c r="B330" s="2"/>
      <c r="C330" s="2"/>
      <c r="D330" s="2"/>
      <c r="E330" s="2"/>
      <c r="F330" s="2"/>
    </row>
    <row r="331" spans="1:6" x14ac:dyDescent="0.25">
      <c r="A331" s="79">
        <v>45842</v>
      </c>
      <c r="B331" s="2"/>
      <c r="C331" s="2"/>
      <c r="D331" s="2"/>
      <c r="E331" s="2"/>
      <c r="F331" s="2"/>
    </row>
    <row r="332" spans="1:6" x14ac:dyDescent="0.25">
      <c r="A332" s="79">
        <v>45843</v>
      </c>
      <c r="B332" s="2"/>
      <c r="C332" s="2"/>
      <c r="D332" s="2"/>
      <c r="E332" s="2"/>
      <c r="F332" s="2"/>
    </row>
    <row r="333" spans="1:6" x14ac:dyDescent="0.25">
      <c r="A333" s="79">
        <v>45844</v>
      </c>
      <c r="B333" s="2"/>
      <c r="C333" s="2"/>
      <c r="D333" s="2"/>
      <c r="E333" s="2"/>
      <c r="F333" s="2"/>
    </row>
    <row r="334" spans="1:6" x14ac:dyDescent="0.25">
      <c r="A334" s="79">
        <v>45845</v>
      </c>
      <c r="B334" s="2"/>
      <c r="C334" s="2"/>
      <c r="D334" s="2"/>
      <c r="E334" s="2"/>
      <c r="F334" s="2"/>
    </row>
    <row r="335" spans="1:6" x14ac:dyDescent="0.25">
      <c r="A335" s="79">
        <v>45846</v>
      </c>
      <c r="B335" s="2"/>
      <c r="C335" s="2"/>
      <c r="D335" s="2"/>
      <c r="E335" s="2"/>
      <c r="F335" s="2"/>
    </row>
    <row r="336" spans="1:6" x14ac:dyDescent="0.25">
      <c r="A336" s="79">
        <v>45847</v>
      </c>
      <c r="B336" s="2"/>
      <c r="C336" s="2"/>
      <c r="D336" s="2"/>
      <c r="E336" s="2"/>
      <c r="F336" s="2"/>
    </row>
    <row r="337" spans="1:6" x14ac:dyDescent="0.25">
      <c r="A337" s="79">
        <v>45848</v>
      </c>
      <c r="B337" s="2"/>
      <c r="C337" s="2"/>
      <c r="D337" s="2"/>
      <c r="E337" s="2"/>
      <c r="F337" s="2"/>
    </row>
    <row r="338" spans="1:6" x14ac:dyDescent="0.25">
      <c r="A338" s="79">
        <v>45849</v>
      </c>
      <c r="B338" s="2"/>
      <c r="C338" s="2"/>
      <c r="D338" s="2"/>
      <c r="E338" s="2"/>
      <c r="F338" s="2"/>
    </row>
    <row r="339" spans="1:6" x14ac:dyDescent="0.25">
      <c r="A339" s="79">
        <v>45850</v>
      </c>
      <c r="B339" s="2"/>
      <c r="C339" s="2"/>
      <c r="D339" s="2"/>
      <c r="E339" s="2"/>
      <c r="F339" s="2"/>
    </row>
    <row r="340" spans="1:6" x14ac:dyDescent="0.25">
      <c r="A340" s="79">
        <v>45851</v>
      </c>
      <c r="B340" s="2"/>
      <c r="C340" s="2"/>
      <c r="D340" s="2"/>
      <c r="E340" s="2"/>
      <c r="F340" s="2"/>
    </row>
    <row r="341" spans="1:6" x14ac:dyDescent="0.25">
      <c r="A341" s="79">
        <v>45852</v>
      </c>
      <c r="B341" s="2"/>
      <c r="C341" s="2"/>
      <c r="D341" s="2"/>
      <c r="E341" s="2"/>
      <c r="F341" s="2"/>
    </row>
    <row r="342" spans="1:6" x14ac:dyDescent="0.25">
      <c r="A342" s="79">
        <v>45853</v>
      </c>
      <c r="B342" s="2"/>
      <c r="C342" s="2"/>
      <c r="D342" s="2"/>
      <c r="E342" s="2"/>
      <c r="F342" s="2"/>
    </row>
    <row r="343" spans="1:6" x14ac:dyDescent="0.25">
      <c r="A343" s="79">
        <v>45854</v>
      </c>
      <c r="B343" s="2"/>
      <c r="C343" s="2"/>
      <c r="D343" s="2"/>
      <c r="E343" s="2"/>
      <c r="F343" s="2"/>
    </row>
    <row r="344" spans="1:6" x14ac:dyDescent="0.25">
      <c r="A344" s="79">
        <v>45855</v>
      </c>
      <c r="B344" s="2"/>
      <c r="C344" s="2"/>
      <c r="D344" s="2"/>
      <c r="E344" s="2"/>
      <c r="F344" s="2"/>
    </row>
    <row r="345" spans="1:6" x14ac:dyDescent="0.25">
      <c r="A345" s="79">
        <v>45856</v>
      </c>
      <c r="B345" s="2"/>
      <c r="C345" s="2"/>
      <c r="D345" s="2"/>
      <c r="E345" s="2"/>
      <c r="F345" s="2"/>
    </row>
    <row r="346" spans="1:6" x14ac:dyDescent="0.25">
      <c r="A346" s="79">
        <v>45857</v>
      </c>
      <c r="B346" s="2"/>
      <c r="C346" s="2"/>
      <c r="D346" s="2"/>
      <c r="E346" s="2"/>
      <c r="F346" s="2"/>
    </row>
    <row r="347" spans="1:6" x14ac:dyDescent="0.25">
      <c r="A347" s="79">
        <v>45858</v>
      </c>
      <c r="B347" s="2"/>
      <c r="C347" s="2"/>
      <c r="D347" s="2"/>
      <c r="E347" s="2"/>
      <c r="F347" s="2"/>
    </row>
    <row r="348" spans="1:6" x14ac:dyDescent="0.25">
      <c r="A348" s="79">
        <v>45859</v>
      </c>
      <c r="B348" s="2"/>
      <c r="C348" s="2"/>
      <c r="D348" s="2"/>
      <c r="E348" s="2"/>
      <c r="F348" s="2"/>
    </row>
    <row r="349" spans="1:6" x14ac:dyDescent="0.25">
      <c r="A349" s="79">
        <v>45860</v>
      </c>
      <c r="B349" s="2"/>
      <c r="C349" s="2"/>
      <c r="D349" s="2"/>
      <c r="E349" s="2"/>
      <c r="F349" s="2"/>
    </row>
    <row r="350" spans="1:6" x14ac:dyDescent="0.25">
      <c r="A350" s="79">
        <v>45861</v>
      </c>
      <c r="B350" s="2"/>
      <c r="C350" s="2"/>
      <c r="D350" s="2"/>
      <c r="E350" s="2"/>
      <c r="F350" s="2"/>
    </row>
    <row r="351" spans="1:6" x14ac:dyDescent="0.25">
      <c r="A351" s="79">
        <v>45862</v>
      </c>
      <c r="B351" s="2"/>
      <c r="C351" s="2"/>
      <c r="D351" s="2"/>
      <c r="E351" s="2"/>
      <c r="F351" s="2"/>
    </row>
    <row r="352" spans="1:6" x14ac:dyDescent="0.25">
      <c r="A352" s="79">
        <v>45863</v>
      </c>
      <c r="B352" s="2" t="s">
        <v>4718</v>
      </c>
      <c r="C352" s="2"/>
      <c r="D352" s="2"/>
      <c r="E352" s="2"/>
      <c r="F352" s="2"/>
    </row>
    <row r="353" spans="1:6" x14ac:dyDescent="0.25">
      <c r="A353" s="79">
        <v>45864</v>
      </c>
      <c r="B353" s="2" t="s">
        <v>4719</v>
      </c>
      <c r="C353" s="2"/>
      <c r="D353" s="2"/>
      <c r="E353" s="2"/>
      <c r="F353" s="2"/>
    </row>
    <row r="354" spans="1:6" x14ac:dyDescent="0.25">
      <c r="A354" s="79">
        <v>45865</v>
      </c>
      <c r="B354" s="2"/>
      <c r="C354" s="2"/>
      <c r="D354" s="2"/>
      <c r="E354" s="2"/>
      <c r="F354" s="2"/>
    </row>
    <row r="355" spans="1:6" x14ac:dyDescent="0.25">
      <c r="A355" s="79">
        <v>45866</v>
      </c>
      <c r="B355" s="2" t="s">
        <v>4721</v>
      </c>
      <c r="C355" s="2" t="s">
        <v>4720</v>
      </c>
      <c r="D355" s="2"/>
      <c r="E355" s="2"/>
      <c r="F355" s="2"/>
    </row>
    <row r="356" spans="1:6" x14ac:dyDescent="0.25">
      <c r="A356" s="79">
        <v>45867</v>
      </c>
      <c r="B356" s="2"/>
      <c r="C356" s="2"/>
      <c r="D356" s="2"/>
      <c r="E356" s="2"/>
      <c r="F356" s="2"/>
    </row>
    <row r="357" spans="1:6" x14ac:dyDescent="0.25">
      <c r="A357" s="79">
        <v>45868</v>
      </c>
      <c r="B357" s="2" t="s">
        <v>4827</v>
      </c>
      <c r="C357" s="2"/>
      <c r="D357" s="23">
        <v>148</v>
      </c>
      <c r="E357" s="2"/>
      <c r="F357" s="2"/>
    </row>
    <row r="358" spans="1:6" x14ac:dyDescent="0.25">
      <c r="A358" s="79">
        <v>45869</v>
      </c>
      <c r="B358" s="2" t="s">
        <v>4816</v>
      </c>
      <c r="C358" s="2"/>
      <c r="D358" s="23">
        <v>120</v>
      </c>
      <c r="E358" s="2"/>
      <c r="F358" s="2"/>
    </row>
    <row r="359" spans="1:6" x14ac:dyDescent="0.25">
      <c r="A359" s="79">
        <v>45870</v>
      </c>
      <c r="B359" s="2" t="s">
        <v>4844</v>
      </c>
      <c r="C359" s="2"/>
      <c r="D359" s="23">
        <v>125</v>
      </c>
      <c r="E359" s="2">
        <f>D359-D358</f>
        <v>5</v>
      </c>
      <c r="F359" s="2"/>
    </row>
    <row r="360" spans="1:6" x14ac:dyDescent="0.25">
      <c r="A360" s="79">
        <v>45871</v>
      </c>
      <c r="B360" s="2" t="s">
        <v>4849</v>
      </c>
      <c r="C360" s="2"/>
      <c r="D360" s="23">
        <v>128</v>
      </c>
      <c r="E360" s="2">
        <f>D360-D359</f>
        <v>3</v>
      </c>
      <c r="F360" s="2"/>
    </row>
    <row r="361" spans="1:6" x14ac:dyDescent="0.25">
      <c r="A361" s="79">
        <v>45872</v>
      </c>
      <c r="B361" s="2" t="s">
        <v>480</v>
      </c>
      <c r="C361" s="2" t="s">
        <v>4850</v>
      </c>
      <c r="D361" s="23">
        <v>128</v>
      </c>
      <c r="E361" s="2">
        <f t="shared" ref="E361:E367" si="6">D361-D360</f>
        <v>0</v>
      </c>
      <c r="F361" s="2"/>
    </row>
    <row r="362" spans="1:6" x14ac:dyDescent="0.25">
      <c r="A362" s="79">
        <v>45873</v>
      </c>
      <c r="B362" s="2" t="s">
        <v>4859</v>
      </c>
      <c r="C362" s="2" t="s">
        <v>4850</v>
      </c>
      <c r="D362" s="23">
        <v>130</v>
      </c>
      <c r="E362" s="2">
        <f t="shared" si="6"/>
        <v>2</v>
      </c>
      <c r="F362" s="2"/>
    </row>
    <row r="363" spans="1:6" x14ac:dyDescent="0.25">
      <c r="A363" s="79">
        <v>45874</v>
      </c>
      <c r="B363" s="2" t="s">
        <v>4859</v>
      </c>
      <c r="C363" s="2" t="s">
        <v>4870</v>
      </c>
      <c r="D363" s="23">
        <v>130</v>
      </c>
      <c r="E363" s="2">
        <f t="shared" si="6"/>
        <v>0</v>
      </c>
      <c r="F363" s="2"/>
    </row>
    <row r="364" spans="1:6" x14ac:dyDescent="0.25">
      <c r="A364" s="79">
        <v>45875</v>
      </c>
      <c r="B364" s="2" t="s">
        <v>4884</v>
      </c>
      <c r="C364" s="2" t="s">
        <v>4900</v>
      </c>
      <c r="D364" s="23">
        <v>130</v>
      </c>
      <c r="E364" s="2">
        <f t="shared" si="6"/>
        <v>0</v>
      </c>
      <c r="F364" s="2"/>
    </row>
    <row r="365" spans="1:6" x14ac:dyDescent="0.25">
      <c r="A365" s="79">
        <v>45876</v>
      </c>
      <c r="B365" s="2" t="s">
        <v>480</v>
      </c>
      <c r="C365" s="2" t="s">
        <v>4911</v>
      </c>
      <c r="D365" s="23"/>
      <c r="E365" s="2">
        <f t="shared" si="6"/>
        <v>-130</v>
      </c>
      <c r="F365" s="2"/>
    </row>
    <row r="366" spans="1:6" x14ac:dyDescent="0.25">
      <c r="A366" s="79">
        <v>45877</v>
      </c>
      <c r="B366" s="2" t="s">
        <v>4926</v>
      </c>
      <c r="C366" s="2"/>
      <c r="D366" s="23"/>
      <c r="E366" s="2">
        <f t="shared" si="6"/>
        <v>0</v>
      </c>
      <c r="F366" s="2"/>
    </row>
    <row r="367" spans="1:6" x14ac:dyDescent="0.25">
      <c r="A367" s="79">
        <v>45878</v>
      </c>
      <c r="B367" s="2" t="s">
        <v>480</v>
      </c>
      <c r="C367" s="2"/>
      <c r="D367" s="23"/>
      <c r="E367" s="2">
        <f t="shared" si="6"/>
        <v>0</v>
      </c>
      <c r="F367" s="2"/>
    </row>
    <row r="368" spans="1:6" x14ac:dyDescent="0.25">
      <c r="A368" s="79">
        <v>45879</v>
      </c>
      <c r="B368" s="2" t="s">
        <v>480</v>
      </c>
      <c r="C368" s="2" t="s">
        <v>4962</v>
      </c>
      <c r="D368" s="23"/>
      <c r="E368" s="2"/>
      <c r="F368" s="2"/>
    </row>
    <row r="369" spans="1:6" x14ac:dyDescent="0.25">
      <c r="A369" s="79">
        <v>45880</v>
      </c>
      <c r="B369" s="2"/>
      <c r="C369" s="2"/>
      <c r="D369" s="23"/>
      <c r="E369" s="2"/>
      <c r="F369" s="2"/>
    </row>
    <row r="370" spans="1:6" x14ac:dyDescent="0.25">
      <c r="A370" s="79">
        <v>45881</v>
      </c>
      <c r="B370" s="2"/>
      <c r="C370" s="2"/>
      <c r="D370" s="23"/>
      <c r="E370" s="2"/>
      <c r="F370" s="2"/>
    </row>
    <row r="371" spans="1:6" x14ac:dyDescent="0.25">
      <c r="A371" s="79">
        <v>45882</v>
      </c>
      <c r="B371" s="2"/>
      <c r="C371" s="2"/>
      <c r="D371" s="23"/>
      <c r="E371" s="2"/>
      <c r="F371" s="2"/>
    </row>
    <row r="372" spans="1:6" x14ac:dyDescent="0.25">
      <c r="A372" s="79">
        <v>45883</v>
      </c>
      <c r="B372" s="2"/>
      <c r="C372" s="2"/>
      <c r="D372" s="23"/>
      <c r="E372" s="2"/>
      <c r="F372" s="2"/>
    </row>
    <row r="373" spans="1:6" x14ac:dyDescent="0.25">
      <c r="A373" s="79">
        <v>45884</v>
      </c>
      <c r="B373" s="2"/>
      <c r="C373" s="2"/>
      <c r="D373" s="2"/>
      <c r="E373" s="2"/>
      <c r="F373" s="2"/>
    </row>
    <row r="374" spans="1:6" x14ac:dyDescent="0.25">
      <c r="A374" s="79">
        <v>45885</v>
      </c>
      <c r="B374" s="2"/>
      <c r="C374" s="2"/>
      <c r="D374" s="2"/>
      <c r="E374" s="2"/>
      <c r="F374" s="2"/>
    </row>
    <row r="375" spans="1:6" x14ac:dyDescent="0.25">
      <c r="A375" s="79">
        <v>45886</v>
      </c>
      <c r="B375" s="2"/>
      <c r="C375" s="2"/>
      <c r="D375" s="2"/>
      <c r="E375" s="2"/>
      <c r="F375" s="2"/>
    </row>
    <row r="376" spans="1:6" x14ac:dyDescent="0.25">
      <c r="A376" s="79">
        <v>45887</v>
      </c>
      <c r="B376" s="2" t="s">
        <v>323</v>
      </c>
      <c r="C376" s="2"/>
      <c r="D376" s="2"/>
      <c r="E376" s="2"/>
      <c r="F376" s="2"/>
    </row>
    <row r="377" spans="1:6" x14ac:dyDescent="0.25">
      <c r="A377" s="79">
        <v>45888</v>
      </c>
      <c r="B377" s="2"/>
      <c r="C377" s="2"/>
      <c r="D377" s="2"/>
      <c r="E377" s="2"/>
      <c r="F377" s="2"/>
    </row>
    <row r="378" spans="1:6" x14ac:dyDescent="0.25">
      <c r="A378" s="79">
        <v>45889</v>
      </c>
      <c r="B378" s="2"/>
      <c r="C378" s="2"/>
      <c r="D378" s="2"/>
      <c r="E378" s="2"/>
      <c r="F378" s="2"/>
    </row>
    <row r="379" spans="1:6" x14ac:dyDescent="0.25">
      <c r="A379" s="79">
        <v>45890</v>
      </c>
      <c r="B379" s="2"/>
      <c r="C379" s="2"/>
      <c r="D379" s="2"/>
      <c r="E379" s="2"/>
      <c r="F379" s="2"/>
    </row>
    <row r="380" spans="1:6" x14ac:dyDescent="0.25">
      <c r="A380" s="79">
        <v>45891</v>
      </c>
      <c r="B380" s="2"/>
      <c r="C380" s="2"/>
      <c r="D380" s="2"/>
      <c r="E380" s="2"/>
      <c r="F380" s="2"/>
    </row>
    <row r="381" spans="1:6" x14ac:dyDescent="0.25">
      <c r="A381" s="79">
        <v>45892</v>
      </c>
      <c r="B381" s="2"/>
      <c r="C381" s="2"/>
      <c r="D381" s="2"/>
      <c r="E381" s="2"/>
      <c r="F381" s="2"/>
    </row>
    <row r="382" spans="1:6" x14ac:dyDescent="0.25">
      <c r="A382" s="79">
        <v>45893</v>
      </c>
      <c r="B382" s="2"/>
      <c r="C382" s="2" t="s">
        <v>5286</v>
      </c>
      <c r="D382" s="2"/>
      <c r="E382" s="2"/>
      <c r="F382" s="2"/>
    </row>
    <row r="383" spans="1:6" x14ac:dyDescent="0.25">
      <c r="A383" s="79">
        <v>45894</v>
      </c>
      <c r="B383" s="2"/>
      <c r="C383" s="2"/>
      <c r="D383" s="2"/>
      <c r="E383" s="2"/>
      <c r="F383" s="2"/>
    </row>
    <row r="384" spans="1:6" x14ac:dyDescent="0.25">
      <c r="A384" s="79">
        <v>45895</v>
      </c>
      <c r="B384" s="2"/>
      <c r="C384" s="2"/>
      <c r="D384" s="2"/>
      <c r="E384" s="2"/>
      <c r="F384" s="2"/>
    </row>
    <row r="385" spans="1:6" x14ac:dyDescent="0.25">
      <c r="A385" s="79">
        <v>45896</v>
      </c>
      <c r="B385" s="2"/>
      <c r="C385" s="2"/>
      <c r="D385" s="2"/>
      <c r="E385" s="2"/>
      <c r="F385" s="2"/>
    </row>
    <row r="386" spans="1:6" x14ac:dyDescent="0.25">
      <c r="A386" s="79">
        <v>45897</v>
      </c>
      <c r="B386" s="2"/>
      <c r="C386" s="2"/>
      <c r="D386" s="2"/>
      <c r="E386" s="2"/>
      <c r="F386" s="2"/>
    </row>
    <row r="387" spans="1:6" x14ac:dyDescent="0.25">
      <c r="A387" s="79">
        <v>45898</v>
      </c>
      <c r="B387" s="2"/>
      <c r="C387" s="2"/>
      <c r="D387" s="2"/>
      <c r="E387" s="2"/>
      <c r="F387" s="2"/>
    </row>
    <row r="388" spans="1:6" x14ac:dyDescent="0.25">
      <c r="A388" s="79">
        <v>45899</v>
      </c>
      <c r="B388" s="2"/>
      <c r="C388" s="2"/>
      <c r="D388" s="2"/>
      <c r="E388" s="2"/>
      <c r="F388" s="2"/>
    </row>
    <row r="389" spans="1:6" x14ac:dyDescent="0.25">
      <c r="A389" s="79">
        <v>45900</v>
      </c>
      <c r="B389" s="2"/>
      <c r="C389" s="2"/>
      <c r="D389" s="2"/>
      <c r="E389" s="2"/>
      <c r="F389" s="2"/>
    </row>
    <row r="390" spans="1:6" x14ac:dyDescent="0.25">
      <c r="A390" s="79">
        <v>45901</v>
      </c>
      <c r="B390" s="2"/>
      <c r="C390" s="2"/>
      <c r="D390" s="2"/>
      <c r="E390" s="2"/>
      <c r="F390" s="2"/>
    </row>
    <row r="391" spans="1:6" x14ac:dyDescent="0.25">
      <c r="A391" s="79">
        <v>45902</v>
      </c>
      <c r="B391" s="2"/>
      <c r="C391" s="2"/>
      <c r="D391" s="2"/>
      <c r="E391" s="2"/>
      <c r="F391" s="2"/>
    </row>
    <row r="392" spans="1:6" x14ac:dyDescent="0.25">
      <c r="A392" s="79">
        <v>45903</v>
      </c>
      <c r="B392" s="2"/>
      <c r="C392" s="2"/>
      <c r="D392" s="2"/>
      <c r="E392" s="2"/>
      <c r="F392" s="2"/>
    </row>
    <row r="393" spans="1:6" x14ac:dyDescent="0.25">
      <c r="A393" s="79">
        <v>45904</v>
      </c>
      <c r="B393" s="2"/>
      <c r="C393" s="2"/>
      <c r="D393" s="2"/>
      <c r="E393" s="2"/>
      <c r="F393" s="2"/>
    </row>
    <row r="394" spans="1:6" x14ac:dyDescent="0.25">
      <c r="A394" s="79">
        <v>45905</v>
      </c>
      <c r="B394" s="2"/>
      <c r="C394" s="2"/>
      <c r="D394" s="2"/>
      <c r="E394" s="2"/>
      <c r="F394" s="2"/>
    </row>
    <row r="395" spans="1:6" x14ac:dyDescent="0.25">
      <c r="A395" s="79">
        <v>45906</v>
      </c>
      <c r="B395" s="2"/>
      <c r="C395" s="2"/>
      <c r="D395" s="2"/>
      <c r="E395" s="2"/>
      <c r="F395" s="2"/>
    </row>
    <row r="396" spans="1:6" x14ac:dyDescent="0.25">
      <c r="A396" s="79">
        <v>45907</v>
      </c>
      <c r="B396" s="2"/>
      <c r="C396" s="2"/>
      <c r="D396" s="2"/>
      <c r="E396" s="2"/>
      <c r="F396" s="2"/>
    </row>
    <row r="397" spans="1:6" x14ac:dyDescent="0.25">
      <c r="A397" s="79">
        <v>45908</v>
      </c>
      <c r="B397" s="2"/>
      <c r="C397" s="2"/>
      <c r="D397" s="2"/>
      <c r="E397" s="2"/>
      <c r="F397" s="2"/>
    </row>
    <row r="398" spans="1:6" x14ac:dyDescent="0.25">
      <c r="A398" s="79">
        <v>45909</v>
      </c>
      <c r="B398" s="2" t="s">
        <v>5326</v>
      </c>
      <c r="C398" s="2" t="s">
        <v>5329</v>
      </c>
      <c r="D398" s="2"/>
      <c r="E398" s="2"/>
      <c r="F398" s="2">
        <f>E398-E397</f>
        <v>0</v>
      </c>
    </row>
    <row r="399" spans="1:6" x14ac:dyDescent="0.25">
      <c r="A399" s="79">
        <v>45910</v>
      </c>
      <c r="B399" s="2" t="s">
        <v>5341</v>
      </c>
      <c r="C399" s="2"/>
      <c r="D399" s="2"/>
      <c r="E399" s="2"/>
      <c r="F399" s="2">
        <f t="shared" ref="F399:F416" si="7">E399-E398</f>
        <v>0</v>
      </c>
    </row>
    <row r="400" spans="1:6" x14ac:dyDescent="0.25">
      <c r="A400" s="79">
        <v>45911</v>
      </c>
      <c r="B400" s="2" t="s">
        <v>5342</v>
      </c>
      <c r="C400" s="2"/>
      <c r="D400" s="2"/>
      <c r="E400" s="2"/>
      <c r="F400" s="2">
        <f t="shared" si="7"/>
        <v>0</v>
      </c>
    </row>
    <row r="401" spans="1:6" x14ac:dyDescent="0.25">
      <c r="A401" s="79">
        <v>45912</v>
      </c>
      <c r="B401" s="2"/>
      <c r="C401" s="2"/>
      <c r="D401" s="2"/>
      <c r="E401" s="2"/>
      <c r="F401" s="2">
        <f t="shared" si="7"/>
        <v>0</v>
      </c>
    </row>
    <row r="402" spans="1:6" x14ac:dyDescent="0.25">
      <c r="A402" s="79">
        <v>45913</v>
      </c>
      <c r="B402" s="2"/>
      <c r="C402" s="2"/>
      <c r="D402" s="2"/>
      <c r="E402" s="2"/>
      <c r="F402" s="2">
        <f t="shared" si="7"/>
        <v>0</v>
      </c>
    </row>
    <row r="403" spans="1:6" x14ac:dyDescent="0.25">
      <c r="A403" s="79">
        <v>45914</v>
      </c>
      <c r="B403" s="2"/>
      <c r="C403" s="2"/>
      <c r="D403" s="2"/>
      <c r="E403" s="2"/>
      <c r="F403" s="2">
        <f t="shared" si="7"/>
        <v>0</v>
      </c>
    </row>
    <row r="404" spans="1:6" x14ac:dyDescent="0.25">
      <c r="A404" s="79">
        <v>45915</v>
      </c>
      <c r="B404" s="2"/>
      <c r="C404" s="2"/>
      <c r="D404" s="2"/>
      <c r="E404" s="2"/>
      <c r="F404" s="2">
        <f t="shared" si="7"/>
        <v>0</v>
      </c>
    </row>
    <row r="405" spans="1:6" x14ac:dyDescent="0.25">
      <c r="A405" s="79">
        <v>45916</v>
      </c>
      <c r="B405" s="2"/>
      <c r="C405" s="2"/>
      <c r="D405" s="2"/>
      <c r="E405" s="2"/>
      <c r="F405" s="2">
        <f t="shared" si="7"/>
        <v>0</v>
      </c>
    </row>
    <row r="406" spans="1:6" x14ac:dyDescent="0.25">
      <c r="A406" s="79">
        <v>45917</v>
      </c>
      <c r="B406" s="2"/>
      <c r="C406" s="2"/>
      <c r="D406" s="2"/>
      <c r="E406" s="2"/>
      <c r="F406" s="2">
        <f t="shared" si="7"/>
        <v>0</v>
      </c>
    </row>
    <row r="407" spans="1:6" x14ac:dyDescent="0.25">
      <c r="A407" s="79">
        <v>45918</v>
      </c>
      <c r="B407" s="2"/>
      <c r="C407" s="2"/>
      <c r="D407" s="2"/>
      <c r="E407" s="2"/>
      <c r="F407" s="2">
        <f t="shared" si="7"/>
        <v>0</v>
      </c>
    </row>
    <row r="408" spans="1:6" x14ac:dyDescent="0.25">
      <c r="A408" s="79">
        <v>45919</v>
      </c>
      <c r="B408" s="2"/>
      <c r="C408" s="2"/>
      <c r="D408" s="2"/>
      <c r="E408" s="2"/>
      <c r="F408" s="2">
        <f t="shared" si="7"/>
        <v>0</v>
      </c>
    </row>
    <row r="409" spans="1:6" x14ac:dyDescent="0.25">
      <c r="A409" s="79">
        <v>45920</v>
      </c>
      <c r="B409" s="2"/>
      <c r="C409" s="2"/>
      <c r="D409" s="2"/>
      <c r="E409" s="2"/>
      <c r="F409" s="2">
        <f t="shared" si="7"/>
        <v>0</v>
      </c>
    </row>
    <row r="410" spans="1:6" x14ac:dyDescent="0.25">
      <c r="A410" s="79">
        <v>45921</v>
      </c>
      <c r="B410" s="2"/>
      <c r="C410" s="2"/>
      <c r="D410" s="2"/>
      <c r="E410" s="2"/>
      <c r="F410" s="2">
        <f t="shared" si="7"/>
        <v>0</v>
      </c>
    </row>
    <row r="411" spans="1:6" x14ac:dyDescent="0.25">
      <c r="A411" s="79">
        <v>45922</v>
      </c>
      <c r="B411" s="2"/>
      <c r="C411" s="2"/>
      <c r="D411" s="2"/>
      <c r="E411" s="2"/>
      <c r="F411" s="2">
        <f t="shared" si="7"/>
        <v>0</v>
      </c>
    </row>
    <row r="412" spans="1:6" x14ac:dyDescent="0.25">
      <c r="A412" s="79">
        <v>45923</v>
      </c>
      <c r="B412" s="2"/>
      <c r="C412" s="2"/>
      <c r="D412" s="2"/>
      <c r="E412" s="2"/>
      <c r="F412" s="2">
        <f t="shared" si="7"/>
        <v>0</v>
      </c>
    </row>
    <row r="413" spans="1:6" x14ac:dyDescent="0.25">
      <c r="A413" s="79">
        <v>45924</v>
      </c>
      <c r="B413" s="2"/>
      <c r="C413" s="2"/>
      <c r="D413" s="2"/>
      <c r="E413" s="2"/>
      <c r="F413" s="2">
        <f t="shared" si="7"/>
        <v>0</v>
      </c>
    </row>
    <row r="414" spans="1:6" x14ac:dyDescent="0.25">
      <c r="A414" s="79">
        <v>45925</v>
      </c>
      <c r="B414" s="2"/>
      <c r="C414" s="2"/>
      <c r="D414" s="2"/>
      <c r="E414" s="2"/>
      <c r="F414" s="2">
        <f t="shared" si="7"/>
        <v>0</v>
      </c>
    </row>
    <row r="415" spans="1:6" x14ac:dyDescent="0.25">
      <c r="A415" s="79">
        <v>45926</v>
      </c>
      <c r="B415" s="2"/>
      <c r="C415" s="2"/>
      <c r="D415" s="2"/>
      <c r="E415" s="2"/>
      <c r="F415" s="2">
        <f t="shared" si="7"/>
        <v>0</v>
      </c>
    </row>
    <row r="416" spans="1:6" x14ac:dyDescent="0.25">
      <c r="A416" s="79">
        <v>45927</v>
      </c>
      <c r="B416" s="2"/>
      <c r="C416" s="2"/>
      <c r="D416" s="2"/>
      <c r="E416" s="2"/>
      <c r="F416" s="2">
        <f t="shared" si="7"/>
        <v>0</v>
      </c>
    </row>
    <row r="417" spans="1:6" x14ac:dyDescent="0.25">
      <c r="A417" s="79">
        <v>45928</v>
      </c>
      <c r="B417" s="2"/>
      <c r="C417" s="2"/>
      <c r="D417" s="2"/>
      <c r="E417" s="2"/>
      <c r="F417" s="2"/>
    </row>
    <row r="418" spans="1:6" x14ac:dyDescent="0.25">
      <c r="A418" s="79">
        <v>45929</v>
      </c>
      <c r="B418" s="2"/>
      <c r="C418" s="2"/>
      <c r="D418" s="2"/>
      <c r="E418" s="2"/>
      <c r="F418" s="2"/>
    </row>
    <row r="419" spans="1:6" x14ac:dyDescent="0.25">
      <c r="A419" s="79">
        <v>45930</v>
      </c>
      <c r="B419" s="2"/>
      <c r="C419" s="2"/>
      <c r="D419" s="2"/>
      <c r="E419" s="2"/>
      <c r="F419" s="2"/>
    </row>
  </sheetData>
  <phoneticPr fontId="6" type="noConversion"/>
  <pageMargins left="0.7" right="0.7" top="0.75" bottom="0.75" header="0.3" footer="0.3"/>
  <pageSetup paperSize="9" scale="49" orientation="portrait" horizontalDpi="4294967293" verticalDpi="0" r:id="rId1"/>
  <colBreaks count="1" manualBreakCount="1">
    <brk id="5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>
    <tabColor rgb="FFFF0000"/>
  </sheetPr>
  <dimension ref="B1:G368"/>
  <sheetViews>
    <sheetView showGridLines="0" workbookViewId="0">
      <selection activeCell="C364" sqref="C364"/>
    </sheetView>
  </sheetViews>
  <sheetFormatPr defaultRowHeight="15" x14ac:dyDescent="0.25"/>
  <cols>
    <col min="2" max="2" width="18" bestFit="1" customWidth="1"/>
    <col min="3" max="3" width="72" bestFit="1" customWidth="1"/>
    <col min="4" max="4" width="53.5703125" customWidth="1"/>
    <col min="5" max="5" width="8.42578125" customWidth="1"/>
    <col min="6" max="6" width="5.85546875" customWidth="1"/>
    <col min="7" max="7" width="11" bestFit="1" customWidth="1"/>
  </cols>
  <sheetData>
    <row r="1" spans="2:7" ht="30" customHeight="1" x14ac:dyDescent="0.25">
      <c r="B1" s="10" t="s">
        <v>0</v>
      </c>
      <c r="C1" s="11" t="s">
        <v>1</v>
      </c>
      <c r="D1" s="11" t="s">
        <v>2</v>
      </c>
      <c r="E1" s="22" t="s">
        <v>809</v>
      </c>
      <c r="F1" s="22" t="s">
        <v>1095</v>
      </c>
      <c r="G1" s="11" t="s">
        <v>1507</v>
      </c>
    </row>
    <row r="2" spans="2:7" ht="15.75" customHeight="1" x14ac:dyDescent="0.25">
      <c r="B2" s="3">
        <v>45363</v>
      </c>
      <c r="C2" s="2" t="s">
        <v>2855</v>
      </c>
      <c r="D2" s="28"/>
      <c r="E2" s="23">
        <v>38</v>
      </c>
      <c r="F2" s="2"/>
      <c r="G2" s="28"/>
    </row>
    <row r="3" spans="2:7" ht="15.75" customHeight="1" x14ac:dyDescent="0.25">
      <c r="B3" s="3">
        <v>45364</v>
      </c>
      <c r="C3" s="2" t="s">
        <v>2856</v>
      </c>
      <c r="D3" s="25"/>
      <c r="E3" s="25">
        <v>43</v>
      </c>
      <c r="F3" s="25">
        <f>E3-E2</f>
        <v>5</v>
      </c>
      <c r="G3" s="28"/>
    </row>
    <row r="4" spans="2:7" ht="15.75" customHeight="1" x14ac:dyDescent="0.25">
      <c r="B4" s="3">
        <v>45365</v>
      </c>
      <c r="C4" s="39" t="s">
        <v>1696</v>
      </c>
      <c r="D4" s="25"/>
      <c r="E4" s="25">
        <v>43</v>
      </c>
      <c r="F4" s="25">
        <f>E3-E4</f>
        <v>0</v>
      </c>
      <c r="G4" s="28"/>
    </row>
    <row r="5" spans="2:7" ht="15.75" customHeight="1" x14ac:dyDescent="0.25">
      <c r="B5" s="3">
        <v>45366</v>
      </c>
      <c r="C5" s="39" t="s">
        <v>1696</v>
      </c>
      <c r="D5" s="25"/>
      <c r="E5" s="25">
        <v>43</v>
      </c>
      <c r="F5" s="25">
        <f>E4-E5</f>
        <v>0</v>
      </c>
      <c r="G5" s="28"/>
    </row>
    <row r="6" spans="2:7" ht="15.75" customHeight="1" x14ac:dyDescent="0.25">
      <c r="B6" s="3">
        <v>45367</v>
      </c>
      <c r="C6" s="39" t="s">
        <v>2857</v>
      </c>
      <c r="D6" s="25"/>
      <c r="E6" s="25">
        <v>50</v>
      </c>
      <c r="F6" s="25">
        <f>E6-E5</f>
        <v>7</v>
      </c>
      <c r="G6" s="28"/>
    </row>
    <row r="7" spans="2:7" ht="15.75" customHeight="1" x14ac:dyDescent="0.25">
      <c r="B7" s="3">
        <v>45368</v>
      </c>
      <c r="C7" s="2" t="s">
        <v>2858</v>
      </c>
      <c r="D7" s="25"/>
      <c r="E7" s="25">
        <v>52</v>
      </c>
      <c r="F7" s="25">
        <f>E7-E6</f>
        <v>2</v>
      </c>
      <c r="G7" s="28"/>
    </row>
    <row r="8" spans="2:7" ht="15.75" customHeight="1" x14ac:dyDescent="0.25">
      <c r="B8" s="3">
        <v>45369</v>
      </c>
      <c r="C8" s="2" t="s">
        <v>2859</v>
      </c>
      <c r="D8" s="25"/>
      <c r="E8" s="25">
        <v>54</v>
      </c>
      <c r="F8" s="25">
        <f>E8-E7</f>
        <v>2</v>
      </c>
      <c r="G8" s="28"/>
    </row>
    <row r="9" spans="2:7" ht="15.75" customHeight="1" x14ac:dyDescent="0.25">
      <c r="B9" s="3">
        <v>45370</v>
      </c>
      <c r="C9" s="2" t="s">
        <v>2860</v>
      </c>
      <c r="D9" s="25"/>
      <c r="E9" s="25">
        <v>55.5</v>
      </c>
      <c r="F9" s="25">
        <f t="shared" ref="F9:F59" si="0">E9-E8</f>
        <v>1.5</v>
      </c>
      <c r="G9" s="28"/>
    </row>
    <row r="10" spans="2:7" ht="15.75" customHeight="1" x14ac:dyDescent="0.25">
      <c r="B10" s="3">
        <v>45371</v>
      </c>
      <c r="C10" s="2" t="s">
        <v>2861</v>
      </c>
      <c r="D10" s="25"/>
      <c r="E10" s="25">
        <v>58</v>
      </c>
      <c r="F10" s="25">
        <f t="shared" si="0"/>
        <v>2.5</v>
      </c>
      <c r="G10" s="28"/>
    </row>
    <row r="11" spans="2:7" ht="15.75" customHeight="1" x14ac:dyDescent="0.25">
      <c r="B11" s="3">
        <v>45372</v>
      </c>
      <c r="C11" s="39" t="s">
        <v>2862</v>
      </c>
      <c r="D11" s="25"/>
      <c r="E11" s="25">
        <v>58</v>
      </c>
      <c r="F11" s="25">
        <f t="shared" si="0"/>
        <v>0</v>
      </c>
      <c r="G11" s="28"/>
    </row>
    <row r="12" spans="2:7" ht="15.75" customHeight="1" x14ac:dyDescent="0.25">
      <c r="B12" s="3">
        <v>45373</v>
      </c>
      <c r="C12" s="39" t="s">
        <v>2862</v>
      </c>
      <c r="D12" s="25"/>
      <c r="E12" s="25">
        <v>58</v>
      </c>
      <c r="F12" s="25">
        <f t="shared" si="0"/>
        <v>0</v>
      </c>
      <c r="G12" s="28"/>
    </row>
    <row r="13" spans="2:7" ht="15.75" customHeight="1" x14ac:dyDescent="0.25">
      <c r="B13" s="3">
        <v>45374</v>
      </c>
      <c r="C13" s="39" t="s">
        <v>2862</v>
      </c>
      <c r="D13" s="25"/>
      <c r="E13" s="25">
        <v>58</v>
      </c>
      <c r="F13" s="25">
        <f t="shared" si="0"/>
        <v>0</v>
      </c>
      <c r="G13" s="28"/>
    </row>
    <row r="14" spans="2:7" ht="15.75" customHeight="1" x14ac:dyDescent="0.25">
      <c r="B14" s="3">
        <v>45375</v>
      </c>
      <c r="C14" s="39" t="s">
        <v>2863</v>
      </c>
      <c r="D14" s="25"/>
      <c r="E14" s="25">
        <v>58</v>
      </c>
      <c r="F14" s="25">
        <f t="shared" si="0"/>
        <v>0</v>
      </c>
      <c r="G14" s="28"/>
    </row>
    <row r="15" spans="2:7" ht="15.75" customHeight="1" x14ac:dyDescent="0.25">
      <c r="B15" s="3">
        <v>45376</v>
      </c>
      <c r="C15" s="39" t="s">
        <v>2864</v>
      </c>
      <c r="D15" s="25"/>
      <c r="E15" s="25">
        <v>58</v>
      </c>
      <c r="F15" s="25">
        <f t="shared" si="0"/>
        <v>0</v>
      </c>
      <c r="G15" s="28"/>
    </row>
    <row r="16" spans="2:7" ht="15.75" customHeight="1" x14ac:dyDescent="0.25">
      <c r="B16" s="3">
        <v>45377</v>
      </c>
      <c r="C16" s="39" t="s">
        <v>2866</v>
      </c>
      <c r="D16" s="25"/>
      <c r="E16" s="25">
        <v>58</v>
      </c>
      <c r="F16" s="25">
        <f t="shared" si="0"/>
        <v>0</v>
      </c>
      <c r="G16" s="28"/>
    </row>
    <row r="17" spans="2:7" ht="15.75" customHeight="1" x14ac:dyDescent="0.25">
      <c r="B17" s="3">
        <v>45378</v>
      </c>
      <c r="C17" s="39" t="s">
        <v>2866</v>
      </c>
      <c r="D17" s="25"/>
      <c r="E17" s="25">
        <v>58</v>
      </c>
      <c r="F17" s="25">
        <f t="shared" si="0"/>
        <v>0</v>
      </c>
      <c r="G17" s="28"/>
    </row>
    <row r="18" spans="2:7" ht="15.75" customHeight="1" x14ac:dyDescent="0.25">
      <c r="B18" s="3">
        <v>45379</v>
      </c>
      <c r="C18" s="39" t="s">
        <v>2865</v>
      </c>
      <c r="D18" s="25"/>
      <c r="E18" s="25">
        <v>58</v>
      </c>
      <c r="F18" s="25">
        <f t="shared" si="0"/>
        <v>0</v>
      </c>
      <c r="G18" s="28"/>
    </row>
    <row r="19" spans="2:7" ht="15.75" customHeight="1" x14ac:dyDescent="0.25">
      <c r="B19" s="3">
        <v>45380</v>
      </c>
      <c r="C19" s="2" t="s">
        <v>2867</v>
      </c>
      <c r="D19" s="25"/>
      <c r="E19" s="25">
        <v>59.5</v>
      </c>
      <c r="F19" s="25">
        <f t="shared" si="0"/>
        <v>1.5</v>
      </c>
      <c r="G19" s="28"/>
    </row>
    <row r="20" spans="2:7" ht="15.75" customHeight="1" x14ac:dyDescent="0.25">
      <c r="B20" s="3">
        <v>45381</v>
      </c>
      <c r="C20" s="2" t="s">
        <v>2868</v>
      </c>
      <c r="D20" s="25"/>
      <c r="E20" s="25">
        <v>65</v>
      </c>
      <c r="F20" s="25">
        <f t="shared" si="0"/>
        <v>5.5</v>
      </c>
      <c r="G20" s="28"/>
    </row>
    <row r="21" spans="2:7" ht="15.75" customHeight="1" x14ac:dyDescent="0.25">
      <c r="B21" s="3">
        <v>45382</v>
      </c>
      <c r="C21" s="2" t="s">
        <v>2869</v>
      </c>
      <c r="D21" s="25"/>
      <c r="E21" s="25">
        <v>70.5</v>
      </c>
      <c r="F21" s="25">
        <f t="shared" si="0"/>
        <v>5.5</v>
      </c>
      <c r="G21" s="28"/>
    </row>
    <row r="22" spans="2:7" x14ac:dyDescent="0.25">
      <c r="B22" s="3">
        <v>45383</v>
      </c>
      <c r="C22" s="2" t="s">
        <v>540</v>
      </c>
      <c r="D22" s="2"/>
      <c r="E22" s="25">
        <v>76.5</v>
      </c>
      <c r="F22" s="25">
        <f t="shared" si="0"/>
        <v>6</v>
      </c>
      <c r="G22" s="2"/>
    </row>
    <row r="23" spans="2:7" x14ac:dyDescent="0.25">
      <c r="B23" s="3">
        <v>45383</v>
      </c>
      <c r="C23" s="2" t="s">
        <v>541</v>
      </c>
      <c r="D23" s="2" t="s">
        <v>542</v>
      </c>
      <c r="E23" s="25">
        <v>76.5</v>
      </c>
      <c r="F23" s="25">
        <f t="shared" si="0"/>
        <v>0</v>
      </c>
      <c r="G23" s="2"/>
    </row>
    <row r="24" spans="2:7" x14ac:dyDescent="0.25">
      <c r="B24" s="3">
        <v>45384</v>
      </c>
      <c r="C24" s="2" t="s">
        <v>543</v>
      </c>
      <c r="D24" s="2" t="s">
        <v>544</v>
      </c>
      <c r="E24" s="25">
        <v>76.5</v>
      </c>
      <c r="F24" s="25">
        <f t="shared" si="0"/>
        <v>0</v>
      </c>
      <c r="G24" s="2"/>
    </row>
    <row r="25" spans="2:7" x14ac:dyDescent="0.25">
      <c r="B25" s="3">
        <v>45385</v>
      </c>
      <c r="C25" s="2" t="s">
        <v>545</v>
      </c>
      <c r="D25" s="2" t="s">
        <v>546</v>
      </c>
      <c r="E25" s="25">
        <v>76.5</v>
      </c>
      <c r="F25" s="25">
        <f t="shared" si="0"/>
        <v>0</v>
      </c>
      <c r="G25" s="2"/>
    </row>
    <row r="26" spans="2:7" x14ac:dyDescent="0.25">
      <c r="B26" s="3">
        <v>45385</v>
      </c>
      <c r="C26" s="2" t="s">
        <v>547</v>
      </c>
      <c r="D26" s="2"/>
      <c r="E26" s="25">
        <v>76.5</v>
      </c>
      <c r="F26" s="25">
        <f t="shared" si="0"/>
        <v>0</v>
      </c>
      <c r="G26" s="2"/>
    </row>
    <row r="27" spans="2:7" x14ac:dyDescent="0.25">
      <c r="B27" s="3">
        <v>45385</v>
      </c>
      <c r="C27" s="2" t="s">
        <v>548</v>
      </c>
      <c r="D27" s="2" t="s">
        <v>549</v>
      </c>
      <c r="E27" s="25">
        <v>76.5</v>
      </c>
      <c r="F27" s="25">
        <f t="shared" si="0"/>
        <v>0</v>
      </c>
      <c r="G27" s="2"/>
    </row>
    <row r="28" spans="2:7" x14ac:dyDescent="0.25">
      <c r="B28" s="3">
        <v>45386</v>
      </c>
      <c r="C28" s="2" t="s">
        <v>549</v>
      </c>
      <c r="D28" s="2"/>
      <c r="E28" s="25">
        <v>76.5</v>
      </c>
      <c r="F28" s="25">
        <f t="shared" si="0"/>
        <v>0</v>
      </c>
      <c r="G28" s="2"/>
    </row>
    <row r="29" spans="2:7" x14ac:dyDescent="0.25">
      <c r="B29" s="3">
        <v>45386</v>
      </c>
      <c r="C29" s="2" t="s">
        <v>550</v>
      </c>
      <c r="D29" s="2"/>
      <c r="E29" s="25">
        <v>76.5</v>
      </c>
      <c r="F29" s="25">
        <f t="shared" si="0"/>
        <v>0</v>
      </c>
      <c r="G29" s="2"/>
    </row>
    <row r="30" spans="2:7" x14ac:dyDescent="0.25">
      <c r="B30" s="3">
        <v>45386</v>
      </c>
      <c r="C30" s="2" t="s">
        <v>551</v>
      </c>
      <c r="D30" s="2" t="s">
        <v>552</v>
      </c>
      <c r="E30" s="25">
        <v>76.5</v>
      </c>
      <c r="F30" s="25">
        <f t="shared" si="0"/>
        <v>0</v>
      </c>
      <c r="G30" s="2"/>
    </row>
    <row r="31" spans="2:7" x14ac:dyDescent="0.25">
      <c r="B31" s="3">
        <v>45386</v>
      </c>
      <c r="C31" s="2" t="s">
        <v>553</v>
      </c>
      <c r="D31" s="2" t="s">
        <v>554</v>
      </c>
      <c r="E31" s="25">
        <v>76.5</v>
      </c>
      <c r="F31" s="25">
        <f t="shared" si="0"/>
        <v>0</v>
      </c>
      <c r="G31" s="2"/>
    </row>
    <row r="32" spans="2:7" x14ac:dyDescent="0.25">
      <c r="B32" s="3">
        <v>45387</v>
      </c>
      <c r="C32" s="2" t="s">
        <v>554</v>
      </c>
      <c r="D32" s="2"/>
      <c r="E32" s="25">
        <v>76.5</v>
      </c>
      <c r="F32" s="25">
        <f t="shared" si="0"/>
        <v>0</v>
      </c>
      <c r="G32" s="2"/>
    </row>
    <row r="33" spans="2:7" x14ac:dyDescent="0.25">
      <c r="B33" s="3">
        <v>45387</v>
      </c>
      <c r="C33" s="2" t="s">
        <v>555</v>
      </c>
      <c r="D33" s="2" t="s">
        <v>556</v>
      </c>
      <c r="E33" s="25">
        <v>76.5</v>
      </c>
      <c r="F33" s="25">
        <f t="shared" si="0"/>
        <v>0</v>
      </c>
      <c r="G33" s="2"/>
    </row>
    <row r="34" spans="2:7" x14ac:dyDescent="0.25">
      <c r="B34" s="3">
        <v>45388</v>
      </c>
      <c r="C34" s="2" t="s">
        <v>530</v>
      </c>
      <c r="D34" s="2"/>
      <c r="E34" s="25">
        <v>78</v>
      </c>
      <c r="F34" s="25">
        <f t="shared" si="0"/>
        <v>1.5</v>
      </c>
      <c r="G34" s="2"/>
    </row>
    <row r="35" spans="2:7" x14ac:dyDescent="0.25">
      <c r="B35" s="3">
        <v>45389</v>
      </c>
      <c r="C35" s="2" t="s">
        <v>557</v>
      </c>
      <c r="D35" s="2"/>
      <c r="E35" s="25">
        <v>80.5</v>
      </c>
      <c r="F35" s="25">
        <f t="shared" si="0"/>
        <v>2.5</v>
      </c>
      <c r="G35" s="2"/>
    </row>
    <row r="36" spans="2:7" x14ac:dyDescent="0.25">
      <c r="B36" s="3">
        <v>45390</v>
      </c>
      <c r="C36" s="2" t="s">
        <v>558</v>
      </c>
      <c r="D36" s="2"/>
      <c r="E36" s="25">
        <v>80.5</v>
      </c>
      <c r="F36" s="25">
        <f t="shared" si="0"/>
        <v>0</v>
      </c>
      <c r="G36" s="2"/>
    </row>
    <row r="37" spans="2:7" x14ac:dyDescent="0.25">
      <c r="B37" s="3">
        <v>45391</v>
      </c>
      <c r="C37" s="2" t="s">
        <v>131</v>
      </c>
      <c r="D37" s="2"/>
      <c r="E37" s="25">
        <v>80.5</v>
      </c>
      <c r="F37" s="25">
        <f t="shared" si="0"/>
        <v>0</v>
      </c>
      <c r="G37" s="2"/>
    </row>
    <row r="38" spans="2:7" x14ac:dyDescent="0.25">
      <c r="B38" s="3">
        <v>45392</v>
      </c>
      <c r="C38" s="2" t="s">
        <v>131</v>
      </c>
      <c r="D38" s="2"/>
      <c r="E38" s="25">
        <v>80.5</v>
      </c>
      <c r="F38" s="25">
        <f t="shared" si="0"/>
        <v>0</v>
      </c>
      <c r="G38" s="2"/>
    </row>
    <row r="39" spans="2:7" x14ac:dyDescent="0.25">
      <c r="B39" s="3">
        <v>45393</v>
      </c>
      <c r="C39" s="2" t="s">
        <v>131</v>
      </c>
      <c r="D39" s="2"/>
      <c r="E39" s="25">
        <v>80.5</v>
      </c>
      <c r="F39" s="25">
        <f t="shared" si="0"/>
        <v>0</v>
      </c>
      <c r="G39" s="2"/>
    </row>
    <row r="40" spans="2:7" x14ac:dyDescent="0.25">
      <c r="B40" s="3">
        <v>45394</v>
      </c>
      <c r="C40" s="2" t="s">
        <v>131</v>
      </c>
      <c r="D40" s="2"/>
      <c r="E40" s="25">
        <v>80.5</v>
      </c>
      <c r="F40" s="25">
        <f t="shared" si="0"/>
        <v>0</v>
      </c>
      <c r="G40" s="2"/>
    </row>
    <row r="41" spans="2:7" x14ac:dyDescent="0.25">
      <c r="B41" s="3">
        <v>45395</v>
      </c>
      <c r="C41" s="2" t="s">
        <v>559</v>
      </c>
      <c r="D41" s="2"/>
      <c r="E41" s="25">
        <v>90.5</v>
      </c>
      <c r="F41" s="25">
        <f t="shared" si="0"/>
        <v>10</v>
      </c>
      <c r="G41" s="2"/>
    </row>
    <row r="42" spans="2:7" x14ac:dyDescent="0.25">
      <c r="B42" s="3">
        <v>45396</v>
      </c>
      <c r="C42" s="2" t="s">
        <v>560</v>
      </c>
      <c r="D42" s="2"/>
      <c r="E42" s="25">
        <v>105.5</v>
      </c>
      <c r="F42" s="25">
        <f t="shared" si="0"/>
        <v>15</v>
      </c>
      <c r="G42" s="2"/>
    </row>
    <row r="43" spans="2:7" x14ac:dyDescent="0.25">
      <c r="B43" s="3">
        <v>45397</v>
      </c>
      <c r="C43" s="2" t="s">
        <v>561</v>
      </c>
      <c r="D43" s="2"/>
      <c r="E43" s="25">
        <v>120</v>
      </c>
      <c r="F43" s="25">
        <f t="shared" si="0"/>
        <v>14.5</v>
      </c>
      <c r="G43" s="2"/>
    </row>
    <row r="44" spans="2:7" x14ac:dyDescent="0.25">
      <c r="B44" s="3">
        <v>45398</v>
      </c>
      <c r="C44" s="2" t="s">
        <v>562</v>
      </c>
      <c r="D44" s="2"/>
      <c r="E44" s="25">
        <v>120</v>
      </c>
      <c r="F44" s="25">
        <f t="shared" si="0"/>
        <v>0</v>
      </c>
      <c r="G44" s="2"/>
    </row>
    <row r="45" spans="2:7" x14ac:dyDescent="0.25">
      <c r="B45" s="3">
        <v>45399</v>
      </c>
      <c r="C45" s="2" t="s">
        <v>562</v>
      </c>
      <c r="D45" s="2" t="s">
        <v>563</v>
      </c>
      <c r="E45" s="25">
        <v>120</v>
      </c>
      <c r="F45" s="25">
        <f t="shared" si="0"/>
        <v>0</v>
      </c>
      <c r="G45" s="2"/>
    </row>
    <row r="46" spans="2:7" x14ac:dyDescent="0.25">
      <c r="B46" s="3">
        <v>45400</v>
      </c>
      <c r="C46" s="2" t="s">
        <v>564</v>
      </c>
      <c r="D46" s="2" t="s">
        <v>565</v>
      </c>
      <c r="E46" s="25">
        <v>120</v>
      </c>
      <c r="F46" s="25">
        <f t="shared" si="0"/>
        <v>0</v>
      </c>
      <c r="G46" s="2"/>
    </row>
    <row r="47" spans="2:7" x14ac:dyDescent="0.25">
      <c r="B47" s="3">
        <v>45401</v>
      </c>
      <c r="C47" s="2" t="s">
        <v>566</v>
      </c>
      <c r="D47" s="2"/>
      <c r="E47" s="25">
        <v>120</v>
      </c>
      <c r="F47" s="25">
        <f t="shared" si="0"/>
        <v>0</v>
      </c>
      <c r="G47" s="2"/>
    </row>
    <row r="48" spans="2:7" x14ac:dyDescent="0.25">
      <c r="B48" s="3">
        <v>45401</v>
      </c>
      <c r="C48" s="2" t="s">
        <v>567</v>
      </c>
      <c r="D48" s="2" t="s">
        <v>568</v>
      </c>
      <c r="E48" s="25">
        <v>30</v>
      </c>
      <c r="F48" s="25">
        <f t="shared" si="0"/>
        <v>-90</v>
      </c>
      <c r="G48" s="2"/>
    </row>
    <row r="49" spans="2:7" x14ac:dyDescent="0.25">
      <c r="B49" s="3">
        <v>45402</v>
      </c>
      <c r="C49" s="2" t="s">
        <v>569</v>
      </c>
      <c r="D49" s="2"/>
      <c r="E49" s="25">
        <v>32</v>
      </c>
      <c r="F49" s="25">
        <f t="shared" si="0"/>
        <v>2</v>
      </c>
      <c r="G49" s="2"/>
    </row>
    <row r="50" spans="2:7" x14ac:dyDescent="0.25">
      <c r="B50" s="3">
        <v>45402</v>
      </c>
      <c r="C50" s="2" t="s">
        <v>570</v>
      </c>
      <c r="D50" s="2"/>
      <c r="E50" s="25">
        <v>32</v>
      </c>
      <c r="F50" s="25">
        <f t="shared" si="0"/>
        <v>0</v>
      </c>
      <c r="G50" s="2"/>
    </row>
    <row r="51" spans="2:7" x14ac:dyDescent="0.25">
      <c r="B51" s="3">
        <v>45403</v>
      </c>
      <c r="C51" s="2" t="s">
        <v>571</v>
      </c>
      <c r="D51" s="2"/>
      <c r="E51" s="25">
        <v>33</v>
      </c>
      <c r="F51" s="25">
        <f t="shared" si="0"/>
        <v>1</v>
      </c>
      <c r="G51" s="2"/>
    </row>
    <row r="52" spans="2:7" x14ac:dyDescent="0.25">
      <c r="B52" s="3">
        <v>45403</v>
      </c>
      <c r="C52" s="2" t="s">
        <v>572</v>
      </c>
      <c r="D52" s="2"/>
      <c r="E52" s="25">
        <v>33</v>
      </c>
      <c r="F52" s="25">
        <f t="shared" si="0"/>
        <v>0</v>
      </c>
      <c r="G52" s="2"/>
    </row>
    <row r="53" spans="2:7" x14ac:dyDescent="0.25">
      <c r="B53" s="3">
        <v>45404</v>
      </c>
      <c r="C53" s="2" t="s">
        <v>573</v>
      </c>
      <c r="D53" s="2" t="s">
        <v>568</v>
      </c>
      <c r="E53" s="25">
        <v>39</v>
      </c>
      <c r="F53" s="25">
        <f t="shared" si="0"/>
        <v>6</v>
      </c>
      <c r="G53" s="2"/>
    </row>
    <row r="54" spans="2:7" x14ac:dyDescent="0.25">
      <c r="B54" s="3">
        <v>45405</v>
      </c>
      <c r="C54" s="2" t="s">
        <v>574</v>
      </c>
      <c r="D54" s="2"/>
      <c r="E54" s="25">
        <v>41</v>
      </c>
      <c r="F54" s="25">
        <f t="shared" si="0"/>
        <v>2</v>
      </c>
      <c r="G54" s="2"/>
    </row>
    <row r="55" spans="2:7" x14ac:dyDescent="0.25">
      <c r="B55" s="3">
        <v>45405</v>
      </c>
      <c r="C55" s="2" t="s">
        <v>575</v>
      </c>
      <c r="D55" s="2"/>
      <c r="E55" s="25">
        <v>41</v>
      </c>
      <c r="F55" s="25">
        <f t="shared" si="0"/>
        <v>0</v>
      </c>
      <c r="G55" s="2"/>
    </row>
    <row r="56" spans="2:7" x14ac:dyDescent="0.25">
      <c r="B56" s="3">
        <v>45405</v>
      </c>
      <c r="C56" s="2" t="s">
        <v>576</v>
      </c>
      <c r="D56" s="2"/>
      <c r="E56" s="25">
        <v>41</v>
      </c>
      <c r="F56" s="25">
        <f t="shared" si="0"/>
        <v>0</v>
      </c>
      <c r="G56" s="2"/>
    </row>
    <row r="57" spans="2:7" x14ac:dyDescent="0.25">
      <c r="B57" s="3">
        <v>45406</v>
      </c>
      <c r="C57" s="2" t="s">
        <v>577</v>
      </c>
      <c r="D57" s="2"/>
      <c r="E57" s="25">
        <v>41</v>
      </c>
      <c r="F57" s="25">
        <f t="shared" si="0"/>
        <v>0</v>
      </c>
      <c r="G57" s="2"/>
    </row>
    <row r="58" spans="2:7" x14ac:dyDescent="0.25">
      <c r="B58" s="3">
        <v>45407</v>
      </c>
      <c r="C58" s="2" t="s">
        <v>578</v>
      </c>
      <c r="D58" s="2"/>
      <c r="E58" s="25">
        <v>41</v>
      </c>
      <c r="F58" s="25">
        <f t="shared" si="0"/>
        <v>0</v>
      </c>
      <c r="G58" s="2"/>
    </row>
    <row r="59" spans="2:7" x14ac:dyDescent="0.25">
      <c r="B59" s="3">
        <v>45408</v>
      </c>
      <c r="C59" s="2" t="s">
        <v>579</v>
      </c>
      <c r="D59" s="2"/>
      <c r="E59" s="23">
        <v>46</v>
      </c>
      <c r="F59" s="25">
        <f t="shared" si="0"/>
        <v>5</v>
      </c>
      <c r="G59" s="2"/>
    </row>
    <row r="60" spans="2:7" x14ac:dyDescent="0.25">
      <c r="B60" s="3">
        <v>45409</v>
      </c>
      <c r="C60" s="2" t="s">
        <v>580</v>
      </c>
      <c r="D60" s="2"/>
      <c r="E60" s="23">
        <v>49.5</v>
      </c>
      <c r="F60" s="2">
        <f t="shared" ref="F60:F124" si="1">E60-E59</f>
        <v>3.5</v>
      </c>
      <c r="G60" s="2"/>
    </row>
    <row r="61" spans="2:7" x14ac:dyDescent="0.25">
      <c r="B61" s="3">
        <v>45410</v>
      </c>
      <c r="C61" s="2" t="s">
        <v>581</v>
      </c>
      <c r="D61" s="2"/>
      <c r="E61" s="23">
        <v>53.5</v>
      </c>
      <c r="F61" s="2">
        <f t="shared" si="1"/>
        <v>4</v>
      </c>
      <c r="G61" s="2"/>
    </row>
    <row r="62" spans="2:7" x14ac:dyDescent="0.25">
      <c r="B62" s="3">
        <v>45411</v>
      </c>
      <c r="C62" s="2" t="s">
        <v>582</v>
      </c>
      <c r="D62" s="2"/>
      <c r="E62" s="23">
        <v>55.5</v>
      </c>
      <c r="F62" s="2">
        <f t="shared" si="1"/>
        <v>2</v>
      </c>
      <c r="G62" s="2"/>
    </row>
    <row r="63" spans="2:7" x14ac:dyDescent="0.25">
      <c r="B63" s="3">
        <v>45412</v>
      </c>
      <c r="C63" s="2" t="s">
        <v>583</v>
      </c>
      <c r="D63" s="2"/>
      <c r="E63" s="23">
        <v>56.5</v>
      </c>
      <c r="F63" s="2">
        <f t="shared" si="1"/>
        <v>1</v>
      </c>
      <c r="G63" s="2"/>
    </row>
    <row r="64" spans="2:7" x14ac:dyDescent="0.25">
      <c r="B64" s="3">
        <v>45413</v>
      </c>
      <c r="C64" s="2" t="s">
        <v>584</v>
      </c>
      <c r="D64" s="2"/>
      <c r="E64" s="23">
        <v>59.5</v>
      </c>
      <c r="F64" s="2">
        <f t="shared" si="1"/>
        <v>3</v>
      </c>
      <c r="G64" s="2"/>
    </row>
    <row r="65" spans="2:7" x14ac:dyDescent="0.25">
      <c r="B65" s="3">
        <v>45414</v>
      </c>
      <c r="C65" s="2" t="s">
        <v>585</v>
      </c>
      <c r="D65" s="2" t="s">
        <v>586</v>
      </c>
      <c r="E65" s="23">
        <v>60.5</v>
      </c>
      <c r="F65" s="2">
        <f t="shared" si="1"/>
        <v>1</v>
      </c>
      <c r="G65" s="2"/>
    </row>
    <row r="66" spans="2:7" x14ac:dyDescent="0.25">
      <c r="B66" s="3">
        <v>45415</v>
      </c>
      <c r="C66" s="2" t="s">
        <v>585</v>
      </c>
      <c r="D66" s="2"/>
      <c r="E66" s="23">
        <v>60.5</v>
      </c>
      <c r="F66" s="2">
        <f t="shared" si="1"/>
        <v>0</v>
      </c>
      <c r="G66" s="2"/>
    </row>
    <row r="67" spans="2:7" x14ac:dyDescent="0.25">
      <c r="B67" s="3">
        <v>45416</v>
      </c>
      <c r="C67" s="2" t="s">
        <v>587</v>
      </c>
      <c r="D67" s="2"/>
      <c r="E67" s="23">
        <v>63.5</v>
      </c>
      <c r="F67" s="2">
        <f t="shared" si="1"/>
        <v>3</v>
      </c>
      <c r="G67" s="2"/>
    </row>
    <row r="68" spans="2:7" x14ac:dyDescent="0.25">
      <c r="B68" s="3">
        <v>45417</v>
      </c>
      <c r="C68" s="2" t="s">
        <v>588</v>
      </c>
      <c r="D68" s="2"/>
      <c r="E68" s="23">
        <v>65</v>
      </c>
      <c r="F68" s="2">
        <f t="shared" si="1"/>
        <v>1.5</v>
      </c>
    </row>
    <row r="69" spans="2:7" x14ac:dyDescent="0.25">
      <c r="B69" s="3">
        <v>45418</v>
      </c>
      <c r="C69" s="2" t="s">
        <v>589</v>
      </c>
      <c r="D69" s="2"/>
      <c r="E69" s="23">
        <v>66.5</v>
      </c>
      <c r="F69" s="2">
        <f t="shared" si="1"/>
        <v>1.5</v>
      </c>
    </row>
    <row r="70" spans="2:7" x14ac:dyDescent="0.25">
      <c r="B70" s="3">
        <v>45419</v>
      </c>
      <c r="C70" s="2" t="s">
        <v>590</v>
      </c>
      <c r="D70" s="2"/>
      <c r="E70" s="23">
        <v>67</v>
      </c>
      <c r="F70" s="2">
        <f t="shared" si="1"/>
        <v>0.5</v>
      </c>
    </row>
    <row r="71" spans="2:7" x14ac:dyDescent="0.25">
      <c r="B71" s="3">
        <v>45420</v>
      </c>
      <c r="C71" s="2" t="s">
        <v>591</v>
      </c>
      <c r="D71" s="2"/>
      <c r="E71" s="23">
        <v>68</v>
      </c>
      <c r="F71" s="2">
        <f t="shared" si="1"/>
        <v>1</v>
      </c>
    </row>
    <row r="72" spans="2:7" x14ac:dyDescent="0.25">
      <c r="B72" s="3">
        <v>45421</v>
      </c>
      <c r="C72" s="2" t="s">
        <v>592</v>
      </c>
      <c r="D72" s="2"/>
      <c r="E72" s="23">
        <v>68.5</v>
      </c>
      <c r="F72" s="2">
        <f t="shared" si="1"/>
        <v>0.5</v>
      </c>
    </row>
    <row r="73" spans="2:7" x14ac:dyDescent="0.25">
      <c r="B73" s="3">
        <v>45422</v>
      </c>
      <c r="C73" s="2" t="s">
        <v>593</v>
      </c>
      <c r="D73" s="2"/>
      <c r="E73" s="23">
        <v>68.5</v>
      </c>
      <c r="F73" s="2">
        <f t="shared" si="1"/>
        <v>0</v>
      </c>
    </row>
    <row r="74" spans="2:7" x14ac:dyDescent="0.25">
      <c r="B74" s="3">
        <v>45423</v>
      </c>
      <c r="C74" s="2" t="s">
        <v>593</v>
      </c>
      <c r="D74" s="2"/>
      <c r="E74" s="23">
        <v>68.5</v>
      </c>
      <c r="F74" s="2">
        <f t="shared" si="1"/>
        <v>0</v>
      </c>
    </row>
    <row r="75" spans="2:7" x14ac:dyDescent="0.25">
      <c r="B75" s="3">
        <v>45424</v>
      </c>
      <c r="C75" s="2" t="s">
        <v>594</v>
      </c>
      <c r="D75" s="2"/>
      <c r="E75" s="23">
        <v>70.5</v>
      </c>
      <c r="F75" s="2">
        <f t="shared" si="1"/>
        <v>2</v>
      </c>
    </row>
    <row r="76" spans="2:7" x14ac:dyDescent="0.25">
      <c r="B76" s="3">
        <v>45425</v>
      </c>
      <c r="C76" s="2" t="s">
        <v>595</v>
      </c>
      <c r="D76" s="2"/>
      <c r="E76" s="23">
        <v>71.099999999999994</v>
      </c>
      <c r="F76" s="2">
        <f t="shared" si="1"/>
        <v>0.59999999999999432</v>
      </c>
    </row>
    <row r="77" spans="2:7" x14ac:dyDescent="0.25">
      <c r="B77" s="3">
        <v>45426</v>
      </c>
      <c r="C77" s="2" t="s">
        <v>596</v>
      </c>
      <c r="D77" s="2"/>
      <c r="E77" s="23">
        <v>72</v>
      </c>
      <c r="F77" s="2">
        <f t="shared" si="1"/>
        <v>0.90000000000000568</v>
      </c>
    </row>
    <row r="78" spans="2:7" x14ac:dyDescent="0.25">
      <c r="B78" s="3">
        <v>45427</v>
      </c>
      <c r="C78" s="2" t="s">
        <v>597</v>
      </c>
      <c r="D78" s="2"/>
      <c r="E78" s="23">
        <v>72.3</v>
      </c>
      <c r="F78" s="2">
        <f t="shared" si="1"/>
        <v>0.29999999999999716</v>
      </c>
    </row>
    <row r="79" spans="2:7" x14ac:dyDescent="0.25">
      <c r="B79" s="3">
        <v>45428</v>
      </c>
      <c r="C79" s="2" t="s">
        <v>598</v>
      </c>
      <c r="D79" s="2"/>
      <c r="E79" s="23">
        <v>72.599999999999994</v>
      </c>
      <c r="F79" s="2">
        <f t="shared" si="1"/>
        <v>0.29999999999999716</v>
      </c>
    </row>
    <row r="80" spans="2:7" x14ac:dyDescent="0.25">
      <c r="B80" s="3">
        <v>45429</v>
      </c>
      <c r="C80" s="2" t="s">
        <v>599</v>
      </c>
      <c r="D80" s="2"/>
      <c r="E80" s="23">
        <v>72.599999999999994</v>
      </c>
      <c r="F80" s="2">
        <f t="shared" si="1"/>
        <v>0</v>
      </c>
    </row>
    <row r="81" spans="2:6" x14ac:dyDescent="0.25">
      <c r="B81" s="3">
        <v>45430</v>
      </c>
      <c r="C81" s="2" t="s">
        <v>600</v>
      </c>
      <c r="D81" s="2"/>
      <c r="E81" s="23">
        <v>72.599999999999994</v>
      </c>
      <c r="F81" s="2">
        <f t="shared" si="1"/>
        <v>0</v>
      </c>
    </row>
    <row r="82" spans="2:6" x14ac:dyDescent="0.25">
      <c r="B82" s="3">
        <v>45431</v>
      </c>
      <c r="C82" s="2" t="s">
        <v>601</v>
      </c>
      <c r="D82" s="2"/>
      <c r="E82" s="23">
        <v>73.099999999999994</v>
      </c>
      <c r="F82" s="2">
        <f t="shared" si="1"/>
        <v>0.5</v>
      </c>
    </row>
    <row r="83" spans="2:6" x14ac:dyDescent="0.25">
      <c r="B83" s="3">
        <v>45432</v>
      </c>
      <c r="C83" s="2" t="s">
        <v>602</v>
      </c>
      <c r="D83" s="2"/>
      <c r="E83" s="23">
        <v>73.25</v>
      </c>
      <c r="F83" s="2">
        <f t="shared" si="1"/>
        <v>0.15000000000000568</v>
      </c>
    </row>
    <row r="84" spans="2:6" x14ac:dyDescent="0.25">
      <c r="B84" s="3">
        <v>45433</v>
      </c>
      <c r="C84" s="2" t="s">
        <v>603</v>
      </c>
      <c r="D84" s="2"/>
      <c r="E84" s="23">
        <v>73.400000000000006</v>
      </c>
      <c r="F84" s="2">
        <f t="shared" si="1"/>
        <v>0.15000000000000568</v>
      </c>
    </row>
    <row r="85" spans="2:6" x14ac:dyDescent="0.25">
      <c r="B85" s="3">
        <v>45434</v>
      </c>
      <c r="C85" s="2" t="s">
        <v>603</v>
      </c>
      <c r="D85" s="2"/>
      <c r="E85" s="23">
        <v>73.400000000000006</v>
      </c>
      <c r="F85" s="2">
        <f t="shared" si="1"/>
        <v>0</v>
      </c>
    </row>
    <row r="86" spans="2:6" x14ac:dyDescent="0.25">
      <c r="B86" s="3">
        <v>45435</v>
      </c>
      <c r="C86" s="2" t="s">
        <v>604</v>
      </c>
      <c r="D86" s="2"/>
      <c r="E86" s="23">
        <v>73.599999999999994</v>
      </c>
      <c r="F86" s="2">
        <f t="shared" si="1"/>
        <v>0.19999999999998863</v>
      </c>
    </row>
    <row r="87" spans="2:6" x14ac:dyDescent="0.25">
      <c r="B87" s="3">
        <v>45436</v>
      </c>
      <c r="C87" s="2" t="s">
        <v>605</v>
      </c>
      <c r="D87" s="2"/>
      <c r="E87" s="23">
        <v>73.599999999999994</v>
      </c>
      <c r="F87" s="2">
        <f t="shared" si="1"/>
        <v>0</v>
      </c>
    </row>
    <row r="88" spans="2:6" x14ac:dyDescent="0.25">
      <c r="B88" s="3">
        <v>45437</v>
      </c>
      <c r="C88" s="2" t="s">
        <v>606</v>
      </c>
      <c r="D88" s="2"/>
      <c r="E88" s="23">
        <v>74.099999999999994</v>
      </c>
      <c r="F88" s="2">
        <f t="shared" si="1"/>
        <v>0.5</v>
      </c>
    </row>
    <row r="89" spans="2:6" x14ac:dyDescent="0.25">
      <c r="B89" s="3">
        <v>45438</v>
      </c>
      <c r="C89" s="2" t="s">
        <v>607</v>
      </c>
      <c r="D89" s="2"/>
      <c r="E89" s="23">
        <v>76.400000000000006</v>
      </c>
      <c r="F89" s="2">
        <f t="shared" si="1"/>
        <v>2.3000000000000114</v>
      </c>
    </row>
    <row r="90" spans="2:6" x14ac:dyDescent="0.25">
      <c r="B90" s="3">
        <v>45439</v>
      </c>
      <c r="C90" s="2" t="s">
        <v>608</v>
      </c>
      <c r="D90" s="2"/>
      <c r="E90" s="23">
        <v>85</v>
      </c>
      <c r="F90" s="2">
        <f t="shared" si="1"/>
        <v>8.5999999999999943</v>
      </c>
    </row>
    <row r="91" spans="2:6" x14ac:dyDescent="0.25">
      <c r="B91" s="3">
        <v>45440</v>
      </c>
      <c r="C91" s="2" t="s">
        <v>609</v>
      </c>
      <c r="D91" s="2" t="s">
        <v>610</v>
      </c>
      <c r="E91" s="23">
        <v>86</v>
      </c>
      <c r="F91" s="2">
        <f t="shared" si="1"/>
        <v>1</v>
      </c>
    </row>
    <row r="92" spans="2:6" x14ac:dyDescent="0.25">
      <c r="B92" s="3">
        <v>45441</v>
      </c>
      <c r="C92" s="2" t="s">
        <v>611</v>
      </c>
      <c r="D92" s="2" t="s">
        <v>612</v>
      </c>
      <c r="E92" s="23">
        <v>87</v>
      </c>
      <c r="F92" s="2">
        <f t="shared" si="1"/>
        <v>1</v>
      </c>
    </row>
    <row r="93" spans="2:6" x14ac:dyDescent="0.25">
      <c r="B93" s="3">
        <v>45442</v>
      </c>
      <c r="C93" s="2" t="s">
        <v>613</v>
      </c>
      <c r="D93" s="2" t="s">
        <v>614</v>
      </c>
      <c r="E93" s="23">
        <v>87</v>
      </c>
      <c r="F93" s="2">
        <f t="shared" si="1"/>
        <v>0</v>
      </c>
    </row>
    <row r="94" spans="2:6" x14ac:dyDescent="0.25">
      <c r="B94" s="3">
        <v>45443</v>
      </c>
      <c r="C94" s="2" t="s">
        <v>615</v>
      </c>
      <c r="D94" s="2"/>
      <c r="E94" s="23">
        <v>87</v>
      </c>
      <c r="F94" s="2">
        <f t="shared" si="1"/>
        <v>0</v>
      </c>
    </row>
    <row r="95" spans="2:6" x14ac:dyDescent="0.25">
      <c r="B95" s="21" t="s">
        <v>255</v>
      </c>
      <c r="C95" s="2" t="s">
        <v>615</v>
      </c>
      <c r="D95" s="2"/>
      <c r="E95" s="23">
        <v>87</v>
      </c>
      <c r="F95" s="2">
        <f t="shared" si="1"/>
        <v>0</v>
      </c>
    </row>
    <row r="96" spans="2:6" x14ac:dyDescent="0.25">
      <c r="B96" s="21" t="s">
        <v>258</v>
      </c>
      <c r="C96" s="2" t="s">
        <v>616</v>
      </c>
      <c r="D96" s="2"/>
      <c r="E96" s="23">
        <v>87</v>
      </c>
      <c r="F96" s="2">
        <f t="shared" si="1"/>
        <v>0</v>
      </c>
    </row>
    <row r="97" spans="2:6" x14ac:dyDescent="0.25">
      <c r="B97" s="21" t="s">
        <v>269</v>
      </c>
      <c r="C97" s="2" t="s">
        <v>616</v>
      </c>
      <c r="D97" s="2"/>
      <c r="E97" s="23">
        <v>87</v>
      </c>
      <c r="F97" s="2">
        <f t="shared" si="1"/>
        <v>0</v>
      </c>
    </row>
    <row r="98" spans="2:6" x14ac:dyDescent="0.25">
      <c r="B98" s="21" t="s">
        <v>275</v>
      </c>
      <c r="C98" s="2" t="s">
        <v>617</v>
      </c>
      <c r="D98" s="2"/>
      <c r="E98" s="23">
        <v>87</v>
      </c>
      <c r="F98" s="2">
        <f t="shared" si="1"/>
        <v>0</v>
      </c>
    </row>
    <row r="99" spans="2:6" x14ac:dyDescent="0.25">
      <c r="B99" s="21" t="s">
        <v>275</v>
      </c>
      <c r="C99" s="2" t="s">
        <v>618</v>
      </c>
      <c r="D99" s="2"/>
      <c r="E99" s="23">
        <v>87</v>
      </c>
      <c r="F99" s="2">
        <f t="shared" si="1"/>
        <v>0</v>
      </c>
    </row>
    <row r="100" spans="2:6" x14ac:dyDescent="0.25">
      <c r="B100" s="21" t="s">
        <v>698</v>
      </c>
      <c r="C100" s="2" t="s">
        <v>699</v>
      </c>
      <c r="D100" s="2"/>
      <c r="E100" s="23">
        <v>87</v>
      </c>
      <c r="F100" s="2">
        <f t="shared" si="1"/>
        <v>0</v>
      </c>
    </row>
    <row r="101" spans="2:6" x14ac:dyDescent="0.25">
      <c r="B101" s="21" t="s">
        <v>710</v>
      </c>
      <c r="C101" s="2" t="s">
        <v>711</v>
      </c>
      <c r="D101" s="2"/>
      <c r="E101" s="23">
        <v>87</v>
      </c>
      <c r="F101" s="2">
        <f t="shared" si="1"/>
        <v>0</v>
      </c>
    </row>
    <row r="102" spans="2:6" x14ac:dyDescent="0.25">
      <c r="B102" s="21" t="s">
        <v>722</v>
      </c>
      <c r="C102" s="2" t="s">
        <v>721</v>
      </c>
      <c r="D102" s="2"/>
      <c r="E102" s="23">
        <v>90</v>
      </c>
      <c r="F102" s="2">
        <f t="shared" si="1"/>
        <v>3</v>
      </c>
    </row>
    <row r="103" spans="2:6" x14ac:dyDescent="0.25">
      <c r="B103" s="21" t="s">
        <v>723</v>
      </c>
      <c r="C103" s="2" t="s">
        <v>739</v>
      </c>
      <c r="D103" s="2"/>
      <c r="E103" s="23">
        <v>96</v>
      </c>
      <c r="F103" s="2">
        <f t="shared" si="1"/>
        <v>6</v>
      </c>
    </row>
    <row r="104" spans="2:6" x14ac:dyDescent="0.25">
      <c r="B104" s="21" t="s">
        <v>745</v>
      </c>
      <c r="C104" s="2" t="s">
        <v>747</v>
      </c>
      <c r="D104" s="2"/>
      <c r="E104" s="23">
        <v>96</v>
      </c>
      <c r="F104" s="2">
        <f t="shared" si="1"/>
        <v>0</v>
      </c>
    </row>
    <row r="105" spans="2:6" x14ac:dyDescent="0.25">
      <c r="B105" s="21" t="s">
        <v>754</v>
      </c>
      <c r="C105" s="2" t="s">
        <v>755</v>
      </c>
      <c r="D105" s="2"/>
      <c r="E105" s="23">
        <v>96</v>
      </c>
      <c r="F105" s="2">
        <f t="shared" si="1"/>
        <v>0</v>
      </c>
    </row>
    <row r="106" spans="2:6" x14ac:dyDescent="0.25">
      <c r="B106" s="21" t="s">
        <v>763</v>
      </c>
      <c r="C106" s="2" t="s">
        <v>764</v>
      </c>
      <c r="D106" s="2"/>
      <c r="E106" s="23">
        <v>96</v>
      </c>
      <c r="F106" s="2">
        <f t="shared" si="1"/>
        <v>0</v>
      </c>
    </row>
    <row r="107" spans="2:6" x14ac:dyDescent="0.25">
      <c r="B107" s="21" t="s">
        <v>775</v>
      </c>
      <c r="C107" s="2" t="s">
        <v>777</v>
      </c>
      <c r="D107" s="2"/>
      <c r="E107" s="23">
        <v>96</v>
      </c>
      <c r="F107" s="2">
        <f t="shared" si="1"/>
        <v>0</v>
      </c>
    </row>
    <row r="108" spans="2:6" x14ac:dyDescent="0.25">
      <c r="B108" s="21" t="s">
        <v>780</v>
      </c>
      <c r="C108" s="2" t="s">
        <v>781</v>
      </c>
      <c r="D108" s="2"/>
      <c r="E108" s="23">
        <v>102</v>
      </c>
      <c r="F108" s="2">
        <f t="shared" si="1"/>
        <v>6</v>
      </c>
    </row>
    <row r="109" spans="2:6" x14ac:dyDescent="0.25">
      <c r="B109" s="21" t="s">
        <v>792</v>
      </c>
      <c r="C109" s="2" t="s">
        <v>795</v>
      </c>
      <c r="D109" s="2"/>
      <c r="E109" s="23">
        <v>110</v>
      </c>
      <c r="F109" s="2">
        <f t="shared" si="1"/>
        <v>8</v>
      </c>
    </row>
    <row r="110" spans="2:6" x14ac:dyDescent="0.25">
      <c r="B110" s="21" t="s">
        <v>793</v>
      </c>
      <c r="C110" s="2" t="s">
        <v>796</v>
      </c>
      <c r="D110" s="2"/>
      <c r="E110" s="23">
        <v>111.5</v>
      </c>
      <c r="F110" s="2">
        <f t="shared" si="1"/>
        <v>1.5</v>
      </c>
    </row>
    <row r="111" spans="2:6" x14ac:dyDescent="0.25">
      <c r="B111" s="21" t="s">
        <v>794</v>
      </c>
      <c r="C111" s="2" t="s">
        <v>131</v>
      </c>
      <c r="D111" s="2"/>
      <c r="E111" s="23">
        <v>111.5</v>
      </c>
      <c r="F111" s="2">
        <f t="shared" si="1"/>
        <v>0</v>
      </c>
    </row>
    <row r="112" spans="2:6" x14ac:dyDescent="0.25">
      <c r="B112" s="21" t="s">
        <v>806</v>
      </c>
      <c r="C112" s="2" t="s">
        <v>807</v>
      </c>
      <c r="D112" s="2"/>
      <c r="E112" s="23">
        <v>115</v>
      </c>
      <c r="F112" s="2">
        <f t="shared" si="1"/>
        <v>3.5</v>
      </c>
    </row>
    <row r="113" spans="2:6" x14ac:dyDescent="0.25">
      <c r="B113" s="21" t="s">
        <v>814</v>
      </c>
      <c r="C113" s="2" t="s">
        <v>815</v>
      </c>
      <c r="D113" s="2"/>
      <c r="E113" s="23">
        <v>120</v>
      </c>
      <c r="F113" s="2">
        <f t="shared" si="1"/>
        <v>5</v>
      </c>
    </row>
    <row r="114" spans="2:6" x14ac:dyDescent="0.25">
      <c r="B114" s="21" t="s">
        <v>821</v>
      </c>
      <c r="C114" s="2" t="s">
        <v>823</v>
      </c>
      <c r="D114" s="2" t="s">
        <v>830</v>
      </c>
      <c r="E114" s="23"/>
      <c r="F114" s="2">
        <v>0</v>
      </c>
    </row>
    <row r="115" spans="2:6" x14ac:dyDescent="0.25">
      <c r="B115" s="21" t="s">
        <v>833</v>
      </c>
      <c r="C115" s="2" t="s">
        <v>850</v>
      </c>
      <c r="D115" s="2"/>
      <c r="E115" s="23">
        <v>0</v>
      </c>
      <c r="F115" s="2">
        <f t="shared" si="1"/>
        <v>0</v>
      </c>
    </row>
    <row r="116" spans="2:6" x14ac:dyDescent="0.25">
      <c r="B116" s="21" t="s">
        <v>838</v>
      </c>
      <c r="C116" s="2" t="s">
        <v>851</v>
      </c>
      <c r="D116" s="2"/>
      <c r="E116" s="23">
        <v>15</v>
      </c>
      <c r="F116" s="2">
        <f t="shared" si="1"/>
        <v>15</v>
      </c>
    </row>
    <row r="117" spans="2:6" x14ac:dyDescent="0.25">
      <c r="B117" s="21" t="s">
        <v>839</v>
      </c>
      <c r="C117" s="2" t="s">
        <v>852</v>
      </c>
      <c r="D117" s="2"/>
      <c r="E117" s="23">
        <v>20</v>
      </c>
      <c r="F117" s="2">
        <f t="shared" si="1"/>
        <v>5</v>
      </c>
    </row>
    <row r="118" spans="2:6" x14ac:dyDescent="0.25">
      <c r="B118" s="21" t="s">
        <v>861</v>
      </c>
      <c r="C118" s="2" t="s">
        <v>862</v>
      </c>
      <c r="D118" s="2"/>
      <c r="E118" s="23">
        <v>24</v>
      </c>
      <c r="F118" s="2">
        <f t="shared" si="1"/>
        <v>4</v>
      </c>
    </row>
    <row r="119" spans="2:6" x14ac:dyDescent="0.25">
      <c r="B119" s="21" t="s">
        <v>871</v>
      </c>
      <c r="C119" s="2" t="s">
        <v>873</v>
      </c>
      <c r="D119" s="2" t="s">
        <v>874</v>
      </c>
      <c r="E119" s="23">
        <v>30</v>
      </c>
      <c r="F119" s="2">
        <f t="shared" si="1"/>
        <v>6</v>
      </c>
    </row>
    <row r="120" spans="2:6" x14ac:dyDescent="0.25">
      <c r="B120" s="21" t="s">
        <v>895</v>
      </c>
      <c r="C120" s="2" t="s">
        <v>900</v>
      </c>
      <c r="D120" s="2"/>
      <c r="E120" s="23">
        <v>30</v>
      </c>
      <c r="F120" s="2">
        <f t="shared" si="1"/>
        <v>0</v>
      </c>
    </row>
    <row r="121" spans="2:6" x14ac:dyDescent="0.25">
      <c r="B121" s="21" t="s">
        <v>921</v>
      </c>
      <c r="C121" s="2" t="s">
        <v>923</v>
      </c>
      <c r="D121" s="2"/>
      <c r="E121" s="23">
        <v>30</v>
      </c>
      <c r="F121" s="2">
        <f t="shared" si="1"/>
        <v>0</v>
      </c>
    </row>
    <row r="122" spans="2:6" x14ac:dyDescent="0.25">
      <c r="B122" s="21" t="s">
        <v>922</v>
      </c>
      <c r="C122" s="2" t="s">
        <v>923</v>
      </c>
      <c r="D122" s="2"/>
      <c r="E122" s="23">
        <v>30</v>
      </c>
      <c r="F122" s="2">
        <f t="shared" si="1"/>
        <v>0</v>
      </c>
    </row>
    <row r="123" spans="2:6" x14ac:dyDescent="0.25">
      <c r="B123" s="21" t="s">
        <v>943</v>
      </c>
      <c r="C123" s="2" t="s">
        <v>923</v>
      </c>
      <c r="D123" s="2" t="s">
        <v>958</v>
      </c>
      <c r="E123" s="23">
        <v>30</v>
      </c>
      <c r="F123" s="2">
        <f t="shared" si="1"/>
        <v>0</v>
      </c>
    </row>
    <row r="124" spans="2:6" x14ac:dyDescent="0.25">
      <c r="B124" s="21" t="s">
        <v>961</v>
      </c>
      <c r="C124" s="2" t="s">
        <v>962</v>
      </c>
      <c r="D124" s="2"/>
      <c r="E124" s="23">
        <v>30</v>
      </c>
      <c r="F124" s="2">
        <f t="shared" si="1"/>
        <v>0</v>
      </c>
    </row>
    <row r="125" spans="2:6" x14ac:dyDescent="0.25">
      <c r="B125" s="21" t="s">
        <v>968</v>
      </c>
      <c r="C125" s="2" t="s">
        <v>969</v>
      </c>
      <c r="D125" s="2" t="s">
        <v>970</v>
      </c>
      <c r="E125" s="23">
        <v>35</v>
      </c>
      <c r="F125" s="2">
        <f>E125-E124</f>
        <v>5</v>
      </c>
    </row>
    <row r="126" spans="2:6" x14ac:dyDescent="0.25">
      <c r="B126" s="21" t="s">
        <v>981</v>
      </c>
      <c r="C126" s="2" t="s">
        <v>985</v>
      </c>
      <c r="D126" s="2" t="s">
        <v>984</v>
      </c>
      <c r="E126" s="23">
        <v>40</v>
      </c>
      <c r="F126" s="2">
        <f>E126-E125</f>
        <v>5</v>
      </c>
    </row>
    <row r="127" spans="2:6" x14ac:dyDescent="0.25">
      <c r="B127" s="21" t="s">
        <v>994</v>
      </c>
      <c r="C127" s="2" t="s">
        <v>995</v>
      </c>
      <c r="D127" s="2"/>
      <c r="E127" s="23">
        <v>40</v>
      </c>
      <c r="F127" s="2">
        <f t="shared" ref="F127:F190" si="2">E127-E126</f>
        <v>0</v>
      </c>
    </row>
    <row r="128" spans="2:6" x14ac:dyDescent="0.25">
      <c r="B128" s="21" t="s">
        <v>1009</v>
      </c>
      <c r="C128" s="2" t="s">
        <v>1012</v>
      </c>
      <c r="D128" s="2"/>
      <c r="E128" s="23">
        <v>42</v>
      </c>
      <c r="F128" s="2">
        <f t="shared" si="2"/>
        <v>2</v>
      </c>
    </row>
    <row r="129" spans="2:6" x14ac:dyDescent="0.25">
      <c r="B129" s="21" t="s">
        <v>1021</v>
      </c>
      <c r="C129" s="2" t="s">
        <v>1024</v>
      </c>
      <c r="D129" s="2"/>
      <c r="E129" s="23">
        <v>43.5</v>
      </c>
      <c r="F129" s="2">
        <f t="shared" si="2"/>
        <v>1.5</v>
      </c>
    </row>
    <row r="130" spans="2:6" x14ac:dyDescent="0.25">
      <c r="B130" s="21" t="s">
        <v>1022</v>
      </c>
      <c r="C130" s="2" t="s">
        <v>1023</v>
      </c>
      <c r="D130" s="2" t="s">
        <v>1025</v>
      </c>
      <c r="E130" s="23">
        <v>44</v>
      </c>
      <c r="F130" s="2">
        <f t="shared" si="2"/>
        <v>0.5</v>
      </c>
    </row>
    <row r="131" spans="2:6" x14ac:dyDescent="0.25">
      <c r="B131" s="21" t="s">
        <v>1042</v>
      </c>
      <c r="C131" s="2" t="s">
        <v>1044</v>
      </c>
      <c r="D131" s="2"/>
      <c r="E131" s="23">
        <v>44</v>
      </c>
      <c r="F131" s="2">
        <f t="shared" si="2"/>
        <v>0</v>
      </c>
    </row>
    <row r="132" spans="2:6" x14ac:dyDescent="0.25">
      <c r="B132" s="21" t="s">
        <v>1051</v>
      </c>
      <c r="C132" s="2" t="s">
        <v>1052</v>
      </c>
      <c r="D132" s="2"/>
      <c r="E132" s="23">
        <v>44</v>
      </c>
      <c r="F132" s="2">
        <f t="shared" si="2"/>
        <v>0</v>
      </c>
    </row>
    <row r="133" spans="2:6" x14ac:dyDescent="0.25">
      <c r="B133" s="21" t="s">
        <v>1097</v>
      </c>
      <c r="C133" s="2" t="s">
        <v>1052</v>
      </c>
      <c r="D133" s="2"/>
      <c r="E133" s="23">
        <v>44</v>
      </c>
      <c r="F133" s="2">
        <f t="shared" si="2"/>
        <v>0</v>
      </c>
    </row>
    <row r="134" spans="2:6" x14ac:dyDescent="0.25">
      <c r="B134" s="21" t="s">
        <v>1111</v>
      </c>
      <c r="C134" s="2" t="s">
        <v>1117</v>
      </c>
      <c r="D134" s="2"/>
      <c r="E134" s="23">
        <v>44.5</v>
      </c>
      <c r="F134" s="2">
        <f t="shared" si="2"/>
        <v>0.5</v>
      </c>
    </row>
    <row r="135" spans="2:6" x14ac:dyDescent="0.25">
      <c r="B135" s="21" t="s">
        <v>1112</v>
      </c>
      <c r="C135" s="2" t="s">
        <v>1118</v>
      </c>
      <c r="D135" s="2"/>
      <c r="E135" s="23">
        <v>44.5</v>
      </c>
      <c r="F135" s="2">
        <f t="shared" si="2"/>
        <v>0</v>
      </c>
    </row>
    <row r="136" spans="2:6" x14ac:dyDescent="0.25">
      <c r="B136" s="21" t="s">
        <v>1128</v>
      </c>
      <c r="C136" s="2" t="s">
        <v>1129</v>
      </c>
      <c r="D136" s="2"/>
      <c r="E136" s="23">
        <v>44.5</v>
      </c>
      <c r="F136" s="2">
        <f t="shared" si="2"/>
        <v>0</v>
      </c>
    </row>
    <row r="137" spans="2:6" x14ac:dyDescent="0.25">
      <c r="B137" s="21" t="s">
        <v>1138</v>
      </c>
      <c r="C137" s="2" t="s">
        <v>1146</v>
      </c>
      <c r="D137" s="2"/>
      <c r="E137" s="23">
        <v>46</v>
      </c>
      <c r="F137" s="2">
        <f t="shared" si="2"/>
        <v>1.5</v>
      </c>
    </row>
    <row r="138" spans="2:6" x14ac:dyDescent="0.25">
      <c r="B138" s="21" t="s">
        <v>1151</v>
      </c>
      <c r="C138" s="2" t="s">
        <v>1152</v>
      </c>
      <c r="D138" s="2"/>
      <c r="E138" s="23">
        <v>46</v>
      </c>
      <c r="F138" s="2">
        <f t="shared" si="2"/>
        <v>0</v>
      </c>
    </row>
    <row r="139" spans="2:6" x14ac:dyDescent="0.25">
      <c r="B139" s="21" t="s">
        <v>1163</v>
      </c>
      <c r="C139" s="2" t="s">
        <v>1167</v>
      </c>
      <c r="D139" s="2"/>
      <c r="E139" s="23">
        <v>46</v>
      </c>
      <c r="F139" s="2">
        <f t="shared" si="2"/>
        <v>0</v>
      </c>
    </row>
    <row r="140" spans="2:6" x14ac:dyDescent="0.25">
      <c r="B140" s="21" t="s">
        <v>1176</v>
      </c>
      <c r="C140" s="2" t="s">
        <v>1177</v>
      </c>
      <c r="D140" s="2"/>
      <c r="E140" s="23">
        <v>48</v>
      </c>
      <c r="F140" s="2">
        <f t="shared" si="2"/>
        <v>2</v>
      </c>
    </row>
    <row r="141" spans="2:6" x14ac:dyDescent="0.25">
      <c r="B141" s="21" t="s">
        <v>1191</v>
      </c>
      <c r="C141" s="2" t="s">
        <v>1193</v>
      </c>
      <c r="D141" s="2"/>
      <c r="E141" s="23">
        <v>48</v>
      </c>
      <c r="F141" s="2">
        <v>0.5</v>
      </c>
    </row>
    <row r="142" spans="2:6" x14ac:dyDescent="0.25">
      <c r="B142" s="21" t="s">
        <v>1192</v>
      </c>
      <c r="C142" s="2" t="s">
        <v>1194</v>
      </c>
      <c r="D142" s="2"/>
      <c r="E142" s="23">
        <v>48.3</v>
      </c>
      <c r="F142" s="2">
        <f t="shared" si="2"/>
        <v>0.29999999999999716</v>
      </c>
    </row>
    <row r="143" spans="2:6" x14ac:dyDescent="0.25">
      <c r="B143" s="21" t="s">
        <v>1200</v>
      </c>
      <c r="C143" s="2" t="s">
        <v>1212</v>
      </c>
      <c r="D143" s="2"/>
      <c r="E143" s="23">
        <v>48.6</v>
      </c>
      <c r="F143" s="2">
        <f t="shared" si="2"/>
        <v>0.30000000000000426</v>
      </c>
    </row>
    <row r="144" spans="2:6" x14ac:dyDescent="0.25">
      <c r="B144" s="21" t="s">
        <v>1211</v>
      </c>
      <c r="C144" s="2" t="s">
        <v>1230</v>
      </c>
      <c r="D144" s="2"/>
      <c r="E144" s="23">
        <v>49.1</v>
      </c>
      <c r="F144" s="2">
        <f t="shared" si="2"/>
        <v>0.5</v>
      </c>
    </row>
    <row r="145" spans="2:6" x14ac:dyDescent="0.25">
      <c r="B145" s="21" t="s">
        <v>1245</v>
      </c>
      <c r="C145" s="2" t="s">
        <v>1248</v>
      </c>
      <c r="D145" s="2"/>
      <c r="E145" s="23">
        <v>50</v>
      </c>
      <c r="F145" s="2">
        <f t="shared" si="2"/>
        <v>0.89999999999999858</v>
      </c>
    </row>
    <row r="146" spans="2:6" x14ac:dyDescent="0.25">
      <c r="B146" s="21" t="s">
        <v>1256</v>
      </c>
      <c r="C146" s="2" t="s">
        <v>1258</v>
      </c>
      <c r="D146" s="2"/>
      <c r="E146" s="23">
        <v>51</v>
      </c>
      <c r="F146" s="2">
        <f t="shared" si="2"/>
        <v>1</v>
      </c>
    </row>
    <row r="147" spans="2:6" x14ac:dyDescent="0.25">
      <c r="B147" s="21" t="s">
        <v>1266</v>
      </c>
      <c r="C147" s="2" t="s">
        <v>1269</v>
      </c>
      <c r="D147" s="2"/>
      <c r="E147" s="23">
        <v>52</v>
      </c>
      <c r="F147" s="2">
        <f t="shared" si="2"/>
        <v>1</v>
      </c>
    </row>
    <row r="148" spans="2:6" x14ac:dyDescent="0.25">
      <c r="B148" s="21" t="s">
        <v>1279</v>
      </c>
      <c r="C148" s="2" t="s">
        <v>1289</v>
      </c>
      <c r="D148" s="2"/>
      <c r="E148" s="23">
        <v>52.6</v>
      </c>
      <c r="F148" s="2">
        <f t="shared" si="2"/>
        <v>0.60000000000000142</v>
      </c>
    </row>
    <row r="149" spans="2:6" x14ac:dyDescent="0.25">
      <c r="B149" s="21" t="s">
        <v>1280</v>
      </c>
      <c r="C149" s="2" t="s">
        <v>1287</v>
      </c>
      <c r="D149" s="2" t="s">
        <v>1288</v>
      </c>
      <c r="E149" s="23">
        <v>52.8</v>
      </c>
      <c r="F149" s="2">
        <f t="shared" si="2"/>
        <v>0.19999999999999574</v>
      </c>
    </row>
    <row r="150" spans="2:6" x14ac:dyDescent="0.25">
      <c r="B150" s="21" t="s">
        <v>1294</v>
      </c>
      <c r="C150" s="2" t="s">
        <v>1297</v>
      </c>
      <c r="D150" s="2"/>
      <c r="E150" s="23">
        <v>52.8</v>
      </c>
      <c r="F150" s="2">
        <f t="shared" si="2"/>
        <v>0</v>
      </c>
    </row>
    <row r="151" spans="2:6" x14ac:dyDescent="0.25">
      <c r="B151" s="21" t="s">
        <v>1306</v>
      </c>
      <c r="C151" s="2" t="s">
        <v>1310</v>
      </c>
      <c r="D151" s="2"/>
      <c r="E151" s="23">
        <v>53</v>
      </c>
      <c r="F151" s="2">
        <f t="shared" si="2"/>
        <v>0.20000000000000284</v>
      </c>
    </row>
    <row r="152" spans="2:6" x14ac:dyDescent="0.25">
      <c r="B152" s="21" t="s">
        <v>1319</v>
      </c>
      <c r="C152" s="2" t="s">
        <v>1321</v>
      </c>
      <c r="D152" s="2"/>
      <c r="E152" s="23">
        <v>53.5</v>
      </c>
      <c r="F152" s="2">
        <f t="shared" si="2"/>
        <v>0.5</v>
      </c>
    </row>
    <row r="153" spans="2:6" ht="30" x14ac:dyDescent="0.25">
      <c r="B153" s="25" t="s">
        <v>1327</v>
      </c>
      <c r="C153" s="30" t="s">
        <v>1329</v>
      </c>
      <c r="D153" s="2"/>
      <c r="E153" s="23">
        <v>53.5</v>
      </c>
      <c r="F153" s="2">
        <f t="shared" si="2"/>
        <v>0</v>
      </c>
    </row>
    <row r="154" spans="2:6" x14ac:dyDescent="0.25">
      <c r="B154" s="25" t="s">
        <v>1339</v>
      </c>
      <c r="C154" s="2" t="s">
        <v>1340</v>
      </c>
      <c r="D154" s="2"/>
      <c r="E154" s="23">
        <v>53.5</v>
      </c>
      <c r="F154" s="2">
        <f t="shared" si="2"/>
        <v>0</v>
      </c>
    </row>
    <row r="155" spans="2:6" x14ac:dyDescent="0.25">
      <c r="B155" s="25" t="s">
        <v>1358</v>
      </c>
      <c r="C155" s="2" t="s">
        <v>1363</v>
      </c>
      <c r="D155" s="2"/>
      <c r="E155" s="23">
        <v>53.5</v>
      </c>
      <c r="F155" s="2">
        <f t="shared" si="2"/>
        <v>0</v>
      </c>
    </row>
    <row r="156" spans="2:6" x14ac:dyDescent="0.25">
      <c r="B156" s="25" t="s">
        <v>1359</v>
      </c>
      <c r="C156" s="2" t="s">
        <v>1363</v>
      </c>
      <c r="D156" s="2" t="s">
        <v>1364</v>
      </c>
      <c r="E156" s="23">
        <v>53.5</v>
      </c>
      <c r="F156" s="2">
        <f t="shared" si="2"/>
        <v>0</v>
      </c>
    </row>
    <row r="157" spans="2:6" x14ac:dyDescent="0.25">
      <c r="B157" s="25" t="s">
        <v>1360</v>
      </c>
      <c r="C157" s="2" t="s">
        <v>1382</v>
      </c>
      <c r="D157" s="2"/>
      <c r="E157" s="23">
        <v>55.5</v>
      </c>
      <c r="F157" s="2">
        <f t="shared" si="2"/>
        <v>2</v>
      </c>
    </row>
    <row r="158" spans="2:6" x14ac:dyDescent="0.25">
      <c r="B158" s="25" t="s">
        <v>1391</v>
      </c>
      <c r="C158" s="2" t="s">
        <v>1394</v>
      </c>
      <c r="D158" s="2"/>
      <c r="E158" s="23">
        <v>56</v>
      </c>
      <c r="F158" s="2">
        <f t="shared" si="2"/>
        <v>0.5</v>
      </c>
    </row>
    <row r="159" spans="2:6" x14ac:dyDescent="0.25">
      <c r="B159" s="25" t="s">
        <v>1393</v>
      </c>
      <c r="C159" s="2" t="s">
        <v>1402</v>
      </c>
      <c r="D159" s="2"/>
      <c r="E159" s="23">
        <v>56.3</v>
      </c>
      <c r="F159" s="2">
        <f t="shared" si="2"/>
        <v>0.29999999999999716</v>
      </c>
    </row>
    <row r="160" spans="2:6" x14ac:dyDescent="0.25">
      <c r="B160" s="25" t="s">
        <v>1412</v>
      </c>
      <c r="C160" s="2" t="s">
        <v>1432</v>
      </c>
      <c r="D160" s="2"/>
      <c r="E160" s="23">
        <v>56.6</v>
      </c>
      <c r="F160" s="2">
        <f t="shared" si="2"/>
        <v>0.30000000000000426</v>
      </c>
    </row>
    <row r="161" spans="2:6" x14ac:dyDescent="0.25">
      <c r="B161" s="25" t="s">
        <v>1424</v>
      </c>
      <c r="C161" s="2" t="s">
        <v>1426</v>
      </c>
      <c r="D161" s="2"/>
      <c r="E161" s="23">
        <v>57</v>
      </c>
      <c r="F161" s="2">
        <f t="shared" si="2"/>
        <v>0.39999999999999858</v>
      </c>
    </row>
    <row r="162" spans="2:6" x14ac:dyDescent="0.25">
      <c r="B162" s="25" t="s">
        <v>1436</v>
      </c>
      <c r="C162" s="2" t="s">
        <v>1440</v>
      </c>
      <c r="D162" s="2"/>
      <c r="E162" s="23">
        <v>57.5</v>
      </c>
      <c r="F162" s="2">
        <f t="shared" si="2"/>
        <v>0.5</v>
      </c>
    </row>
    <row r="163" spans="2:6" x14ac:dyDescent="0.25">
      <c r="B163" s="25" t="s">
        <v>1437</v>
      </c>
      <c r="C163" s="2" t="s">
        <v>1447</v>
      </c>
      <c r="D163" s="2"/>
      <c r="E163" s="23">
        <v>58</v>
      </c>
      <c r="F163" s="2">
        <f t="shared" si="2"/>
        <v>0.5</v>
      </c>
    </row>
    <row r="164" spans="2:6" x14ac:dyDescent="0.25">
      <c r="B164" s="25" t="s">
        <v>1454</v>
      </c>
      <c r="C164" s="2" t="s">
        <v>1455</v>
      </c>
      <c r="D164" s="2" t="s">
        <v>1456</v>
      </c>
      <c r="E164" s="23">
        <v>58.3</v>
      </c>
      <c r="F164" s="2">
        <f t="shared" si="2"/>
        <v>0.29999999999999716</v>
      </c>
    </row>
    <row r="165" spans="2:6" x14ac:dyDescent="0.25">
      <c r="B165" s="25" t="s">
        <v>1460</v>
      </c>
      <c r="C165" s="2" t="s">
        <v>1462</v>
      </c>
      <c r="D165" s="2"/>
      <c r="E165" s="23">
        <v>58.8</v>
      </c>
      <c r="F165" s="2">
        <f t="shared" si="2"/>
        <v>0.5</v>
      </c>
    </row>
    <row r="166" spans="2:6" x14ac:dyDescent="0.25">
      <c r="B166" s="25" t="s">
        <v>1476</v>
      </c>
      <c r="C166" s="2" t="s">
        <v>1478</v>
      </c>
      <c r="D166" s="2"/>
      <c r="E166" s="23">
        <v>59.5</v>
      </c>
      <c r="F166" s="2">
        <f t="shared" si="2"/>
        <v>0.70000000000000284</v>
      </c>
    </row>
    <row r="167" spans="2:6" x14ac:dyDescent="0.25">
      <c r="B167" s="25" t="s">
        <v>1477</v>
      </c>
      <c r="C167" s="2" t="s">
        <v>1499</v>
      </c>
      <c r="D167" s="2"/>
      <c r="E167" s="23">
        <v>60.5</v>
      </c>
      <c r="F167" s="2">
        <f t="shared" si="2"/>
        <v>1</v>
      </c>
    </row>
    <row r="168" spans="2:6" x14ac:dyDescent="0.25">
      <c r="B168" s="25" t="s">
        <v>1516</v>
      </c>
      <c r="C168" s="2" t="s">
        <v>1517</v>
      </c>
      <c r="D168" s="2"/>
      <c r="E168" s="23">
        <v>61</v>
      </c>
      <c r="F168" s="2">
        <f t="shared" si="2"/>
        <v>0.5</v>
      </c>
    </row>
    <row r="169" spans="2:6" x14ac:dyDescent="0.25">
      <c r="B169" s="25" t="s">
        <v>1515</v>
      </c>
      <c r="C169" s="2" t="s">
        <v>1514</v>
      </c>
      <c r="D169" s="2"/>
      <c r="E169" s="23">
        <v>61.7</v>
      </c>
      <c r="F169" s="2">
        <f t="shared" si="2"/>
        <v>0.70000000000000284</v>
      </c>
    </row>
    <row r="170" spans="2:6" x14ac:dyDescent="0.25">
      <c r="B170" s="25" t="s">
        <v>1533</v>
      </c>
      <c r="C170" s="2" t="s">
        <v>1542</v>
      </c>
      <c r="D170" s="2"/>
      <c r="E170" s="23">
        <v>62.5</v>
      </c>
      <c r="F170" s="2">
        <f t="shared" si="2"/>
        <v>0.79999999999999716</v>
      </c>
    </row>
    <row r="171" spans="2:6" x14ac:dyDescent="0.25">
      <c r="B171" s="25" t="s">
        <v>1547</v>
      </c>
      <c r="C171" s="2" t="s">
        <v>1548</v>
      </c>
      <c r="D171" s="2"/>
      <c r="E171" s="23">
        <v>63.5</v>
      </c>
      <c r="F171" s="2">
        <f t="shared" si="2"/>
        <v>1</v>
      </c>
    </row>
    <row r="172" spans="2:6" x14ac:dyDescent="0.25">
      <c r="B172" s="25" t="s">
        <v>1570</v>
      </c>
      <c r="C172" s="2" t="s">
        <v>1576</v>
      </c>
      <c r="D172" s="2"/>
      <c r="E172" s="23">
        <v>64</v>
      </c>
      <c r="F172" s="2">
        <f t="shared" si="2"/>
        <v>0.5</v>
      </c>
    </row>
    <row r="173" spans="2:6" x14ac:dyDescent="0.25">
      <c r="B173" s="25" t="s">
        <v>1571</v>
      </c>
      <c r="C173" s="2" t="s">
        <v>1575</v>
      </c>
      <c r="D173" s="2"/>
      <c r="E173" s="23">
        <v>64.7</v>
      </c>
      <c r="F173" s="2">
        <f t="shared" si="2"/>
        <v>0.70000000000000284</v>
      </c>
    </row>
    <row r="174" spans="2:6" x14ac:dyDescent="0.25">
      <c r="B174" s="25" t="s">
        <v>1572</v>
      </c>
      <c r="C174" s="2" t="s">
        <v>1583</v>
      </c>
      <c r="D174" s="2"/>
      <c r="E174" s="23">
        <v>65.5</v>
      </c>
      <c r="F174" s="2">
        <f t="shared" si="2"/>
        <v>0.79999999999999716</v>
      </c>
    </row>
    <row r="175" spans="2:6" x14ac:dyDescent="0.25">
      <c r="B175" s="25" t="s">
        <v>1573</v>
      </c>
      <c r="C175" s="2" t="s">
        <v>1600</v>
      </c>
      <c r="D175" s="2"/>
      <c r="E175" s="23">
        <v>66.5</v>
      </c>
      <c r="F175" s="2">
        <f t="shared" si="2"/>
        <v>1</v>
      </c>
    </row>
    <row r="176" spans="2:6" x14ac:dyDescent="0.25">
      <c r="B176" s="25" t="s">
        <v>1574</v>
      </c>
      <c r="C176" s="2" t="s">
        <v>1601</v>
      </c>
      <c r="D176" s="2"/>
      <c r="E176" s="23">
        <v>67</v>
      </c>
      <c r="F176" s="2">
        <f t="shared" si="2"/>
        <v>0.5</v>
      </c>
    </row>
    <row r="177" spans="2:6" x14ac:dyDescent="0.25">
      <c r="B177" s="25" t="s">
        <v>1618</v>
      </c>
      <c r="C177" s="2" t="s">
        <v>1619</v>
      </c>
      <c r="D177" s="2"/>
      <c r="E177" s="23">
        <v>67.650000000000006</v>
      </c>
      <c r="F177" s="2">
        <f t="shared" si="2"/>
        <v>0.65000000000000568</v>
      </c>
    </row>
    <row r="178" spans="2:6" x14ac:dyDescent="0.25">
      <c r="B178" s="25" t="s">
        <v>1627</v>
      </c>
      <c r="C178" s="2" t="s">
        <v>1628</v>
      </c>
      <c r="D178" s="2"/>
      <c r="E178" s="23">
        <v>68.150000000000006</v>
      </c>
      <c r="F178" s="2">
        <f t="shared" si="2"/>
        <v>0.5</v>
      </c>
    </row>
    <row r="179" spans="2:6" x14ac:dyDescent="0.25">
      <c r="B179" s="25" t="s">
        <v>1649</v>
      </c>
      <c r="C179" s="2" t="s">
        <v>1648</v>
      </c>
      <c r="D179" s="2"/>
      <c r="E179" s="23">
        <v>68.650000000000006</v>
      </c>
      <c r="F179" s="2">
        <f t="shared" si="2"/>
        <v>0.5</v>
      </c>
    </row>
    <row r="180" spans="2:6" x14ac:dyDescent="0.25">
      <c r="B180" s="25" t="s">
        <v>1658</v>
      </c>
      <c r="C180" s="2" t="s">
        <v>1659</v>
      </c>
      <c r="D180" s="2"/>
      <c r="E180" s="23">
        <v>69</v>
      </c>
      <c r="F180" s="2">
        <f t="shared" si="2"/>
        <v>0.34999999999999432</v>
      </c>
    </row>
    <row r="181" spans="2:6" x14ac:dyDescent="0.25">
      <c r="B181" s="25" t="s">
        <v>1675</v>
      </c>
      <c r="C181" s="2" t="s">
        <v>1676</v>
      </c>
      <c r="D181" s="2"/>
      <c r="E181" s="23">
        <v>69.5</v>
      </c>
      <c r="F181" s="2">
        <f t="shared" si="2"/>
        <v>0.5</v>
      </c>
    </row>
    <row r="182" spans="2:6" x14ac:dyDescent="0.25">
      <c r="B182" s="25" t="s">
        <v>1687</v>
      </c>
      <c r="C182" s="2" t="s">
        <v>1691</v>
      </c>
      <c r="D182" s="2"/>
      <c r="E182" s="23">
        <v>70.5</v>
      </c>
      <c r="F182" s="2">
        <f t="shared" si="2"/>
        <v>1</v>
      </c>
    </row>
    <row r="183" spans="2:6" x14ac:dyDescent="0.25">
      <c r="B183" s="31">
        <v>45536</v>
      </c>
      <c r="C183" s="2" t="s">
        <v>1692</v>
      </c>
      <c r="D183" s="2"/>
      <c r="E183" s="23">
        <v>71.5</v>
      </c>
      <c r="F183" s="2">
        <f t="shared" si="2"/>
        <v>1</v>
      </c>
    </row>
    <row r="184" spans="2:6" x14ac:dyDescent="0.25">
      <c r="B184" s="31">
        <v>45537</v>
      </c>
      <c r="C184" s="2" t="s">
        <v>1717</v>
      </c>
      <c r="D184" s="2"/>
      <c r="E184" s="23">
        <v>73</v>
      </c>
      <c r="F184" s="2">
        <f t="shared" si="2"/>
        <v>1.5</v>
      </c>
    </row>
    <row r="185" spans="2:6" x14ac:dyDescent="0.25">
      <c r="B185" s="31">
        <v>45538</v>
      </c>
      <c r="C185" s="2" t="s">
        <v>1725</v>
      </c>
      <c r="D185" s="2"/>
      <c r="E185" s="23">
        <v>75</v>
      </c>
      <c r="F185" s="2">
        <f t="shared" si="2"/>
        <v>2</v>
      </c>
    </row>
    <row r="186" spans="2:6" x14ac:dyDescent="0.25">
      <c r="B186" s="31">
        <v>45539</v>
      </c>
      <c r="C186" s="2" t="s">
        <v>1735</v>
      </c>
      <c r="D186" s="2"/>
      <c r="E186" s="23">
        <v>77</v>
      </c>
      <c r="F186" s="2">
        <f t="shared" si="2"/>
        <v>2</v>
      </c>
    </row>
    <row r="187" spans="2:6" x14ac:dyDescent="0.25">
      <c r="B187" s="31">
        <v>45540</v>
      </c>
      <c r="C187" s="2" t="s">
        <v>1774</v>
      </c>
      <c r="D187" s="2"/>
      <c r="E187" s="23">
        <v>78</v>
      </c>
      <c r="F187" s="2">
        <f t="shared" si="2"/>
        <v>1</v>
      </c>
    </row>
    <row r="188" spans="2:6" x14ac:dyDescent="0.25">
      <c r="B188" s="31">
        <v>45541</v>
      </c>
      <c r="C188" s="2" t="s">
        <v>1788</v>
      </c>
      <c r="D188" s="2"/>
      <c r="E188" s="23">
        <v>79</v>
      </c>
      <c r="F188" s="2">
        <f t="shared" si="2"/>
        <v>1</v>
      </c>
    </row>
    <row r="189" spans="2:6" x14ac:dyDescent="0.25">
      <c r="B189" s="31">
        <v>45542</v>
      </c>
      <c r="C189" s="2" t="s">
        <v>1804</v>
      </c>
      <c r="D189" s="2" t="s">
        <v>1806</v>
      </c>
      <c r="E189" s="23">
        <v>80.2</v>
      </c>
      <c r="F189" s="2">
        <f t="shared" si="2"/>
        <v>1.2000000000000028</v>
      </c>
    </row>
    <row r="190" spans="2:6" x14ac:dyDescent="0.25">
      <c r="B190" s="31">
        <v>45543</v>
      </c>
      <c r="C190" s="2" t="s">
        <v>1805</v>
      </c>
      <c r="D190" s="2" t="s">
        <v>1807</v>
      </c>
      <c r="E190" s="23">
        <v>81</v>
      </c>
      <c r="F190" s="2">
        <f t="shared" si="2"/>
        <v>0.79999999999999716</v>
      </c>
    </row>
    <row r="191" spans="2:6" x14ac:dyDescent="0.25">
      <c r="B191" s="31">
        <v>45544</v>
      </c>
      <c r="C191" s="2" t="s">
        <v>1818</v>
      </c>
      <c r="D191" s="2"/>
      <c r="E191" s="23">
        <v>82.5</v>
      </c>
      <c r="F191" s="2">
        <f t="shared" ref="F191:F254" si="3">E191-E190</f>
        <v>1.5</v>
      </c>
    </row>
    <row r="192" spans="2:6" x14ac:dyDescent="0.25">
      <c r="B192" s="31">
        <v>45545</v>
      </c>
      <c r="C192" s="2" t="s">
        <v>1817</v>
      </c>
      <c r="D192" s="2"/>
      <c r="E192" s="23">
        <v>83</v>
      </c>
      <c r="F192" s="2">
        <f t="shared" si="3"/>
        <v>0.5</v>
      </c>
    </row>
    <row r="193" spans="2:6" x14ac:dyDescent="0.25">
      <c r="B193" s="31">
        <v>45546</v>
      </c>
      <c r="C193" s="2" t="s">
        <v>1837</v>
      </c>
      <c r="D193" s="2"/>
      <c r="E193" s="23">
        <v>84.5</v>
      </c>
      <c r="F193" s="2">
        <f t="shared" si="3"/>
        <v>1.5</v>
      </c>
    </row>
    <row r="194" spans="2:6" x14ac:dyDescent="0.25">
      <c r="B194" s="31">
        <v>45547</v>
      </c>
      <c r="C194" s="2" t="s">
        <v>1838</v>
      </c>
      <c r="D194" s="2"/>
      <c r="E194" s="23">
        <v>85.5</v>
      </c>
      <c r="F194" s="2">
        <f t="shared" si="3"/>
        <v>1</v>
      </c>
    </row>
    <row r="195" spans="2:6" x14ac:dyDescent="0.25">
      <c r="B195" s="31">
        <v>45548</v>
      </c>
      <c r="C195" s="2" t="s">
        <v>1863</v>
      </c>
      <c r="D195" s="2"/>
      <c r="E195" s="23">
        <v>86.5</v>
      </c>
      <c r="F195" s="2">
        <f t="shared" si="3"/>
        <v>1</v>
      </c>
    </row>
    <row r="196" spans="2:6" x14ac:dyDescent="0.25">
      <c r="B196" s="31">
        <v>45549</v>
      </c>
      <c r="C196" s="2" t="s">
        <v>1888</v>
      </c>
      <c r="D196" s="2"/>
      <c r="E196" s="23">
        <v>87.5</v>
      </c>
      <c r="F196" s="2">
        <f t="shared" si="3"/>
        <v>1</v>
      </c>
    </row>
    <row r="197" spans="2:6" x14ac:dyDescent="0.25">
      <c r="B197" s="31">
        <v>45550</v>
      </c>
      <c r="C197" s="2" t="s">
        <v>1889</v>
      </c>
      <c r="D197" s="2"/>
      <c r="E197" s="23">
        <v>88</v>
      </c>
      <c r="F197" s="2">
        <f t="shared" si="3"/>
        <v>0.5</v>
      </c>
    </row>
    <row r="198" spans="2:6" x14ac:dyDescent="0.25">
      <c r="B198" s="31">
        <v>45551</v>
      </c>
      <c r="C198" s="2" t="s">
        <v>1890</v>
      </c>
      <c r="D198" s="2"/>
      <c r="E198" s="23">
        <v>88.35</v>
      </c>
      <c r="F198" s="2">
        <f t="shared" si="3"/>
        <v>0.34999999999999432</v>
      </c>
    </row>
    <row r="199" spans="2:6" x14ac:dyDescent="0.25">
      <c r="B199" s="31">
        <v>45552</v>
      </c>
      <c r="C199" s="2" t="s">
        <v>1912</v>
      </c>
      <c r="D199" s="2"/>
      <c r="E199" s="23">
        <v>90</v>
      </c>
      <c r="F199" s="2">
        <f t="shared" si="3"/>
        <v>1.6500000000000057</v>
      </c>
    </row>
    <row r="200" spans="2:6" x14ac:dyDescent="0.25">
      <c r="B200" s="31">
        <v>45553</v>
      </c>
      <c r="C200" s="2" t="s">
        <v>1925</v>
      </c>
      <c r="D200" s="2"/>
      <c r="E200" s="23">
        <v>91</v>
      </c>
      <c r="F200" s="2">
        <f t="shared" si="3"/>
        <v>1</v>
      </c>
    </row>
    <row r="201" spans="2:6" x14ac:dyDescent="0.25">
      <c r="B201" s="31">
        <v>45554</v>
      </c>
      <c r="C201" s="2" t="s">
        <v>1940</v>
      </c>
      <c r="D201" s="2"/>
      <c r="E201" s="23">
        <v>92</v>
      </c>
      <c r="F201" s="2">
        <f t="shared" si="3"/>
        <v>1</v>
      </c>
    </row>
    <row r="202" spans="2:6" x14ac:dyDescent="0.25">
      <c r="B202" s="31">
        <v>45555</v>
      </c>
      <c r="C202" s="2" t="s">
        <v>1952</v>
      </c>
      <c r="D202" s="2"/>
      <c r="E202" s="23">
        <v>93.5</v>
      </c>
      <c r="F202" s="2">
        <f t="shared" si="3"/>
        <v>1.5</v>
      </c>
    </row>
    <row r="203" spans="2:6" x14ac:dyDescent="0.25">
      <c r="B203" s="31">
        <v>45556</v>
      </c>
      <c r="C203" s="2" t="s">
        <v>1964</v>
      </c>
      <c r="D203" s="2"/>
      <c r="E203" s="23">
        <v>94</v>
      </c>
      <c r="F203" s="2">
        <f t="shared" si="3"/>
        <v>0.5</v>
      </c>
    </row>
    <row r="204" spans="2:6" x14ac:dyDescent="0.25">
      <c r="B204" s="31">
        <v>45557</v>
      </c>
      <c r="C204" s="2" t="s">
        <v>1965</v>
      </c>
      <c r="D204" s="2"/>
      <c r="E204" s="23">
        <v>95.5</v>
      </c>
      <c r="F204" s="2">
        <f t="shared" si="3"/>
        <v>1.5</v>
      </c>
    </row>
    <row r="205" spans="2:6" x14ac:dyDescent="0.25">
      <c r="B205" s="31">
        <v>45558</v>
      </c>
      <c r="C205" s="2" t="s">
        <v>1978</v>
      </c>
      <c r="D205" s="2"/>
      <c r="E205" s="23">
        <v>96.5</v>
      </c>
      <c r="F205" s="2">
        <f t="shared" si="3"/>
        <v>1</v>
      </c>
    </row>
    <row r="206" spans="2:6" x14ac:dyDescent="0.25">
      <c r="B206" s="31">
        <v>45559</v>
      </c>
      <c r="C206" s="2" t="s">
        <v>1988</v>
      </c>
      <c r="D206" s="2" t="s">
        <v>2000</v>
      </c>
      <c r="E206" s="23">
        <v>97.5</v>
      </c>
      <c r="F206" s="2">
        <f t="shared" si="3"/>
        <v>1</v>
      </c>
    </row>
    <row r="207" spans="2:6" x14ac:dyDescent="0.25">
      <c r="B207" s="31">
        <v>45560</v>
      </c>
      <c r="C207" s="2" t="s">
        <v>1995</v>
      </c>
      <c r="D207" s="2" t="s">
        <v>2001</v>
      </c>
      <c r="E207" s="23">
        <v>98.5</v>
      </c>
      <c r="F207" s="2">
        <f t="shared" si="3"/>
        <v>1</v>
      </c>
    </row>
    <row r="208" spans="2:6" x14ac:dyDescent="0.25">
      <c r="B208" s="31">
        <v>45561</v>
      </c>
      <c r="C208" s="2" t="s">
        <v>2008</v>
      </c>
      <c r="D208" s="2" t="s">
        <v>1178</v>
      </c>
      <c r="E208" s="23">
        <v>98.5</v>
      </c>
      <c r="F208" s="2">
        <f t="shared" si="3"/>
        <v>0</v>
      </c>
    </row>
    <row r="209" spans="2:6" x14ac:dyDescent="0.25">
      <c r="B209" s="31">
        <v>45562</v>
      </c>
      <c r="C209" s="2" t="s">
        <v>2019</v>
      </c>
      <c r="D209" s="2" t="s">
        <v>2002</v>
      </c>
      <c r="E209" s="23">
        <v>100</v>
      </c>
      <c r="F209" s="2">
        <f t="shared" si="3"/>
        <v>1.5</v>
      </c>
    </row>
    <row r="210" spans="2:6" x14ac:dyDescent="0.25">
      <c r="B210" s="31">
        <v>45563</v>
      </c>
      <c r="C210" s="2" t="s">
        <v>2038</v>
      </c>
      <c r="D210" s="2" t="s">
        <v>2026</v>
      </c>
      <c r="E210" s="23">
        <v>100</v>
      </c>
      <c r="F210" s="2">
        <f t="shared" si="3"/>
        <v>0</v>
      </c>
    </row>
    <row r="211" spans="2:6" x14ac:dyDescent="0.25">
      <c r="B211" s="31">
        <v>45564</v>
      </c>
      <c r="C211" s="2" t="s">
        <v>2039</v>
      </c>
      <c r="D211" s="2"/>
      <c r="E211" s="23">
        <v>105</v>
      </c>
      <c r="F211" s="2">
        <f t="shared" si="3"/>
        <v>5</v>
      </c>
    </row>
    <row r="212" spans="2:6" x14ac:dyDescent="0.25">
      <c r="B212" s="31">
        <v>45565</v>
      </c>
      <c r="C212" s="2" t="s">
        <v>2052</v>
      </c>
      <c r="D212" s="2"/>
      <c r="E212" s="23">
        <v>111</v>
      </c>
      <c r="F212" s="2">
        <f t="shared" si="3"/>
        <v>6</v>
      </c>
    </row>
    <row r="213" spans="2:6" x14ac:dyDescent="0.25">
      <c r="B213" s="31">
        <v>45566</v>
      </c>
      <c r="C213" s="2" t="s">
        <v>2061</v>
      </c>
      <c r="D213" s="2"/>
      <c r="E213" s="23">
        <v>115</v>
      </c>
      <c r="F213" s="2">
        <f t="shared" si="3"/>
        <v>4</v>
      </c>
    </row>
    <row r="214" spans="2:6" x14ac:dyDescent="0.25">
      <c r="B214" s="31">
        <v>45567</v>
      </c>
      <c r="C214" s="2" t="s">
        <v>2070</v>
      </c>
      <c r="D214" s="2"/>
      <c r="E214" s="23">
        <v>117</v>
      </c>
      <c r="F214" s="2">
        <f t="shared" si="3"/>
        <v>2</v>
      </c>
    </row>
    <row r="215" spans="2:6" x14ac:dyDescent="0.25">
      <c r="B215" s="31">
        <v>45568</v>
      </c>
      <c r="C215" s="2" t="s">
        <v>2082</v>
      </c>
      <c r="D215" s="2" t="s">
        <v>2092</v>
      </c>
      <c r="E215" s="33">
        <v>120</v>
      </c>
      <c r="F215" s="2">
        <f t="shared" si="3"/>
        <v>3</v>
      </c>
    </row>
    <row r="216" spans="2:6" x14ac:dyDescent="0.25">
      <c r="B216" s="31">
        <v>45569</v>
      </c>
      <c r="C216" s="2" t="s">
        <v>2101</v>
      </c>
      <c r="D216" s="2"/>
      <c r="E216" s="23">
        <v>120</v>
      </c>
      <c r="F216" s="2">
        <f t="shared" si="3"/>
        <v>0</v>
      </c>
    </row>
    <row r="217" spans="2:6" x14ac:dyDescent="0.25">
      <c r="B217" s="31">
        <v>45570</v>
      </c>
      <c r="C217" s="2"/>
      <c r="D217" s="2"/>
      <c r="E217" s="23">
        <v>120</v>
      </c>
      <c r="F217" s="2">
        <f t="shared" si="3"/>
        <v>0</v>
      </c>
    </row>
    <row r="218" spans="2:6" x14ac:dyDescent="0.25">
      <c r="B218" s="31">
        <v>45571</v>
      </c>
      <c r="C218" s="2" t="s">
        <v>2115</v>
      </c>
      <c r="D218" s="2"/>
      <c r="E218" s="23">
        <v>120</v>
      </c>
      <c r="F218" s="2">
        <f t="shared" si="3"/>
        <v>0</v>
      </c>
    </row>
    <row r="219" spans="2:6" x14ac:dyDescent="0.25">
      <c r="B219" s="31">
        <v>45572</v>
      </c>
      <c r="C219" s="2" t="s">
        <v>2116</v>
      </c>
      <c r="D219" s="2"/>
      <c r="E219" s="23">
        <v>120</v>
      </c>
      <c r="F219" s="2">
        <f t="shared" si="3"/>
        <v>0</v>
      </c>
    </row>
    <row r="220" spans="2:6" x14ac:dyDescent="0.25">
      <c r="B220" s="31">
        <v>45573</v>
      </c>
      <c r="C220" s="2" t="s">
        <v>2142</v>
      </c>
      <c r="D220" s="2"/>
      <c r="E220" s="23">
        <v>120</v>
      </c>
      <c r="F220" s="2">
        <f t="shared" si="3"/>
        <v>0</v>
      </c>
    </row>
    <row r="221" spans="2:6" x14ac:dyDescent="0.25">
      <c r="B221" s="31">
        <v>45574</v>
      </c>
      <c r="C221" s="2" t="s">
        <v>2154</v>
      </c>
      <c r="D221" s="2"/>
      <c r="E221" s="23">
        <v>120</v>
      </c>
      <c r="F221" s="2">
        <f t="shared" si="3"/>
        <v>0</v>
      </c>
    </row>
    <row r="222" spans="2:6" x14ac:dyDescent="0.25">
      <c r="B222" s="31">
        <v>45575</v>
      </c>
      <c r="C222" s="2" t="s">
        <v>2174</v>
      </c>
      <c r="D222" s="2"/>
      <c r="E222" s="23">
        <v>120</v>
      </c>
      <c r="F222" s="2">
        <f t="shared" si="3"/>
        <v>0</v>
      </c>
    </row>
    <row r="223" spans="2:6" x14ac:dyDescent="0.25">
      <c r="B223" s="31">
        <v>45576</v>
      </c>
      <c r="C223" s="2" t="s">
        <v>2174</v>
      </c>
      <c r="D223" s="2"/>
      <c r="E223" s="23">
        <v>120</v>
      </c>
      <c r="F223" s="2">
        <f t="shared" si="3"/>
        <v>0</v>
      </c>
    </row>
    <row r="224" spans="2:6" x14ac:dyDescent="0.25">
      <c r="B224" s="31">
        <v>45577</v>
      </c>
      <c r="C224" s="2" t="s">
        <v>2142</v>
      </c>
      <c r="D224" s="2"/>
      <c r="E224" s="23">
        <v>120</v>
      </c>
      <c r="F224" s="2">
        <f t="shared" si="3"/>
        <v>0</v>
      </c>
    </row>
    <row r="225" spans="2:6" x14ac:dyDescent="0.25">
      <c r="B225" s="31">
        <v>45578</v>
      </c>
      <c r="C225" s="2" t="s">
        <v>2142</v>
      </c>
      <c r="D225" s="2"/>
      <c r="E225" s="23">
        <v>120</v>
      </c>
      <c r="F225" s="2">
        <f t="shared" si="3"/>
        <v>0</v>
      </c>
    </row>
    <row r="226" spans="2:6" x14ac:dyDescent="0.25">
      <c r="B226" s="31">
        <v>45579</v>
      </c>
      <c r="C226" s="2" t="s">
        <v>2142</v>
      </c>
      <c r="D226" s="2"/>
      <c r="E226" s="23">
        <v>120</v>
      </c>
      <c r="F226" s="2">
        <f t="shared" si="3"/>
        <v>0</v>
      </c>
    </row>
    <row r="227" spans="2:6" x14ac:dyDescent="0.25">
      <c r="B227" s="31">
        <v>45580</v>
      </c>
      <c r="C227" s="2" t="s">
        <v>2142</v>
      </c>
      <c r="D227" s="2"/>
      <c r="E227" s="23">
        <v>120</v>
      </c>
      <c r="F227" s="2">
        <f t="shared" si="3"/>
        <v>0</v>
      </c>
    </row>
    <row r="228" spans="2:6" x14ac:dyDescent="0.25">
      <c r="B228" s="31">
        <v>45581</v>
      </c>
      <c r="C228" s="2" t="s">
        <v>2142</v>
      </c>
      <c r="D228" s="2"/>
      <c r="E228" s="23">
        <v>120</v>
      </c>
      <c r="F228" s="2">
        <f t="shared" si="3"/>
        <v>0</v>
      </c>
    </row>
    <row r="229" spans="2:6" x14ac:dyDescent="0.25">
      <c r="B229" s="31">
        <v>45582</v>
      </c>
      <c r="C229" s="2" t="s">
        <v>2142</v>
      </c>
      <c r="D229" s="2"/>
      <c r="E229" s="23">
        <v>120</v>
      </c>
      <c r="F229" s="2">
        <f t="shared" si="3"/>
        <v>0</v>
      </c>
    </row>
    <row r="230" spans="2:6" x14ac:dyDescent="0.25">
      <c r="B230" s="31">
        <v>45583</v>
      </c>
      <c r="C230" s="2" t="s">
        <v>2142</v>
      </c>
      <c r="D230" s="2"/>
      <c r="E230" s="23">
        <v>120</v>
      </c>
      <c r="F230" s="2">
        <f t="shared" si="3"/>
        <v>0</v>
      </c>
    </row>
    <row r="231" spans="2:6" x14ac:dyDescent="0.25">
      <c r="B231" s="31">
        <v>45584</v>
      </c>
      <c r="C231" s="2" t="s">
        <v>2142</v>
      </c>
      <c r="D231" s="2"/>
      <c r="E231" s="23">
        <v>120</v>
      </c>
      <c r="F231" s="2">
        <f t="shared" si="3"/>
        <v>0</v>
      </c>
    </row>
    <row r="232" spans="2:6" x14ac:dyDescent="0.25">
      <c r="B232" s="31">
        <v>45585</v>
      </c>
      <c r="C232" s="2" t="s">
        <v>2142</v>
      </c>
      <c r="D232" s="2"/>
      <c r="E232" s="23">
        <v>120</v>
      </c>
      <c r="F232" s="2">
        <f t="shared" si="3"/>
        <v>0</v>
      </c>
    </row>
    <row r="233" spans="2:6" x14ac:dyDescent="0.25">
      <c r="B233" s="31">
        <v>45586</v>
      </c>
      <c r="C233" s="2" t="s">
        <v>2142</v>
      </c>
      <c r="D233" s="2" t="s">
        <v>1035</v>
      </c>
      <c r="E233" s="23">
        <v>120</v>
      </c>
      <c r="F233" s="2">
        <f t="shared" si="3"/>
        <v>0</v>
      </c>
    </row>
    <row r="234" spans="2:6" x14ac:dyDescent="0.25">
      <c r="B234" s="31">
        <v>45587</v>
      </c>
      <c r="C234" s="2" t="s">
        <v>2269</v>
      </c>
      <c r="D234" s="2"/>
      <c r="E234" s="23">
        <v>120</v>
      </c>
      <c r="F234" s="2">
        <f t="shared" si="3"/>
        <v>0</v>
      </c>
    </row>
    <row r="235" spans="2:6" x14ac:dyDescent="0.25">
      <c r="B235" s="31">
        <v>45587</v>
      </c>
      <c r="C235" s="2" t="s">
        <v>2280</v>
      </c>
      <c r="D235" s="2"/>
      <c r="E235" s="23">
        <v>120</v>
      </c>
      <c r="F235" s="2">
        <f t="shared" si="3"/>
        <v>0</v>
      </c>
    </row>
    <row r="236" spans="2:6" x14ac:dyDescent="0.25">
      <c r="B236" s="31">
        <v>45588</v>
      </c>
      <c r="C236" s="2" t="s">
        <v>2269</v>
      </c>
      <c r="D236" s="2"/>
      <c r="E236" s="23">
        <v>120</v>
      </c>
      <c r="F236" s="2">
        <f t="shared" si="3"/>
        <v>0</v>
      </c>
    </row>
    <row r="237" spans="2:6" x14ac:dyDescent="0.25">
      <c r="B237" s="31">
        <v>45589</v>
      </c>
      <c r="C237" s="2" t="s">
        <v>2297</v>
      </c>
      <c r="D237" s="2"/>
      <c r="E237" s="23">
        <v>62</v>
      </c>
      <c r="F237" s="2">
        <f t="shared" si="3"/>
        <v>-58</v>
      </c>
    </row>
    <row r="238" spans="2:6" x14ac:dyDescent="0.25">
      <c r="B238" s="31">
        <v>45590</v>
      </c>
      <c r="C238" s="2" t="s">
        <v>2303</v>
      </c>
      <c r="D238" s="2"/>
      <c r="E238" s="23">
        <v>75</v>
      </c>
      <c r="F238" s="2">
        <f t="shared" si="3"/>
        <v>13</v>
      </c>
    </row>
    <row r="239" spans="2:6" x14ac:dyDescent="0.25">
      <c r="B239" s="31">
        <v>45591</v>
      </c>
      <c r="C239" s="2" t="s">
        <v>2320</v>
      </c>
      <c r="D239" s="2"/>
      <c r="E239" s="23">
        <v>82</v>
      </c>
      <c r="F239" s="2">
        <f t="shared" si="3"/>
        <v>7</v>
      </c>
    </row>
    <row r="240" spans="2:6" x14ac:dyDescent="0.25">
      <c r="B240" s="31">
        <v>45592</v>
      </c>
      <c r="C240" s="2" t="s">
        <v>2321</v>
      </c>
      <c r="D240" s="2"/>
      <c r="E240" s="23">
        <v>83</v>
      </c>
      <c r="F240" s="2">
        <f t="shared" si="3"/>
        <v>1</v>
      </c>
    </row>
    <row r="241" spans="2:6" x14ac:dyDescent="0.25">
      <c r="B241" s="31">
        <v>45593</v>
      </c>
      <c r="C241" s="2" t="s">
        <v>2336</v>
      </c>
      <c r="D241" s="2"/>
      <c r="E241" s="23">
        <v>97</v>
      </c>
      <c r="F241" s="2">
        <f t="shared" si="3"/>
        <v>14</v>
      </c>
    </row>
    <row r="242" spans="2:6" x14ac:dyDescent="0.25">
      <c r="B242" s="31">
        <v>45594</v>
      </c>
      <c r="C242" s="2" t="s">
        <v>2351</v>
      </c>
      <c r="D242" s="2"/>
      <c r="E242" s="23">
        <v>97</v>
      </c>
      <c r="F242" s="2">
        <f t="shared" si="3"/>
        <v>0</v>
      </c>
    </row>
    <row r="243" spans="2:6" x14ac:dyDescent="0.25">
      <c r="B243" s="31">
        <v>45595</v>
      </c>
      <c r="C243" s="2" t="s">
        <v>2359</v>
      </c>
      <c r="D243" s="2"/>
      <c r="E243" s="23">
        <v>100</v>
      </c>
      <c r="F243" s="2">
        <f t="shared" si="3"/>
        <v>3</v>
      </c>
    </row>
    <row r="244" spans="2:6" x14ac:dyDescent="0.25">
      <c r="B244" s="31">
        <v>45596</v>
      </c>
      <c r="C244" s="2" t="s">
        <v>2372</v>
      </c>
      <c r="D244" s="2"/>
      <c r="E244" s="23">
        <v>120</v>
      </c>
      <c r="F244" s="2">
        <f t="shared" si="3"/>
        <v>20</v>
      </c>
    </row>
    <row r="245" spans="2:6" x14ac:dyDescent="0.25">
      <c r="B245" s="31">
        <v>45597</v>
      </c>
      <c r="C245" s="2" t="s">
        <v>2380</v>
      </c>
      <c r="D245" s="2" t="s">
        <v>2381</v>
      </c>
      <c r="E245" s="23">
        <v>120</v>
      </c>
      <c r="F245" s="2">
        <f t="shared" si="3"/>
        <v>0</v>
      </c>
    </row>
    <row r="246" spans="2:6" x14ac:dyDescent="0.25">
      <c r="B246" s="31">
        <v>45598</v>
      </c>
      <c r="C246" s="2"/>
      <c r="D246" s="2"/>
      <c r="E246" s="23">
        <v>120</v>
      </c>
      <c r="F246" s="2">
        <f t="shared" si="3"/>
        <v>0</v>
      </c>
    </row>
    <row r="247" spans="2:6" x14ac:dyDescent="0.25">
      <c r="B247" s="31">
        <v>45599</v>
      </c>
      <c r="C247" s="2" t="s">
        <v>900</v>
      </c>
      <c r="D247" s="2" t="s">
        <v>2387</v>
      </c>
      <c r="E247" s="23">
        <v>120</v>
      </c>
      <c r="F247" s="2">
        <f t="shared" si="3"/>
        <v>0</v>
      </c>
    </row>
    <row r="248" spans="2:6" x14ac:dyDescent="0.25">
      <c r="B248" s="31">
        <v>45600</v>
      </c>
      <c r="C248" s="2"/>
      <c r="D248" s="2"/>
      <c r="E248" s="23">
        <v>120</v>
      </c>
      <c r="F248" s="2">
        <f t="shared" si="3"/>
        <v>0</v>
      </c>
    </row>
    <row r="249" spans="2:6" x14ac:dyDescent="0.25">
      <c r="B249" s="31">
        <v>45601</v>
      </c>
      <c r="C249" s="2"/>
      <c r="D249" s="2"/>
      <c r="E249" s="23">
        <v>120</v>
      </c>
      <c r="F249" s="2">
        <f t="shared" si="3"/>
        <v>0</v>
      </c>
    </row>
    <row r="250" spans="2:6" x14ac:dyDescent="0.25">
      <c r="B250" s="31">
        <v>45602</v>
      </c>
      <c r="C250" s="2" t="s">
        <v>2405</v>
      </c>
      <c r="D250" s="2"/>
      <c r="E250" s="23">
        <v>120</v>
      </c>
      <c r="F250" s="2">
        <f t="shared" si="3"/>
        <v>0</v>
      </c>
    </row>
    <row r="251" spans="2:6" x14ac:dyDescent="0.25">
      <c r="B251" s="31">
        <v>45603</v>
      </c>
      <c r="C251" s="2" t="s">
        <v>2425</v>
      </c>
      <c r="D251" s="2"/>
      <c r="E251" s="23">
        <v>120</v>
      </c>
      <c r="F251" s="2">
        <f t="shared" si="3"/>
        <v>0</v>
      </c>
    </row>
    <row r="252" spans="2:6" x14ac:dyDescent="0.25">
      <c r="B252" s="31">
        <v>45604</v>
      </c>
      <c r="C252" s="2" t="s">
        <v>2432</v>
      </c>
      <c r="D252" s="2"/>
      <c r="E252" s="23">
        <v>120</v>
      </c>
      <c r="F252" s="2">
        <f t="shared" si="3"/>
        <v>0</v>
      </c>
    </row>
    <row r="253" spans="2:6" x14ac:dyDescent="0.25">
      <c r="B253" s="31">
        <v>45605</v>
      </c>
      <c r="C253" s="2" t="s">
        <v>2446</v>
      </c>
      <c r="D253" s="2"/>
      <c r="E253" s="23">
        <v>0</v>
      </c>
      <c r="F253" s="2">
        <f t="shared" si="3"/>
        <v>-120</v>
      </c>
    </row>
    <row r="254" spans="2:6" x14ac:dyDescent="0.25">
      <c r="B254" s="31">
        <v>45606</v>
      </c>
      <c r="C254" s="2" t="s">
        <v>2447</v>
      </c>
      <c r="D254" s="2"/>
      <c r="E254" s="23">
        <v>40</v>
      </c>
      <c r="F254" s="2">
        <f t="shared" si="3"/>
        <v>40</v>
      </c>
    </row>
    <row r="255" spans="2:6" x14ac:dyDescent="0.25">
      <c r="B255" s="31">
        <v>45607</v>
      </c>
      <c r="C255" s="2" t="s">
        <v>2473</v>
      </c>
      <c r="D255" s="2"/>
      <c r="E255" s="23">
        <v>40</v>
      </c>
      <c r="F255" s="2">
        <f t="shared" ref="F255:F279" si="4">E255-E254</f>
        <v>0</v>
      </c>
    </row>
    <row r="256" spans="2:6" x14ac:dyDescent="0.25">
      <c r="B256" s="31">
        <v>45608</v>
      </c>
      <c r="C256" s="2" t="s">
        <v>2478</v>
      </c>
      <c r="D256" s="2"/>
      <c r="E256" s="23">
        <v>40</v>
      </c>
      <c r="F256" s="2">
        <f t="shared" si="4"/>
        <v>0</v>
      </c>
    </row>
    <row r="257" spans="2:6" x14ac:dyDescent="0.25">
      <c r="B257" s="31">
        <v>45609</v>
      </c>
      <c r="C257" s="2" t="s">
        <v>2493</v>
      </c>
      <c r="D257" s="2"/>
      <c r="E257" s="23">
        <v>40</v>
      </c>
      <c r="F257" s="2">
        <f t="shared" si="4"/>
        <v>0</v>
      </c>
    </row>
    <row r="258" spans="2:6" x14ac:dyDescent="0.25">
      <c r="B258" s="31">
        <v>45610</v>
      </c>
      <c r="C258" s="2" t="s">
        <v>2505</v>
      </c>
      <c r="D258" s="2"/>
      <c r="E258" s="23">
        <v>45</v>
      </c>
      <c r="F258" s="2">
        <f t="shared" si="4"/>
        <v>5</v>
      </c>
    </row>
    <row r="259" spans="2:6" x14ac:dyDescent="0.25">
      <c r="B259" s="31">
        <v>45611</v>
      </c>
      <c r="C259" s="2" t="s">
        <v>2524</v>
      </c>
      <c r="D259" s="2"/>
      <c r="E259" s="23">
        <v>45</v>
      </c>
      <c r="F259" s="2">
        <f t="shared" si="4"/>
        <v>0</v>
      </c>
    </row>
    <row r="260" spans="2:6" x14ac:dyDescent="0.25">
      <c r="B260" s="31">
        <v>45612</v>
      </c>
      <c r="C260" s="2" t="s">
        <v>2536</v>
      </c>
      <c r="D260" s="2" t="s">
        <v>2538</v>
      </c>
      <c r="E260" s="23">
        <v>47</v>
      </c>
      <c r="F260" s="2">
        <f t="shared" si="4"/>
        <v>2</v>
      </c>
    </row>
    <row r="261" spans="2:6" x14ac:dyDescent="0.25">
      <c r="B261" s="31">
        <v>45613</v>
      </c>
      <c r="C261" s="2" t="s">
        <v>2537</v>
      </c>
      <c r="D261" s="2" t="s">
        <v>2539</v>
      </c>
      <c r="E261" s="23">
        <v>48</v>
      </c>
      <c r="F261" s="2">
        <f t="shared" si="4"/>
        <v>1</v>
      </c>
    </row>
    <row r="262" spans="2:6" x14ac:dyDescent="0.25">
      <c r="B262" s="31">
        <v>45614</v>
      </c>
      <c r="C262" s="2" t="s">
        <v>2544</v>
      </c>
      <c r="D262" s="2"/>
      <c r="E262" s="23">
        <v>48.5</v>
      </c>
      <c r="F262" s="2">
        <f t="shared" si="4"/>
        <v>0.5</v>
      </c>
    </row>
    <row r="263" spans="2:6" x14ac:dyDescent="0.25">
      <c r="B263" s="31">
        <v>45615</v>
      </c>
      <c r="C263" s="2" t="s">
        <v>2544</v>
      </c>
      <c r="D263" s="2"/>
      <c r="E263" s="23">
        <v>48.5</v>
      </c>
      <c r="F263" s="2">
        <f t="shared" si="4"/>
        <v>0</v>
      </c>
    </row>
    <row r="264" spans="2:6" x14ac:dyDescent="0.25">
      <c r="B264" s="31">
        <v>45616</v>
      </c>
      <c r="C264" s="2" t="s">
        <v>2572</v>
      </c>
      <c r="D264" s="2"/>
      <c r="E264" s="23">
        <v>48.9</v>
      </c>
      <c r="F264" s="2">
        <f t="shared" si="4"/>
        <v>0.39999999999999858</v>
      </c>
    </row>
    <row r="265" spans="2:6" x14ac:dyDescent="0.25">
      <c r="B265" s="31">
        <v>45617</v>
      </c>
      <c r="C265" s="2" t="s">
        <v>2576</v>
      </c>
      <c r="D265" s="2"/>
      <c r="E265" s="23">
        <v>40</v>
      </c>
      <c r="F265" s="2">
        <f t="shared" si="4"/>
        <v>-8.8999999999999986</v>
      </c>
    </row>
    <row r="266" spans="2:6" x14ac:dyDescent="0.25">
      <c r="B266" s="31">
        <v>45618</v>
      </c>
      <c r="C266" s="2" t="s">
        <v>2269</v>
      </c>
      <c r="D266" s="2" t="s">
        <v>2606</v>
      </c>
      <c r="E266" s="23">
        <v>40</v>
      </c>
      <c r="F266" s="2">
        <f t="shared" si="4"/>
        <v>0</v>
      </c>
    </row>
    <row r="267" spans="2:6" x14ac:dyDescent="0.25">
      <c r="B267" s="31">
        <v>45619</v>
      </c>
      <c r="C267" s="2" t="s">
        <v>2221</v>
      </c>
      <c r="D267" s="2" t="s">
        <v>2605</v>
      </c>
      <c r="E267" s="23">
        <v>42</v>
      </c>
      <c r="F267" s="2">
        <f t="shared" si="4"/>
        <v>2</v>
      </c>
    </row>
    <row r="268" spans="2:6" x14ac:dyDescent="0.25">
      <c r="B268" s="31">
        <v>45620</v>
      </c>
      <c r="C268" s="2" t="s">
        <v>2609</v>
      </c>
      <c r="D268" s="2"/>
      <c r="E268" s="23">
        <v>51</v>
      </c>
      <c r="F268" s="2">
        <f t="shared" si="4"/>
        <v>9</v>
      </c>
    </row>
    <row r="269" spans="2:6" x14ac:dyDescent="0.25">
      <c r="B269" s="31">
        <v>45621</v>
      </c>
      <c r="C269" s="2" t="s">
        <v>2609</v>
      </c>
      <c r="D269" s="2"/>
      <c r="E269" s="23">
        <v>51</v>
      </c>
      <c r="F269" s="2">
        <f t="shared" si="4"/>
        <v>0</v>
      </c>
    </row>
    <row r="270" spans="2:6" x14ac:dyDescent="0.25">
      <c r="B270" s="31">
        <v>45622</v>
      </c>
      <c r="C270" s="2" t="s">
        <v>2609</v>
      </c>
      <c r="D270" s="2" t="s">
        <v>2620</v>
      </c>
      <c r="E270" s="23">
        <v>51</v>
      </c>
      <c r="F270" s="2">
        <f t="shared" si="4"/>
        <v>0</v>
      </c>
    </row>
    <row r="271" spans="2:6" x14ac:dyDescent="0.25">
      <c r="B271" s="31">
        <v>45623</v>
      </c>
      <c r="C271" s="2" t="s">
        <v>2609</v>
      </c>
      <c r="D271" s="2" t="s">
        <v>2621</v>
      </c>
      <c r="E271" s="23">
        <v>51</v>
      </c>
      <c r="F271" s="2">
        <f t="shared" si="4"/>
        <v>0</v>
      </c>
    </row>
    <row r="272" spans="2:6" x14ac:dyDescent="0.25">
      <c r="B272" s="31">
        <v>45624</v>
      </c>
      <c r="C272" s="2" t="s">
        <v>2634</v>
      </c>
      <c r="D272" s="2"/>
      <c r="E272" s="23">
        <v>51.5</v>
      </c>
      <c r="F272" s="2">
        <f t="shared" si="4"/>
        <v>0.5</v>
      </c>
    </row>
    <row r="273" spans="2:6" x14ac:dyDescent="0.25">
      <c r="B273" s="31">
        <v>45625</v>
      </c>
      <c r="C273" s="2" t="s">
        <v>2641</v>
      </c>
      <c r="D273" s="2"/>
      <c r="E273" s="23">
        <v>54</v>
      </c>
      <c r="F273" s="2">
        <f t="shared" si="4"/>
        <v>2.5</v>
      </c>
    </row>
    <row r="274" spans="2:6" x14ac:dyDescent="0.25">
      <c r="B274" s="31">
        <v>45626</v>
      </c>
      <c r="C274" s="2" t="s">
        <v>2657</v>
      </c>
      <c r="D274" s="2"/>
      <c r="E274" s="23">
        <v>55</v>
      </c>
      <c r="F274" s="2">
        <f t="shared" si="4"/>
        <v>1</v>
      </c>
    </row>
    <row r="275" spans="2:6" x14ac:dyDescent="0.25">
      <c r="B275" s="31">
        <v>45627</v>
      </c>
      <c r="C275" s="2" t="s">
        <v>2659</v>
      </c>
      <c r="D275" s="2"/>
      <c r="E275" s="23">
        <v>57</v>
      </c>
      <c r="F275" s="2">
        <f t="shared" si="4"/>
        <v>2</v>
      </c>
    </row>
    <row r="276" spans="2:6" x14ac:dyDescent="0.25">
      <c r="B276" s="31">
        <v>45628</v>
      </c>
      <c r="C276" s="2" t="s">
        <v>2658</v>
      </c>
      <c r="D276" s="2" t="s">
        <v>2670</v>
      </c>
      <c r="E276" s="23">
        <v>58</v>
      </c>
      <c r="F276" s="2">
        <f t="shared" si="4"/>
        <v>1</v>
      </c>
    </row>
    <row r="277" spans="2:6" x14ac:dyDescent="0.25">
      <c r="B277" s="31">
        <v>45629</v>
      </c>
      <c r="C277" s="2" t="s">
        <v>2658</v>
      </c>
      <c r="D277" s="2" t="s">
        <v>2673</v>
      </c>
      <c r="E277" s="23">
        <v>58</v>
      </c>
      <c r="F277" s="2">
        <f t="shared" si="4"/>
        <v>0</v>
      </c>
    </row>
    <row r="278" spans="2:6" x14ac:dyDescent="0.25">
      <c r="B278" s="38">
        <v>45630</v>
      </c>
      <c r="C278" s="39" t="s">
        <v>2681</v>
      </c>
      <c r="D278" s="40" t="s">
        <v>2682</v>
      </c>
      <c r="E278" s="41">
        <v>58</v>
      </c>
      <c r="F278" s="39">
        <f t="shared" si="4"/>
        <v>0</v>
      </c>
    </row>
    <row r="279" spans="2:6" x14ac:dyDescent="0.25">
      <c r="B279" s="38">
        <v>45631</v>
      </c>
      <c r="C279" s="2" t="s">
        <v>2686</v>
      </c>
      <c r="D279" s="2"/>
      <c r="E279" s="23">
        <v>58</v>
      </c>
      <c r="F279" s="2">
        <f t="shared" si="4"/>
        <v>0</v>
      </c>
    </row>
    <row r="280" spans="2:6" x14ac:dyDescent="0.25">
      <c r="B280" s="38">
        <v>45632</v>
      </c>
      <c r="C280" s="2" t="s">
        <v>2713</v>
      </c>
      <c r="D280" s="2" t="s">
        <v>2714</v>
      </c>
      <c r="E280" s="23">
        <v>58.5</v>
      </c>
      <c r="F280" s="2">
        <f>E280-E279</f>
        <v>0.5</v>
      </c>
    </row>
    <row r="281" spans="2:6" x14ac:dyDescent="0.25">
      <c r="B281" s="38">
        <v>45633</v>
      </c>
      <c r="C281" s="2" t="s">
        <v>2713</v>
      </c>
      <c r="D281" s="2" t="s">
        <v>2715</v>
      </c>
      <c r="E281" s="23">
        <v>58.5</v>
      </c>
      <c r="F281" s="2">
        <f>E281-E280</f>
        <v>0</v>
      </c>
    </row>
    <row r="282" spans="2:6" x14ac:dyDescent="0.25">
      <c r="B282" s="38">
        <v>45634</v>
      </c>
      <c r="C282" s="2" t="s">
        <v>2711</v>
      </c>
      <c r="D282" s="2" t="s">
        <v>2712</v>
      </c>
      <c r="E282" s="23">
        <v>60</v>
      </c>
      <c r="F282" s="2">
        <f>E282-E281</f>
        <v>1.5</v>
      </c>
    </row>
    <row r="283" spans="2:6" x14ac:dyDescent="0.25">
      <c r="B283" s="38">
        <v>45635</v>
      </c>
      <c r="C283" s="2" t="s">
        <v>2745</v>
      </c>
      <c r="D283" s="2"/>
      <c r="E283" s="23">
        <v>62</v>
      </c>
      <c r="F283" s="2">
        <f t="shared" ref="F283:F315" si="5">E283-E282</f>
        <v>2</v>
      </c>
    </row>
    <row r="284" spans="2:6" x14ac:dyDescent="0.25">
      <c r="B284" s="38">
        <v>45636</v>
      </c>
      <c r="C284" s="2" t="s">
        <v>2752</v>
      </c>
      <c r="D284" s="2"/>
      <c r="E284" s="23">
        <v>67</v>
      </c>
      <c r="F284" s="2">
        <f t="shared" si="5"/>
        <v>5</v>
      </c>
    </row>
    <row r="285" spans="2:6" x14ac:dyDescent="0.25">
      <c r="B285" s="38">
        <v>45637</v>
      </c>
      <c r="C285" s="2" t="s">
        <v>2760</v>
      </c>
      <c r="D285" s="2"/>
      <c r="E285" s="23">
        <v>68</v>
      </c>
      <c r="F285" s="2">
        <f t="shared" si="5"/>
        <v>1</v>
      </c>
    </row>
    <row r="286" spans="2:6" x14ac:dyDescent="0.25">
      <c r="B286" s="38">
        <v>45638</v>
      </c>
      <c r="C286" s="2" t="s">
        <v>2883</v>
      </c>
      <c r="D286" s="2"/>
      <c r="E286" s="23">
        <v>70</v>
      </c>
      <c r="F286" s="2">
        <f t="shared" si="5"/>
        <v>2</v>
      </c>
    </row>
    <row r="287" spans="2:6" x14ac:dyDescent="0.25">
      <c r="B287" s="38">
        <v>45639</v>
      </c>
      <c r="C287" s="2" t="s">
        <v>2884</v>
      </c>
      <c r="D287" s="2"/>
      <c r="E287" s="23">
        <v>71.5</v>
      </c>
      <c r="F287" s="2">
        <f t="shared" si="5"/>
        <v>1.5</v>
      </c>
    </row>
    <row r="288" spans="2:6" x14ac:dyDescent="0.25">
      <c r="B288" s="38">
        <v>45640</v>
      </c>
      <c r="C288" s="2" t="s">
        <v>2885</v>
      </c>
      <c r="D288" s="2"/>
      <c r="E288" s="23">
        <v>72</v>
      </c>
      <c r="F288" s="2">
        <f t="shared" si="5"/>
        <v>0.5</v>
      </c>
    </row>
    <row r="289" spans="2:6" x14ac:dyDescent="0.25">
      <c r="B289" s="38">
        <v>45641</v>
      </c>
      <c r="C289" s="2" t="s">
        <v>2886</v>
      </c>
      <c r="D289" s="2"/>
      <c r="E289" s="23">
        <v>73</v>
      </c>
      <c r="F289" s="2">
        <f t="shared" si="5"/>
        <v>1</v>
      </c>
    </row>
    <row r="290" spans="2:6" x14ac:dyDescent="0.25">
      <c r="B290" s="38">
        <v>45642</v>
      </c>
      <c r="C290" s="2" t="s">
        <v>2887</v>
      </c>
      <c r="D290" s="2"/>
      <c r="E290" s="23">
        <v>74</v>
      </c>
      <c r="F290" s="2">
        <f t="shared" si="5"/>
        <v>1</v>
      </c>
    </row>
    <row r="291" spans="2:6" x14ac:dyDescent="0.25">
      <c r="B291" s="38">
        <v>45643</v>
      </c>
      <c r="C291" s="2" t="s">
        <v>2888</v>
      </c>
      <c r="D291" s="2"/>
      <c r="E291" s="23">
        <v>74</v>
      </c>
      <c r="F291" s="2">
        <f t="shared" si="5"/>
        <v>0</v>
      </c>
    </row>
    <row r="292" spans="2:6" x14ac:dyDescent="0.25">
      <c r="B292" s="38">
        <v>45644</v>
      </c>
      <c r="C292" s="2" t="s">
        <v>2889</v>
      </c>
      <c r="D292" s="2"/>
      <c r="E292" s="23">
        <v>74</v>
      </c>
      <c r="F292" s="2">
        <f t="shared" si="5"/>
        <v>0</v>
      </c>
    </row>
    <row r="293" spans="2:6" x14ac:dyDescent="0.25">
      <c r="B293" s="38">
        <v>45645</v>
      </c>
      <c r="C293" s="2" t="s">
        <v>2890</v>
      </c>
      <c r="D293" s="2"/>
      <c r="E293" s="23">
        <v>75.5</v>
      </c>
      <c r="F293" s="2">
        <f t="shared" si="5"/>
        <v>1.5</v>
      </c>
    </row>
    <row r="294" spans="2:6" x14ac:dyDescent="0.25">
      <c r="B294" s="38">
        <v>45646</v>
      </c>
      <c r="C294" s="2" t="s">
        <v>2891</v>
      </c>
      <c r="D294" s="2"/>
      <c r="E294" s="23">
        <v>76</v>
      </c>
      <c r="F294" s="2">
        <f t="shared" si="5"/>
        <v>0.5</v>
      </c>
    </row>
    <row r="295" spans="2:6" x14ac:dyDescent="0.25">
      <c r="B295" s="38">
        <v>45647</v>
      </c>
      <c r="C295" s="2" t="s">
        <v>2892</v>
      </c>
      <c r="D295" s="2"/>
      <c r="E295" s="23">
        <v>78</v>
      </c>
      <c r="F295" s="2">
        <f t="shared" si="5"/>
        <v>2</v>
      </c>
    </row>
    <row r="296" spans="2:6" x14ac:dyDescent="0.25">
      <c r="B296" s="38">
        <v>45648</v>
      </c>
      <c r="C296" s="2" t="s">
        <v>2893</v>
      </c>
      <c r="D296" s="2"/>
      <c r="E296" s="23">
        <v>78.5</v>
      </c>
      <c r="F296" s="2">
        <f t="shared" si="5"/>
        <v>0.5</v>
      </c>
    </row>
    <row r="297" spans="2:6" x14ac:dyDescent="0.25">
      <c r="B297" s="38">
        <v>45649</v>
      </c>
      <c r="C297" s="2" t="s">
        <v>2882</v>
      </c>
      <c r="D297" s="2"/>
      <c r="E297" s="23">
        <v>82</v>
      </c>
      <c r="F297" s="2">
        <f t="shared" si="5"/>
        <v>3.5</v>
      </c>
    </row>
    <row r="298" spans="2:6" x14ac:dyDescent="0.25">
      <c r="B298" s="38">
        <v>45650</v>
      </c>
      <c r="C298" s="2" t="s">
        <v>2895</v>
      </c>
      <c r="D298" s="2"/>
      <c r="E298" s="23">
        <v>84</v>
      </c>
      <c r="F298" s="2">
        <f t="shared" si="5"/>
        <v>2</v>
      </c>
    </row>
    <row r="299" spans="2:6" x14ac:dyDescent="0.25">
      <c r="B299" s="38">
        <v>45651</v>
      </c>
      <c r="C299" s="2" t="s">
        <v>2904</v>
      </c>
      <c r="D299" s="2"/>
      <c r="E299" s="23">
        <v>87</v>
      </c>
      <c r="F299" s="2">
        <f t="shared" si="5"/>
        <v>3</v>
      </c>
    </row>
    <row r="300" spans="2:6" x14ac:dyDescent="0.25">
      <c r="B300" s="38">
        <v>45652</v>
      </c>
      <c r="C300" s="2" t="s">
        <v>2912</v>
      </c>
      <c r="D300" s="2"/>
      <c r="E300" s="23">
        <v>90</v>
      </c>
      <c r="F300" s="2">
        <f t="shared" si="5"/>
        <v>3</v>
      </c>
    </row>
    <row r="301" spans="2:6" x14ac:dyDescent="0.25">
      <c r="B301" s="38">
        <v>45653</v>
      </c>
      <c r="C301" s="2" t="s">
        <v>2923</v>
      </c>
      <c r="D301" s="2" t="s">
        <v>2929</v>
      </c>
      <c r="E301" s="23">
        <v>100</v>
      </c>
      <c r="F301" s="2">
        <f t="shared" si="5"/>
        <v>10</v>
      </c>
    </row>
    <row r="302" spans="2:6" x14ac:dyDescent="0.25">
      <c r="B302" s="38">
        <v>45654</v>
      </c>
      <c r="C302" s="2" t="s">
        <v>2937</v>
      </c>
      <c r="D302" s="2"/>
      <c r="E302" s="23">
        <v>101</v>
      </c>
      <c r="F302" s="2">
        <f t="shared" si="5"/>
        <v>1</v>
      </c>
    </row>
    <row r="303" spans="2:6" x14ac:dyDescent="0.25">
      <c r="B303" s="38">
        <v>45655</v>
      </c>
      <c r="C303" s="2" t="s">
        <v>2938</v>
      </c>
      <c r="D303" s="2"/>
      <c r="E303" s="23">
        <v>102.5</v>
      </c>
      <c r="F303" s="2">
        <f t="shared" si="5"/>
        <v>1.5</v>
      </c>
    </row>
    <row r="304" spans="2:6" x14ac:dyDescent="0.25">
      <c r="B304" s="38">
        <v>45656</v>
      </c>
      <c r="C304" s="2" t="s">
        <v>2956</v>
      </c>
      <c r="D304" s="2" t="s">
        <v>2957</v>
      </c>
      <c r="E304" s="23">
        <v>115</v>
      </c>
      <c r="F304" s="2">
        <f t="shared" si="5"/>
        <v>12.5</v>
      </c>
    </row>
    <row r="305" spans="2:6" x14ac:dyDescent="0.25">
      <c r="B305" s="38">
        <v>45657</v>
      </c>
      <c r="C305" s="2"/>
      <c r="D305" s="2"/>
      <c r="E305" s="23">
        <v>115</v>
      </c>
      <c r="F305" s="2">
        <f t="shared" si="5"/>
        <v>0</v>
      </c>
    </row>
    <row r="306" spans="2:6" x14ac:dyDescent="0.25">
      <c r="B306" s="38">
        <v>45658</v>
      </c>
      <c r="C306" s="2" t="s">
        <v>2970</v>
      </c>
      <c r="D306" s="2" t="s">
        <v>2979</v>
      </c>
      <c r="E306" s="23">
        <v>30</v>
      </c>
      <c r="F306" s="2">
        <f t="shared" si="5"/>
        <v>-85</v>
      </c>
    </row>
    <row r="307" spans="2:6" x14ac:dyDescent="0.25">
      <c r="B307" s="38">
        <v>45659</v>
      </c>
      <c r="C307" s="2" t="s">
        <v>2987</v>
      </c>
      <c r="D307" s="2" t="s">
        <v>2991</v>
      </c>
      <c r="E307" s="23">
        <v>38</v>
      </c>
      <c r="F307" s="2">
        <f t="shared" si="5"/>
        <v>8</v>
      </c>
    </row>
    <row r="308" spans="2:6" x14ac:dyDescent="0.25">
      <c r="B308" s="38">
        <v>45660</v>
      </c>
      <c r="C308" s="2" t="s">
        <v>2995</v>
      </c>
      <c r="D308" s="2"/>
      <c r="E308" s="23">
        <v>41</v>
      </c>
      <c r="F308" s="2">
        <f t="shared" si="5"/>
        <v>3</v>
      </c>
    </row>
    <row r="309" spans="2:6" x14ac:dyDescent="0.25">
      <c r="B309" s="38">
        <v>45661</v>
      </c>
      <c r="C309" s="2" t="s">
        <v>3008</v>
      </c>
      <c r="D309" s="2" t="s">
        <v>3045</v>
      </c>
      <c r="E309" s="23">
        <v>42.5</v>
      </c>
      <c r="F309" s="2">
        <f t="shared" si="5"/>
        <v>1.5</v>
      </c>
    </row>
    <row r="310" spans="2:6" x14ac:dyDescent="0.25">
      <c r="B310" s="38">
        <v>45662</v>
      </c>
      <c r="C310" s="2" t="s">
        <v>3044</v>
      </c>
      <c r="D310" s="2" t="s">
        <v>3046</v>
      </c>
      <c r="E310" s="23">
        <v>45</v>
      </c>
      <c r="F310" s="2">
        <f t="shared" si="5"/>
        <v>2.5</v>
      </c>
    </row>
    <row r="311" spans="2:6" x14ac:dyDescent="0.25">
      <c r="B311" s="38">
        <v>45663</v>
      </c>
      <c r="C311" s="2" t="s">
        <v>3044</v>
      </c>
      <c r="D311" s="2"/>
      <c r="E311" s="23">
        <v>45</v>
      </c>
      <c r="F311" s="2">
        <f t="shared" si="5"/>
        <v>0</v>
      </c>
    </row>
    <row r="312" spans="2:6" x14ac:dyDescent="0.25">
      <c r="B312" s="38">
        <v>45664</v>
      </c>
      <c r="C312" s="2" t="s">
        <v>3044</v>
      </c>
      <c r="D312" s="2" t="s">
        <v>3063</v>
      </c>
      <c r="E312" s="23">
        <v>45</v>
      </c>
      <c r="F312" s="2">
        <f t="shared" si="5"/>
        <v>0</v>
      </c>
    </row>
    <row r="313" spans="2:6" x14ac:dyDescent="0.25">
      <c r="B313" s="38">
        <v>45665</v>
      </c>
      <c r="C313" s="2" t="s">
        <v>3044</v>
      </c>
      <c r="D313" s="2" t="s">
        <v>3073</v>
      </c>
      <c r="E313" s="23">
        <v>45</v>
      </c>
      <c r="F313" s="2">
        <f t="shared" si="5"/>
        <v>0</v>
      </c>
    </row>
    <row r="314" spans="2:6" x14ac:dyDescent="0.25">
      <c r="B314" s="38">
        <v>45666</v>
      </c>
      <c r="C314" s="2" t="s">
        <v>3044</v>
      </c>
      <c r="D314" s="2"/>
      <c r="E314" s="23">
        <v>45</v>
      </c>
      <c r="F314" s="2">
        <f t="shared" si="5"/>
        <v>0</v>
      </c>
    </row>
    <row r="315" spans="2:6" x14ac:dyDescent="0.25">
      <c r="B315" s="38">
        <v>45667</v>
      </c>
      <c r="C315" s="2" t="s">
        <v>3083</v>
      </c>
      <c r="D315" s="2"/>
      <c r="E315" s="23">
        <v>52</v>
      </c>
      <c r="F315" s="2">
        <f t="shared" si="5"/>
        <v>7</v>
      </c>
    </row>
    <row r="316" spans="2:6" x14ac:dyDescent="0.25">
      <c r="B316" s="38">
        <v>45668</v>
      </c>
      <c r="C316" s="2" t="s">
        <v>3105</v>
      </c>
      <c r="D316" s="2"/>
      <c r="E316" s="23">
        <v>54</v>
      </c>
      <c r="F316" s="2">
        <f>E316-E315</f>
        <v>2</v>
      </c>
    </row>
    <row r="317" spans="2:6" x14ac:dyDescent="0.25">
      <c r="B317" s="38">
        <v>45669</v>
      </c>
      <c r="C317" s="2" t="s">
        <v>3106</v>
      </c>
      <c r="D317" s="2" t="s">
        <v>3115</v>
      </c>
      <c r="E317" s="23">
        <v>56</v>
      </c>
      <c r="F317" s="2">
        <f>E317-E316</f>
        <v>2</v>
      </c>
    </row>
    <row r="318" spans="2:6" x14ac:dyDescent="0.25">
      <c r="B318" s="38">
        <v>45670</v>
      </c>
      <c r="C318" s="2" t="s">
        <v>3129</v>
      </c>
      <c r="D318" s="2" t="s">
        <v>3130</v>
      </c>
      <c r="E318" s="23">
        <v>57</v>
      </c>
      <c r="F318" s="2">
        <f t="shared" ref="F318:F332" si="6">E318-E317</f>
        <v>1</v>
      </c>
    </row>
    <row r="319" spans="2:6" x14ac:dyDescent="0.25">
      <c r="B319" s="38">
        <v>45671</v>
      </c>
      <c r="C319" s="2" t="s">
        <v>3129</v>
      </c>
      <c r="D319" s="2"/>
      <c r="E319" s="23">
        <v>57</v>
      </c>
      <c r="F319" s="2">
        <f t="shared" si="6"/>
        <v>0</v>
      </c>
    </row>
    <row r="320" spans="2:6" x14ac:dyDescent="0.25">
      <c r="B320" s="38">
        <v>45672</v>
      </c>
      <c r="C320" s="2" t="s">
        <v>3129</v>
      </c>
      <c r="D320" s="2" t="s">
        <v>3146</v>
      </c>
      <c r="E320" s="23">
        <v>57</v>
      </c>
      <c r="F320" s="2">
        <f t="shared" si="6"/>
        <v>0</v>
      </c>
    </row>
    <row r="321" spans="2:6" x14ac:dyDescent="0.25">
      <c r="B321" s="38">
        <v>45673</v>
      </c>
      <c r="C321" s="2" t="s">
        <v>3152</v>
      </c>
      <c r="D321" s="2"/>
      <c r="E321" s="23">
        <v>57</v>
      </c>
      <c r="F321" s="2">
        <f t="shared" si="6"/>
        <v>0</v>
      </c>
    </row>
    <row r="322" spans="2:6" x14ac:dyDescent="0.25">
      <c r="B322" s="38">
        <v>45674</v>
      </c>
      <c r="C322" s="2" t="s">
        <v>3164</v>
      </c>
      <c r="D322" s="2"/>
      <c r="E322" s="23">
        <v>60</v>
      </c>
      <c r="F322" s="2">
        <f t="shared" si="6"/>
        <v>3</v>
      </c>
    </row>
    <row r="323" spans="2:6" x14ac:dyDescent="0.25">
      <c r="B323" s="38">
        <v>45675</v>
      </c>
      <c r="C323" s="2" t="s">
        <v>3173</v>
      </c>
      <c r="D323" s="2"/>
      <c r="E323" s="23">
        <v>65</v>
      </c>
      <c r="F323" s="2">
        <f t="shared" si="6"/>
        <v>5</v>
      </c>
    </row>
    <row r="324" spans="2:6" x14ac:dyDescent="0.25">
      <c r="B324" s="38">
        <v>45676</v>
      </c>
      <c r="C324" s="2" t="s">
        <v>3174</v>
      </c>
      <c r="D324" s="2"/>
      <c r="E324" s="23">
        <v>66.5</v>
      </c>
      <c r="F324" s="2">
        <f t="shared" si="6"/>
        <v>1.5</v>
      </c>
    </row>
    <row r="325" spans="2:6" x14ac:dyDescent="0.25">
      <c r="B325" s="38">
        <v>45677</v>
      </c>
      <c r="C325" s="2" t="s">
        <v>3172</v>
      </c>
      <c r="D325" s="2"/>
      <c r="E325" s="23">
        <v>70</v>
      </c>
      <c r="F325" s="2">
        <f t="shared" si="6"/>
        <v>3.5</v>
      </c>
    </row>
    <row r="326" spans="2:6" x14ac:dyDescent="0.25">
      <c r="B326" s="38">
        <v>45678</v>
      </c>
      <c r="C326" s="2" t="s">
        <v>3185</v>
      </c>
      <c r="D326" s="2"/>
      <c r="E326" s="23">
        <v>72</v>
      </c>
      <c r="F326" s="2">
        <f t="shared" si="6"/>
        <v>2</v>
      </c>
    </row>
    <row r="327" spans="2:6" x14ac:dyDescent="0.25">
      <c r="B327" s="38">
        <v>45679</v>
      </c>
      <c r="C327" s="2" t="s">
        <v>3196</v>
      </c>
      <c r="D327" s="2"/>
      <c r="E327" s="23">
        <v>75</v>
      </c>
      <c r="F327" s="2">
        <f t="shared" si="6"/>
        <v>3</v>
      </c>
    </row>
    <row r="328" spans="2:6" x14ac:dyDescent="0.25">
      <c r="B328" s="38">
        <v>45680</v>
      </c>
      <c r="C328" s="2" t="s">
        <v>3206</v>
      </c>
      <c r="D328" s="2"/>
      <c r="E328" s="23">
        <v>80</v>
      </c>
      <c r="F328" s="2">
        <f t="shared" si="6"/>
        <v>5</v>
      </c>
    </row>
    <row r="329" spans="2:6" x14ac:dyDescent="0.25">
      <c r="B329" s="38">
        <v>45681</v>
      </c>
      <c r="C329" s="2" t="s">
        <v>3215</v>
      </c>
      <c r="D329" s="2"/>
      <c r="E329" s="23">
        <v>95</v>
      </c>
      <c r="F329" s="2">
        <f t="shared" si="6"/>
        <v>15</v>
      </c>
    </row>
    <row r="330" spans="2:6" x14ac:dyDescent="0.25">
      <c r="B330" s="38">
        <v>45682</v>
      </c>
      <c r="C330" s="2" t="s">
        <v>3216</v>
      </c>
      <c r="D330" s="2"/>
      <c r="E330" s="23">
        <v>100</v>
      </c>
      <c r="F330" s="2">
        <f t="shared" si="6"/>
        <v>5</v>
      </c>
    </row>
    <row r="331" spans="2:6" ht="30" x14ac:dyDescent="0.25">
      <c r="B331" s="5">
        <v>45683</v>
      </c>
      <c r="C331" s="6" t="s">
        <v>3216</v>
      </c>
      <c r="D331" s="54" t="s">
        <v>3217</v>
      </c>
      <c r="E331" s="25">
        <v>100</v>
      </c>
      <c r="F331" s="35">
        <f t="shared" si="6"/>
        <v>0</v>
      </c>
    </row>
    <row r="332" spans="2:6" x14ac:dyDescent="0.25">
      <c r="B332" s="38">
        <v>45684</v>
      </c>
      <c r="C332" s="2" t="s">
        <v>3216</v>
      </c>
      <c r="D332" s="2" t="s">
        <v>3218</v>
      </c>
      <c r="E332" s="23">
        <v>100</v>
      </c>
      <c r="F332" s="2">
        <f t="shared" si="6"/>
        <v>0</v>
      </c>
    </row>
    <row r="333" spans="2:6" x14ac:dyDescent="0.25">
      <c r="B333" s="38">
        <v>45685</v>
      </c>
      <c r="C333" s="2" t="s">
        <v>3216</v>
      </c>
      <c r="D333" s="2" t="s">
        <v>3235</v>
      </c>
      <c r="E333" s="23">
        <v>100</v>
      </c>
      <c r="F333" s="2">
        <v>0</v>
      </c>
    </row>
    <row r="334" spans="2:6" x14ac:dyDescent="0.25">
      <c r="B334" s="38">
        <v>45686</v>
      </c>
      <c r="C334" s="2" t="s">
        <v>3252</v>
      </c>
      <c r="D334" s="2"/>
      <c r="E334" s="23">
        <v>100</v>
      </c>
      <c r="F334" s="2">
        <v>0</v>
      </c>
    </row>
    <row r="335" spans="2:6" x14ac:dyDescent="0.25">
      <c r="B335" s="38">
        <v>45687</v>
      </c>
      <c r="C335" s="2" t="s">
        <v>3252</v>
      </c>
      <c r="D335" s="2"/>
      <c r="E335" s="23">
        <v>100</v>
      </c>
      <c r="F335" s="2">
        <v>0</v>
      </c>
    </row>
    <row r="336" spans="2:6" x14ac:dyDescent="0.25">
      <c r="B336" s="38">
        <v>45688</v>
      </c>
      <c r="C336" s="2" t="s">
        <v>3260</v>
      </c>
      <c r="D336" s="2"/>
      <c r="E336" s="23">
        <v>100</v>
      </c>
      <c r="F336" s="2">
        <v>0</v>
      </c>
    </row>
    <row r="337" spans="2:6" x14ac:dyDescent="0.25">
      <c r="B337" s="38">
        <v>45689</v>
      </c>
      <c r="C337" s="2" t="s">
        <v>3272</v>
      </c>
      <c r="D337" s="2"/>
      <c r="E337" s="23">
        <v>100</v>
      </c>
      <c r="F337" s="2">
        <v>0</v>
      </c>
    </row>
    <row r="338" spans="2:6" x14ac:dyDescent="0.25">
      <c r="B338" s="38">
        <v>45690</v>
      </c>
      <c r="C338" s="2" t="s">
        <v>3273</v>
      </c>
      <c r="D338" s="2"/>
      <c r="E338" s="23">
        <v>100</v>
      </c>
      <c r="F338" s="2">
        <v>0</v>
      </c>
    </row>
    <row r="339" spans="2:6" x14ac:dyDescent="0.25">
      <c r="B339" s="38">
        <v>45691</v>
      </c>
      <c r="C339" s="2" t="s">
        <v>3273</v>
      </c>
      <c r="D339" s="2" t="s">
        <v>3287</v>
      </c>
      <c r="E339" s="23">
        <v>100</v>
      </c>
      <c r="F339" s="2">
        <v>0</v>
      </c>
    </row>
    <row r="340" spans="2:6" x14ac:dyDescent="0.25">
      <c r="B340" s="38">
        <v>45692</v>
      </c>
      <c r="C340" s="2" t="s">
        <v>3286</v>
      </c>
      <c r="D340" s="2" t="s">
        <v>3288</v>
      </c>
      <c r="E340" s="23">
        <v>100</v>
      </c>
      <c r="F340" s="2">
        <v>0</v>
      </c>
    </row>
    <row r="341" spans="2:6" x14ac:dyDescent="0.25">
      <c r="B341" s="38">
        <v>45693</v>
      </c>
      <c r="C341" s="2" t="s">
        <v>3295</v>
      </c>
      <c r="D341" s="2"/>
      <c r="E341" s="23">
        <v>100</v>
      </c>
      <c r="F341" s="2">
        <v>0</v>
      </c>
    </row>
    <row r="342" spans="2:6" x14ac:dyDescent="0.25">
      <c r="B342" s="38">
        <v>45694</v>
      </c>
      <c r="C342" s="2" t="s">
        <v>3303</v>
      </c>
      <c r="D342" s="2"/>
      <c r="E342" s="23">
        <v>100</v>
      </c>
      <c r="F342" s="2">
        <v>0</v>
      </c>
    </row>
    <row r="343" spans="2:6" x14ac:dyDescent="0.25">
      <c r="B343" s="38">
        <v>45695</v>
      </c>
      <c r="C343" s="2" t="s">
        <v>3312</v>
      </c>
      <c r="D343" s="2" t="s">
        <v>3316</v>
      </c>
      <c r="E343" s="23">
        <v>120</v>
      </c>
      <c r="F343" s="2">
        <v>0</v>
      </c>
    </row>
    <row r="344" spans="2:6" x14ac:dyDescent="0.25">
      <c r="B344" s="38">
        <v>45696</v>
      </c>
      <c r="C344" s="2" t="s">
        <v>1178</v>
      </c>
      <c r="D344" s="2"/>
      <c r="E344" s="23">
        <v>120</v>
      </c>
      <c r="F344" s="2">
        <v>0</v>
      </c>
    </row>
    <row r="345" spans="2:6" x14ac:dyDescent="0.25">
      <c r="B345" s="38">
        <v>45697</v>
      </c>
      <c r="C345" s="2" t="s">
        <v>3317</v>
      </c>
      <c r="D345" s="2" t="s">
        <v>3323</v>
      </c>
      <c r="E345" s="23">
        <v>120</v>
      </c>
      <c r="F345" s="2">
        <v>0</v>
      </c>
    </row>
    <row r="346" spans="2:6" x14ac:dyDescent="0.25">
      <c r="B346" s="38">
        <v>45698</v>
      </c>
      <c r="C346" s="2" t="s">
        <v>3324</v>
      </c>
      <c r="D346" s="2" t="s">
        <v>3327</v>
      </c>
      <c r="E346" s="23">
        <v>120</v>
      </c>
      <c r="F346" s="2">
        <v>0</v>
      </c>
    </row>
    <row r="347" spans="2:6" x14ac:dyDescent="0.25">
      <c r="B347" s="38">
        <v>45699</v>
      </c>
      <c r="C347" s="2" t="s">
        <v>3330</v>
      </c>
      <c r="D347" s="2"/>
      <c r="E347" s="23">
        <v>120</v>
      </c>
      <c r="F347" s="2">
        <v>0</v>
      </c>
    </row>
    <row r="348" spans="2:6" x14ac:dyDescent="0.25">
      <c r="B348" s="38">
        <v>45700</v>
      </c>
      <c r="C348" s="2" t="s">
        <v>3331</v>
      </c>
      <c r="D348" s="2"/>
      <c r="E348" s="23">
        <v>120</v>
      </c>
      <c r="F348" s="2">
        <v>0</v>
      </c>
    </row>
    <row r="349" spans="2:6" x14ac:dyDescent="0.25">
      <c r="B349" s="38">
        <v>45701</v>
      </c>
      <c r="C349" s="2" t="s">
        <v>1166</v>
      </c>
      <c r="D349" s="2"/>
      <c r="E349" s="23">
        <v>120</v>
      </c>
      <c r="F349" s="2">
        <v>0</v>
      </c>
    </row>
    <row r="350" spans="2:6" x14ac:dyDescent="0.25">
      <c r="B350" s="38">
        <v>45702</v>
      </c>
      <c r="C350" s="2" t="s">
        <v>1166</v>
      </c>
      <c r="D350" s="2"/>
      <c r="E350" s="23">
        <v>120</v>
      </c>
      <c r="F350" s="2">
        <v>0</v>
      </c>
    </row>
    <row r="351" spans="2:6" x14ac:dyDescent="0.25">
      <c r="B351" s="38">
        <v>45703</v>
      </c>
      <c r="C351" s="2" t="s">
        <v>3344</v>
      </c>
      <c r="D351" s="2" t="s">
        <v>3350</v>
      </c>
      <c r="E351" s="23">
        <v>120</v>
      </c>
      <c r="F351" s="2">
        <v>0</v>
      </c>
    </row>
    <row r="352" spans="2:6" x14ac:dyDescent="0.25">
      <c r="B352" s="38">
        <v>45704</v>
      </c>
      <c r="C352" s="2" t="s">
        <v>3344</v>
      </c>
      <c r="D352" s="2" t="s">
        <v>3350</v>
      </c>
      <c r="E352" s="23">
        <v>120</v>
      </c>
      <c r="F352" s="2">
        <v>0</v>
      </c>
    </row>
    <row r="353" spans="2:6" x14ac:dyDescent="0.25">
      <c r="B353" s="38">
        <v>45705</v>
      </c>
      <c r="C353" s="2" t="s">
        <v>3344</v>
      </c>
      <c r="D353" s="2" t="s">
        <v>3350</v>
      </c>
      <c r="E353" s="23">
        <v>120</v>
      </c>
      <c r="F353" s="2">
        <v>0</v>
      </c>
    </row>
    <row r="354" spans="2:6" x14ac:dyDescent="0.25">
      <c r="B354" s="38">
        <v>45706</v>
      </c>
      <c r="C354" s="2" t="s">
        <v>3344</v>
      </c>
      <c r="D354" s="2" t="s">
        <v>3350</v>
      </c>
      <c r="E354" s="23">
        <v>120</v>
      </c>
      <c r="F354" s="2">
        <v>0</v>
      </c>
    </row>
    <row r="355" spans="2:6" x14ac:dyDescent="0.25">
      <c r="B355" s="38">
        <v>45707</v>
      </c>
      <c r="C355" s="2" t="s">
        <v>3344</v>
      </c>
      <c r="D355" s="2"/>
      <c r="E355" s="2"/>
      <c r="F355" s="2"/>
    </row>
    <row r="356" spans="2:6" x14ac:dyDescent="0.25">
      <c r="B356" s="38">
        <v>45708</v>
      </c>
      <c r="C356" s="2" t="s">
        <v>3344</v>
      </c>
      <c r="D356" s="2"/>
      <c r="E356" s="2"/>
      <c r="F356" s="2"/>
    </row>
    <row r="357" spans="2:6" x14ac:dyDescent="0.25">
      <c r="B357" s="38">
        <v>45709</v>
      </c>
      <c r="C357" s="2" t="s">
        <v>3344</v>
      </c>
      <c r="D357" s="2"/>
      <c r="E357" s="2"/>
      <c r="F357" s="2"/>
    </row>
    <row r="358" spans="2:6" x14ac:dyDescent="0.25">
      <c r="B358" s="38">
        <v>45710</v>
      </c>
      <c r="C358" s="2" t="s">
        <v>3344</v>
      </c>
      <c r="D358" s="2"/>
      <c r="E358" s="2"/>
      <c r="F358" s="2"/>
    </row>
    <row r="359" spans="2:6" x14ac:dyDescent="0.25">
      <c r="B359" s="38">
        <v>45711</v>
      </c>
      <c r="C359" s="2" t="s">
        <v>3344</v>
      </c>
      <c r="D359" s="2"/>
      <c r="E359" s="2"/>
      <c r="F359" s="2"/>
    </row>
    <row r="360" spans="2:6" x14ac:dyDescent="0.25">
      <c r="B360" s="38">
        <v>45712</v>
      </c>
      <c r="C360" s="2" t="s">
        <v>3344</v>
      </c>
      <c r="D360" s="2"/>
      <c r="E360" s="2"/>
      <c r="F360" s="2"/>
    </row>
    <row r="361" spans="2:6" x14ac:dyDescent="0.25">
      <c r="B361" s="38"/>
      <c r="C361" s="2"/>
      <c r="D361" s="2"/>
      <c r="E361" s="2"/>
      <c r="F361" s="2"/>
    </row>
    <row r="362" spans="2:6" x14ac:dyDescent="0.25">
      <c r="B362" s="38">
        <v>46010</v>
      </c>
      <c r="C362" s="2" t="s">
        <v>6170</v>
      </c>
      <c r="D362" s="2"/>
      <c r="E362" s="2"/>
      <c r="F362" s="2"/>
    </row>
    <row r="363" spans="2:6" x14ac:dyDescent="0.25">
      <c r="B363" s="38">
        <v>46011</v>
      </c>
      <c r="C363" s="2" t="s">
        <v>6171</v>
      </c>
      <c r="D363" s="2"/>
      <c r="E363" s="2"/>
      <c r="F363" s="2"/>
    </row>
    <row r="364" spans="2:6" x14ac:dyDescent="0.25">
      <c r="B364" s="38">
        <v>46012</v>
      </c>
      <c r="C364" s="2" t="s">
        <v>6172</v>
      </c>
      <c r="D364" s="2"/>
      <c r="E364" s="2"/>
      <c r="F364" s="2"/>
    </row>
    <row r="365" spans="2:6" x14ac:dyDescent="0.25">
      <c r="B365" s="38">
        <v>46013</v>
      </c>
      <c r="C365" s="2"/>
      <c r="D365" s="2"/>
      <c r="E365" s="2"/>
      <c r="F365" s="2"/>
    </row>
    <row r="366" spans="2:6" x14ac:dyDescent="0.25">
      <c r="B366" s="38">
        <v>46014</v>
      </c>
      <c r="C366" s="2"/>
      <c r="D366" s="2"/>
      <c r="E366" s="2"/>
      <c r="F366" s="2"/>
    </row>
    <row r="367" spans="2:6" x14ac:dyDescent="0.25">
      <c r="B367" s="38">
        <v>46015</v>
      </c>
      <c r="C367" s="2"/>
      <c r="D367" s="2"/>
      <c r="E367" s="2"/>
      <c r="F367" s="2"/>
    </row>
    <row r="368" spans="2:6" x14ac:dyDescent="0.25">
      <c r="B368" s="38">
        <v>46016</v>
      </c>
      <c r="C368" s="2"/>
      <c r="D368" s="2"/>
      <c r="E368" s="2"/>
      <c r="F368" s="2"/>
    </row>
  </sheetData>
  <phoneticPr fontId="6" type="noConversion"/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 tint="-0.499984740745262"/>
  </sheetPr>
  <dimension ref="B2:G164"/>
  <sheetViews>
    <sheetView showGridLines="0" topLeftCell="A151" zoomScale="90" zoomScaleNormal="90" workbookViewId="0">
      <selection activeCell="C162" sqref="C162"/>
    </sheetView>
  </sheetViews>
  <sheetFormatPr defaultRowHeight="15" x14ac:dyDescent="0.25"/>
  <cols>
    <col min="2" max="2" width="18" bestFit="1" customWidth="1"/>
    <col min="3" max="3" width="71.140625" customWidth="1"/>
    <col min="4" max="4" width="54.42578125" customWidth="1"/>
    <col min="5" max="5" width="11.85546875" bestFit="1" customWidth="1"/>
    <col min="6" max="6" width="8.42578125" bestFit="1" customWidth="1"/>
    <col min="7" max="7" width="11" bestFit="1" customWidth="1"/>
  </cols>
  <sheetData>
    <row r="2" spans="2:7" x14ac:dyDescent="0.25">
      <c r="C2" t="s">
        <v>1832</v>
      </c>
    </row>
    <row r="4" spans="2:7" ht="30.75" customHeight="1" x14ac:dyDescent="0.25">
      <c r="B4" s="10" t="s">
        <v>0</v>
      </c>
      <c r="C4" s="11" t="s">
        <v>1</v>
      </c>
      <c r="D4" s="11" t="s">
        <v>2</v>
      </c>
      <c r="E4" s="11" t="s">
        <v>934</v>
      </c>
      <c r="F4" s="11" t="s">
        <v>1095</v>
      </c>
      <c r="G4" s="11" t="s">
        <v>1507</v>
      </c>
    </row>
    <row r="5" spans="2:7" x14ac:dyDescent="0.25">
      <c r="B5" s="4">
        <v>45540</v>
      </c>
      <c r="C5" s="2" t="s">
        <v>1528</v>
      </c>
      <c r="D5" s="2"/>
      <c r="E5" s="23">
        <v>0</v>
      </c>
      <c r="F5" s="2">
        <f>E5-E6</f>
        <v>0</v>
      </c>
      <c r="G5" s="2"/>
    </row>
    <row r="6" spans="2:7" x14ac:dyDescent="0.25">
      <c r="B6" s="4">
        <v>45541</v>
      </c>
      <c r="C6" s="2" t="s">
        <v>279</v>
      </c>
      <c r="D6" s="2"/>
      <c r="E6" s="23">
        <v>0</v>
      </c>
      <c r="F6" s="2">
        <v>0</v>
      </c>
      <c r="G6" s="2"/>
    </row>
    <row r="7" spans="2:7" x14ac:dyDescent="0.25">
      <c r="B7" s="4">
        <v>45542</v>
      </c>
      <c r="C7" s="2" t="s">
        <v>279</v>
      </c>
      <c r="D7" s="2"/>
      <c r="E7" s="23">
        <v>0</v>
      </c>
      <c r="F7" s="2">
        <f t="shared" ref="F7:F70" si="0">E7-E6</f>
        <v>0</v>
      </c>
      <c r="G7" s="2"/>
    </row>
    <row r="8" spans="2:7" x14ac:dyDescent="0.25">
      <c r="B8" s="4">
        <v>45543</v>
      </c>
      <c r="C8" s="2" t="s">
        <v>279</v>
      </c>
      <c r="D8" s="2"/>
      <c r="E8" s="23">
        <v>0</v>
      </c>
      <c r="F8" s="2">
        <f t="shared" si="0"/>
        <v>0</v>
      </c>
      <c r="G8" s="2"/>
    </row>
    <row r="9" spans="2:7" x14ac:dyDescent="0.25">
      <c r="B9" s="4">
        <v>45544</v>
      </c>
      <c r="C9" s="2" t="s">
        <v>622</v>
      </c>
      <c r="D9" s="2"/>
      <c r="E9" s="23">
        <v>0</v>
      </c>
      <c r="F9" s="2">
        <f t="shared" si="0"/>
        <v>0</v>
      </c>
      <c r="G9" s="2"/>
    </row>
    <row r="10" spans="2:7" x14ac:dyDescent="0.25">
      <c r="B10" s="4">
        <v>45545</v>
      </c>
      <c r="C10" s="2" t="s">
        <v>622</v>
      </c>
      <c r="D10" s="2"/>
      <c r="E10" s="23">
        <v>0</v>
      </c>
      <c r="F10" s="2">
        <f t="shared" si="0"/>
        <v>0</v>
      </c>
      <c r="G10" s="2"/>
    </row>
    <row r="11" spans="2:7" x14ac:dyDescent="0.25">
      <c r="B11" s="4">
        <v>45546</v>
      </c>
      <c r="C11" s="2" t="s">
        <v>1853</v>
      </c>
      <c r="D11" s="2"/>
      <c r="E11" s="23">
        <v>0</v>
      </c>
      <c r="F11" s="2">
        <f t="shared" si="0"/>
        <v>0</v>
      </c>
      <c r="G11" s="2"/>
    </row>
    <row r="12" spans="2:7" x14ac:dyDescent="0.25">
      <c r="B12" s="4">
        <v>45547</v>
      </c>
      <c r="C12" s="2" t="s">
        <v>279</v>
      </c>
      <c r="D12" s="2"/>
      <c r="E12" s="23">
        <v>0</v>
      </c>
      <c r="F12" s="2">
        <f t="shared" si="0"/>
        <v>0</v>
      </c>
      <c r="G12" s="2"/>
    </row>
    <row r="13" spans="2:7" x14ac:dyDescent="0.25">
      <c r="B13" s="4">
        <v>45548</v>
      </c>
      <c r="C13" s="2" t="s">
        <v>1858</v>
      </c>
      <c r="D13" s="2"/>
      <c r="E13" s="23">
        <v>0</v>
      </c>
      <c r="F13" s="2">
        <f t="shared" si="0"/>
        <v>0</v>
      </c>
      <c r="G13" s="2"/>
    </row>
    <row r="14" spans="2:7" x14ac:dyDescent="0.25">
      <c r="B14" s="4">
        <v>45549</v>
      </c>
      <c r="C14" s="2" t="s">
        <v>1858</v>
      </c>
      <c r="D14" s="2"/>
      <c r="E14" s="23">
        <v>0</v>
      </c>
      <c r="F14" s="2">
        <f t="shared" si="0"/>
        <v>0</v>
      </c>
      <c r="G14" s="2"/>
    </row>
    <row r="15" spans="2:7" x14ac:dyDescent="0.25">
      <c r="B15" s="4">
        <v>45550</v>
      </c>
      <c r="C15" s="2" t="s">
        <v>1858</v>
      </c>
      <c r="D15" s="2"/>
      <c r="E15" s="23">
        <v>0</v>
      </c>
      <c r="F15" s="2">
        <f t="shared" si="0"/>
        <v>0</v>
      </c>
      <c r="G15" s="2"/>
    </row>
    <row r="16" spans="2:7" x14ac:dyDescent="0.25">
      <c r="B16" s="4">
        <v>45551</v>
      </c>
      <c r="C16" s="2" t="s">
        <v>1906</v>
      </c>
      <c r="D16" s="2"/>
      <c r="E16" s="23">
        <v>10</v>
      </c>
      <c r="F16" s="2">
        <f t="shared" si="0"/>
        <v>10</v>
      </c>
      <c r="G16" s="2"/>
    </row>
    <row r="17" spans="2:7" x14ac:dyDescent="0.25">
      <c r="B17" s="4">
        <v>45552</v>
      </c>
      <c r="C17" s="2" t="s">
        <v>1907</v>
      </c>
      <c r="D17" s="2" t="s">
        <v>1908</v>
      </c>
      <c r="E17" s="23">
        <v>12</v>
      </c>
      <c r="F17" s="2">
        <f t="shared" si="0"/>
        <v>2</v>
      </c>
      <c r="G17" s="2"/>
    </row>
    <row r="18" spans="2:7" x14ac:dyDescent="0.25">
      <c r="B18" s="4">
        <v>45553</v>
      </c>
      <c r="C18" s="2" t="s">
        <v>1921</v>
      </c>
      <c r="D18" s="2" t="s">
        <v>1922</v>
      </c>
      <c r="E18" s="23">
        <v>12.5</v>
      </c>
      <c r="F18" s="2">
        <f t="shared" si="0"/>
        <v>0.5</v>
      </c>
      <c r="G18" s="2"/>
    </row>
    <row r="19" spans="2:7" x14ac:dyDescent="0.25">
      <c r="B19" s="4">
        <v>45554</v>
      </c>
      <c r="C19" s="2" t="s">
        <v>1946</v>
      </c>
      <c r="D19" s="2"/>
      <c r="E19" s="23">
        <v>13</v>
      </c>
      <c r="F19" s="2">
        <f t="shared" si="0"/>
        <v>0.5</v>
      </c>
      <c r="G19" s="2"/>
    </row>
    <row r="20" spans="2:7" x14ac:dyDescent="0.25">
      <c r="B20" s="4">
        <v>45555</v>
      </c>
      <c r="C20" s="2" t="s">
        <v>1949</v>
      </c>
      <c r="D20" s="2"/>
      <c r="E20" s="23">
        <v>12</v>
      </c>
      <c r="F20" s="2">
        <f t="shared" si="0"/>
        <v>-1</v>
      </c>
      <c r="G20" s="2"/>
    </row>
    <row r="21" spans="2:7" x14ac:dyDescent="0.25">
      <c r="B21" s="4">
        <v>45556</v>
      </c>
      <c r="C21" s="2" t="s">
        <v>1959</v>
      </c>
      <c r="D21" s="2"/>
      <c r="E21" s="23">
        <v>12</v>
      </c>
      <c r="F21" s="2">
        <f t="shared" si="0"/>
        <v>0</v>
      </c>
      <c r="G21" s="2"/>
    </row>
    <row r="22" spans="2:7" x14ac:dyDescent="0.25">
      <c r="B22" s="4">
        <v>45557</v>
      </c>
      <c r="C22" s="2" t="s">
        <v>1960</v>
      </c>
      <c r="D22" s="2"/>
      <c r="E22" s="23">
        <v>13</v>
      </c>
      <c r="F22" s="2">
        <f t="shared" si="0"/>
        <v>1</v>
      </c>
      <c r="G22" s="2"/>
    </row>
    <row r="23" spans="2:7" x14ac:dyDescent="0.25">
      <c r="B23" s="4">
        <v>45558</v>
      </c>
      <c r="C23" s="2" t="s">
        <v>1982</v>
      </c>
      <c r="D23" s="2"/>
      <c r="E23" s="23">
        <v>15</v>
      </c>
      <c r="F23" s="2">
        <f t="shared" si="0"/>
        <v>2</v>
      </c>
      <c r="G23" s="2"/>
    </row>
    <row r="24" spans="2:7" x14ac:dyDescent="0.25">
      <c r="B24" s="4">
        <v>45559</v>
      </c>
      <c r="C24" s="2" t="s">
        <v>1960</v>
      </c>
      <c r="D24" s="2"/>
      <c r="E24" s="23">
        <v>16</v>
      </c>
      <c r="F24" s="2">
        <f t="shared" si="0"/>
        <v>1</v>
      </c>
      <c r="G24" s="2"/>
    </row>
    <row r="25" spans="2:7" x14ac:dyDescent="0.25">
      <c r="B25" s="4">
        <v>45560</v>
      </c>
      <c r="C25" s="2" t="s">
        <v>1992</v>
      </c>
      <c r="D25" s="2" t="s">
        <v>1999</v>
      </c>
      <c r="E25" s="23">
        <v>17.25</v>
      </c>
      <c r="F25" s="2">
        <f t="shared" si="0"/>
        <v>1.25</v>
      </c>
      <c r="G25" s="2"/>
    </row>
    <row r="26" spans="2:7" x14ac:dyDescent="0.25">
      <c r="B26" s="4">
        <v>45561</v>
      </c>
      <c r="C26" s="2" t="s">
        <v>2010</v>
      </c>
      <c r="D26" s="2"/>
      <c r="E26" s="23">
        <v>19</v>
      </c>
      <c r="F26" s="2">
        <f t="shared" si="0"/>
        <v>1.75</v>
      </c>
      <c r="G26" s="2"/>
    </row>
    <row r="27" spans="2:7" x14ac:dyDescent="0.25">
      <c r="B27" s="4">
        <v>45562</v>
      </c>
      <c r="C27" s="2" t="s">
        <v>2020</v>
      </c>
      <c r="D27" s="2"/>
      <c r="E27" s="23">
        <v>21.5</v>
      </c>
      <c r="F27" s="2">
        <f t="shared" si="0"/>
        <v>2.5</v>
      </c>
      <c r="G27" s="2"/>
    </row>
    <row r="28" spans="2:7" x14ac:dyDescent="0.25">
      <c r="B28" s="4">
        <v>45563</v>
      </c>
      <c r="C28" s="2" t="s">
        <v>2020</v>
      </c>
      <c r="D28" s="2"/>
      <c r="E28" s="23">
        <v>21.5</v>
      </c>
      <c r="F28" s="2">
        <f t="shared" si="0"/>
        <v>0</v>
      </c>
      <c r="G28" s="2"/>
    </row>
    <row r="29" spans="2:7" x14ac:dyDescent="0.25">
      <c r="B29" s="4">
        <v>45564</v>
      </c>
      <c r="C29" s="2" t="s">
        <v>1710</v>
      </c>
      <c r="D29" s="2"/>
      <c r="E29" s="23">
        <v>22</v>
      </c>
      <c r="F29" s="2">
        <f t="shared" si="0"/>
        <v>0.5</v>
      </c>
      <c r="G29" s="2"/>
    </row>
    <row r="30" spans="2:7" x14ac:dyDescent="0.25">
      <c r="B30" s="4">
        <v>45565</v>
      </c>
      <c r="C30" s="2" t="s">
        <v>2055</v>
      </c>
      <c r="D30" s="2"/>
      <c r="E30" s="23">
        <v>26</v>
      </c>
      <c r="F30" s="2">
        <f t="shared" si="0"/>
        <v>4</v>
      </c>
      <c r="G30" s="2"/>
    </row>
    <row r="31" spans="2:7" x14ac:dyDescent="0.25">
      <c r="B31" s="4">
        <v>45566</v>
      </c>
      <c r="C31" s="2" t="s">
        <v>2063</v>
      </c>
      <c r="D31" s="2"/>
      <c r="E31" s="23">
        <v>28</v>
      </c>
      <c r="F31" s="2">
        <f t="shared" si="0"/>
        <v>2</v>
      </c>
      <c r="G31" s="2"/>
    </row>
    <row r="32" spans="2:7" x14ac:dyDescent="0.25">
      <c r="B32" s="4">
        <v>45567</v>
      </c>
      <c r="C32" s="2" t="s">
        <v>2066</v>
      </c>
      <c r="D32" s="2"/>
      <c r="E32" s="23">
        <v>31</v>
      </c>
      <c r="F32" s="2">
        <f t="shared" si="0"/>
        <v>3</v>
      </c>
      <c r="G32" s="2"/>
    </row>
    <row r="33" spans="2:7" x14ac:dyDescent="0.25">
      <c r="B33" s="4">
        <v>45568</v>
      </c>
      <c r="C33" s="2" t="s">
        <v>2079</v>
      </c>
      <c r="D33" s="2" t="s">
        <v>2091</v>
      </c>
      <c r="E33" s="23">
        <v>34</v>
      </c>
      <c r="F33" s="2">
        <f t="shared" si="0"/>
        <v>3</v>
      </c>
      <c r="G33" s="2"/>
    </row>
    <row r="34" spans="2:7" x14ac:dyDescent="0.25">
      <c r="B34" s="4">
        <v>45569</v>
      </c>
      <c r="C34" s="2" t="s">
        <v>2104</v>
      </c>
      <c r="D34" s="2"/>
      <c r="E34" s="23">
        <v>36</v>
      </c>
      <c r="F34" s="2">
        <f t="shared" si="0"/>
        <v>2</v>
      </c>
      <c r="G34" s="2"/>
    </row>
    <row r="35" spans="2:7" x14ac:dyDescent="0.25">
      <c r="B35" s="4">
        <v>45570</v>
      </c>
      <c r="C35" s="2" t="s">
        <v>2109</v>
      </c>
      <c r="D35" s="2"/>
      <c r="E35" s="23">
        <v>37</v>
      </c>
      <c r="F35" s="2">
        <f t="shared" si="0"/>
        <v>1</v>
      </c>
      <c r="G35" s="2"/>
    </row>
    <row r="36" spans="2:7" x14ac:dyDescent="0.25">
      <c r="B36" s="4">
        <v>45571</v>
      </c>
      <c r="C36" s="2" t="s">
        <v>1731</v>
      </c>
      <c r="D36" s="2"/>
      <c r="E36" s="23">
        <v>39</v>
      </c>
      <c r="F36" s="2">
        <f t="shared" si="0"/>
        <v>2</v>
      </c>
      <c r="G36" s="2"/>
    </row>
    <row r="37" spans="2:7" x14ac:dyDescent="0.25">
      <c r="B37" s="4">
        <v>45572</v>
      </c>
      <c r="C37" s="2" t="s">
        <v>2126</v>
      </c>
      <c r="D37" s="2"/>
      <c r="E37" s="23">
        <v>42</v>
      </c>
      <c r="F37" s="2">
        <f t="shared" si="0"/>
        <v>3</v>
      </c>
      <c r="G37" s="2"/>
    </row>
    <row r="38" spans="2:7" x14ac:dyDescent="0.25">
      <c r="B38" s="4">
        <v>45573</v>
      </c>
      <c r="C38" s="2" t="s">
        <v>2139</v>
      </c>
      <c r="D38" s="2"/>
      <c r="E38" s="23">
        <v>42.5</v>
      </c>
      <c r="F38" s="2">
        <f t="shared" si="0"/>
        <v>0.5</v>
      </c>
      <c r="G38" s="2"/>
    </row>
    <row r="39" spans="2:7" x14ac:dyDescent="0.25">
      <c r="B39" s="4">
        <v>45574</v>
      </c>
      <c r="C39" s="2" t="s">
        <v>2153</v>
      </c>
      <c r="D39" s="2"/>
      <c r="E39" s="23">
        <v>44</v>
      </c>
      <c r="F39" s="2">
        <f t="shared" si="0"/>
        <v>1.5</v>
      </c>
      <c r="G39" s="2"/>
    </row>
    <row r="40" spans="2:7" x14ac:dyDescent="0.25">
      <c r="B40" s="4">
        <v>45575</v>
      </c>
      <c r="C40" s="2" t="s">
        <v>2160</v>
      </c>
      <c r="D40" s="2"/>
      <c r="E40" s="23">
        <v>47</v>
      </c>
      <c r="F40" s="2">
        <f t="shared" si="0"/>
        <v>3</v>
      </c>
      <c r="G40" s="2"/>
    </row>
    <row r="41" spans="2:7" x14ac:dyDescent="0.25">
      <c r="B41" s="4">
        <v>45576</v>
      </c>
      <c r="C41" s="2" t="s">
        <v>2177</v>
      </c>
      <c r="D41" s="2"/>
      <c r="E41" s="23">
        <v>50</v>
      </c>
      <c r="F41" s="2">
        <f t="shared" si="0"/>
        <v>3</v>
      </c>
      <c r="G41" s="2"/>
    </row>
    <row r="42" spans="2:7" x14ac:dyDescent="0.25">
      <c r="B42" s="4">
        <v>45577</v>
      </c>
      <c r="C42" s="2" t="s">
        <v>2178</v>
      </c>
      <c r="D42" s="2"/>
      <c r="E42" s="23">
        <v>53</v>
      </c>
      <c r="F42" s="2">
        <f t="shared" si="0"/>
        <v>3</v>
      </c>
      <c r="G42" s="2"/>
    </row>
    <row r="43" spans="2:7" x14ac:dyDescent="0.25">
      <c r="B43" s="4">
        <v>45578</v>
      </c>
      <c r="C43" s="2" t="s">
        <v>2179</v>
      </c>
      <c r="D43" s="2"/>
      <c r="E43" s="23">
        <v>55</v>
      </c>
      <c r="F43" s="2">
        <f t="shared" si="0"/>
        <v>2</v>
      </c>
      <c r="G43" s="2"/>
    </row>
    <row r="44" spans="2:7" x14ac:dyDescent="0.25">
      <c r="B44" s="4">
        <v>45579</v>
      </c>
      <c r="C44" s="2" t="s">
        <v>2180</v>
      </c>
      <c r="D44" s="2"/>
      <c r="E44" s="23">
        <v>55</v>
      </c>
      <c r="F44" s="2">
        <f t="shared" si="0"/>
        <v>0</v>
      </c>
      <c r="G44" s="2"/>
    </row>
    <row r="45" spans="2:7" x14ac:dyDescent="0.25">
      <c r="B45" s="4">
        <v>45580</v>
      </c>
      <c r="C45" s="2" t="s">
        <v>1526</v>
      </c>
      <c r="D45" s="2" t="s">
        <v>1015</v>
      </c>
      <c r="E45" s="23">
        <v>58</v>
      </c>
      <c r="F45" s="2">
        <f t="shared" si="0"/>
        <v>3</v>
      </c>
      <c r="G45" s="2"/>
    </row>
    <row r="46" spans="2:7" x14ac:dyDescent="0.25">
      <c r="B46" s="4">
        <v>45581</v>
      </c>
      <c r="C46" s="2" t="s">
        <v>2207</v>
      </c>
      <c r="D46" s="2"/>
      <c r="E46" s="23">
        <v>60</v>
      </c>
      <c r="F46" s="2">
        <f t="shared" si="0"/>
        <v>2</v>
      </c>
      <c r="G46" s="2"/>
    </row>
    <row r="47" spans="2:7" x14ac:dyDescent="0.25">
      <c r="B47" s="4">
        <v>45582</v>
      </c>
      <c r="C47" s="2" t="s">
        <v>2224</v>
      </c>
      <c r="D47" s="2" t="s">
        <v>2225</v>
      </c>
      <c r="E47" s="23">
        <v>62</v>
      </c>
      <c r="F47" s="2">
        <f t="shared" si="0"/>
        <v>2</v>
      </c>
      <c r="G47" s="2"/>
    </row>
    <row r="48" spans="2:7" x14ac:dyDescent="0.25">
      <c r="B48" s="4">
        <v>45583</v>
      </c>
      <c r="C48" s="2" t="s">
        <v>2228</v>
      </c>
      <c r="D48" s="2"/>
      <c r="E48" s="23">
        <v>65</v>
      </c>
      <c r="F48" s="2">
        <f t="shared" si="0"/>
        <v>3</v>
      </c>
      <c r="G48" s="2"/>
    </row>
    <row r="49" spans="2:7" x14ac:dyDescent="0.25">
      <c r="B49" s="4">
        <v>45584</v>
      </c>
      <c r="C49" s="2" t="s">
        <v>2244</v>
      </c>
      <c r="D49" s="2"/>
      <c r="E49" s="23">
        <v>66</v>
      </c>
      <c r="F49" s="2">
        <f t="shared" si="0"/>
        <v>1</v>
      </c>
      <c r="G49" s="2"/>
    </row>
    <row r="50" spans="2:7" x14ac:dyDescent="0.25">
      <c r="B50" s="4">
        <v>45585</v>
      </c>
      <c r="C50" s="2" t="s">
        <v>2245</v>
      </c>
      <c r="D50" s="2"/>
      <c r="E50" s="23">
        <v>68</v>
      </c>
      <c r="F50" s="2">
        <f t="shared" si="0"/>
        <v>2</v>
      </c>
      <c r="G50" s="2"/>
    </row>
    <row r="51" spans="2:7" x14ac:dyDescent="0.25">
      <c r="B51" s="4">
        <v>45586</v>
      </c>
      <c r="C51" s="2" t="s">
        <v>2256</v>
      </c>
      <c r="D51" s="2"/>
      <c r="E51" s="23">
        <v>69</v>
      </c>
      <c r="F51" s="2">
        <f t="shared" si="0"/>
        <v>1</v>
      </c>
      <c r="G51" s="2"/>
    </row>
    <row r="52" spans="2:7" x14ac:dyDescent="0.25">
      <c r="B52" s="4">
        <v>45587</v>
      </c>
      <c r="C52" s="2" t="s">
        <v>1746</v>
      </c>
      <c r="D52" s="2" t="s">
        <v>2273</v>
      </c>
      <c r="E52" s="33">
        <v>70</v>
      </c>
      <c r="F52" s="2">
        <f t="shared" si="0"/>
        <v>1</v>
      </c>
      <c r="G52" s="2"/>
    </row>
    <row r="53" spans="2:7" x14ac:dyDescent="0.25">
      <c r="B53" s="4">
        <v>45587</v>
      </c>
      <c r="C53" s="2" t="s">
        <v>1746</v>
      </c>
      <c r="D53" s="2"/>
      <c r="E53" s="23">
        <v>15</v>
      </c>
      <c r="F53" s="2">
        <f t="shared" si="0"/>
        <v>-55</v>
      </c>
      <c r="G53" s="2"/>
    </row>
    <row r="54" spans="2:7" x14ac:dyDescent="0.25">
      <c r="B54" s="4">
        <v>45588</v>
      </c>
      <c r="C54" s="2" t="s">
        <v>2286</v>
      </c>
      <c r="D54" s="2"/>
      <c r="E54" s="23">
        <v>21</v>
      </c>
      <c r="F54" s="2">
        <f t="shared" si="0"/>
        <v>6</v>
      </c>
      <c r="G54" s="2"/>
    </row>
    <row r="55" spans="2:7" x14ac:dyDescent="0.25">
      <c r="B55" s="4">
        <v>45589</v>
      </c>
      <c r="C55" s="2" t="s">
        <v>2286</v>
      </c>
      <c r="D55" s="2" t="s">
        <v>2299</v>
      </c>
      <c r="E55" s="23">
        <v>33</v>
      </c>
      <c r="F55" s="2">
        <f t="shared" si="0"/>
        <v>12</v>
      </c>
      <c r="G55" s="2"/>
    </row>
    <row r="56" spans="2:7" x14ac:dyDescent="0.25">
      <c r="B56" s="4">
        <v>45590</v>
      </c>
      <c r="C56" s="2" t="s">
        <v>2300</v>
      </c>
      <c r="D56" s="2"/>
      <c r="E56" s="23">
        <v>48</v>
      </c>
      <c r="F56" s="2">
        <f t="shared" si="0"/>
        <v>15</v>
      </c>
      <c r="G56" s="2"/>
    </row>
    <row r="57" spans="2:7" x14ac:dyDescent="0.25">
      <c r="B57" s="4">
        <v>45591</v>
      </c>
      <c r="C57" s="2" t="s">
        <v>2314</v>
      </c>
      <c r="D57" s="2"/>
      <c r="E57" s="23">
        <v>60</v>
      </c>
      <c r="F57" s="2">
        <f t="shared" si="0"/>
        <v>12</v>
      </c>
      <c r="G57" s="2"/>
    </row>
    <row r="58" spans="2:7" x14ac:dyDescent="0.25">
      <c r="B58" s="4">
        <v>45592</v>
      </c>
      <c r="C58" s="2" t="s">
        <v>2315</v>
      </c>
      <c r="D58" s="2" t="s">
        <v>2316</v>
      </c>
      <c r="E58" s="33">
        <v>70</v>
      </c>
      <c r="F58" s="2">
        <f t="shared" si="0"/>
        <v>10</v>
      </c>
      <c r="G58" s="2"/>
    </row>
    <row r="59" spans="2:7" x14ac:dyDescent="0.25">
      <c r="B59" s="4">
        <v>45593</v>
      </c>
      <c r="C59" s="2" t="s">
        <v>2334</v>
      </c>
      <c r="D59" s="2" t="s">
        <v>2317</v>
      </c>
      <c r="E59" s="23">
        <v>70</v>
      </c>
      <c r="F59" s="2">
        <f t="shared" si="0"/>
        <v>0</v>
      </c>
      <c r="G59" s="2"/>
    </row>
    <row r="60" spans="2:7" x14ac:dyDescent="0.25">
      <c r="B60" s="4">
        <v>45594</v>
      </c>
      <c r="C60" s="2" t="s">
        <v>2354</v>
      </c>
      <c r="D60" s="2"/>
      <c r="E60" s="23">
        <v>70</v>
      </c>
      <c r="F60" s="2">
        <f t="shared" si="0"/>
        <v>0</v>
      </c>
      <c r="G60" s="2"/>
    </row>
    <row r="61" spans="2:7" x14ac:dyDescent="0.25">
      <c r="B61" s="4">
        <v>45595</v>
      </c>
      <c r="C61" s="2" t="s">
        <v>2357</v>
      </c>
      <c r="D61" s="2"/>
      <c r="E61" s="23">
        <v>70</v>
      </c>
      <c r="F61" s="2">
        <f t="shared" si="0"/>
        <v>0</v>
      </c>
      <c r="G61" s="2"/>
    </row>
    <row r="62" spans="2:7" x14ac:dyDescent="0.25">
      <c r="B62" s="4">
        <v>45596</v>
      </c>
      <c r="C62" s="2" t="s">
        <v>2374</v>
      </c>
      <c r="D62" s="2"/>
      <c r="E62" s="23">
        <v>70</v>
      </c>
      <c r="F62" s="2">
        <f t="shared" si="0"/>
        <v>0</v>
      </c>
      <c r="G62" s="2"/>
    </row>
    <row r="63" spans="2:7" x14ac:dyDescent="0.25">
      <c r="B63" s="4">
        <v>45597</v>
      </c>
      <c r="C63" s="2" t="s">
        <v>2382</v>
      </c>
      <c r="D63" s="2"/>
      <c r="E63" s="23">
        <v>70</v>
      </c>
      <c r="F63" s="2">
        <f t="shared" si="0"/>
        <v>0</v>
      </c>
      <c r="G63" s="2"/>
    </row>
    <row r="64" spans="2:7" x14ac:dyDescent="0.25">
      <c r="B64" s="4">
        <v>45598</v>
      </c>
      <c r="C64" s="2" t="s">
        <v>2384</v>
      </c>
      <c r="D64" s="2"/>
      <c r="E64" s="23">
        <v>70</v>
      </c>
      <c r="F64" s="2">
        <f t="shared" si="0"/>
        <v>0</v>
      </c>
      <c r="G64" s="2"/>
    </row>
    <row r="65" spans="2:7" x14ac:dyDescent="0.25">
      <c r="B65" s="4">
        <v>45599</v>
      </c>
      <c r="C65" s="2" t="s">
        <v>2385</v>
      </c>
      <c r="D65" s="2"/>
      <c r="E65" s="23">
        <v>73</v>
      </c>
      <c r="F65" s="2">
        <f t="shared" si="0"/>
        <v>3</v>
      </c>
      <c r="G65" s="2"/>
    </row>
    <row r="66" spans="2:7" x14ac:dyDescent="0.25">
      <c r="B66" s="4">
        <v>45600</v>
      </c>
      <c r="C66" s="2" t="s">
        <v>2402</v>
      </c>
      <c r="D66" s="2"/>
      <c r="E66" s="23">
        <v>73.5</v>
      </c>
      <c r="F66" s="2">
        <f t="shared" si="0"/>
        <v>0.5</v>
      </c>
      <c r="G66" s="2"/>
    </row>
    <row r="67" spans="2:7" x14ac:dyDescent="0.25">
      <c r="B67" s="4">
        <v>45601</v>
      </c>
      <c r="C67" s="2" t="s">
        <v>2403</v>
      </c>
      <c r="D67" s="2"/>
      <c r="E67" s="23">
        <v>73.8</v>
      </c>
      <c r="F67" s="2">
        <f t="shared" si="0"/>
        <v>0.29999999999999716</v>
      </c>
      <c r="G67" s="2"/>
    </row>
    <row r="68" spans="2:7" x14ac:dyDescent="0.25">
      <c r="B68" s="4">
        <v>45602</v>
      </c>
      <c r="C68" s="2" t="s">
        <v>2404</v>
      </c>
      <c r="D68" s="2"/>
      <c r="E68" s="23">
        <v>74.8</v>
      </c>
      <c r="F68" s="2">
        <f t="shared" si="0"/>
        <v>1</v>
      </c>
      <c r="G68" s="2"/>
    </row>
    <row r="69" spans="2:7" x14ac:dyDescent="0.25">
      <c r="B69" s="4">
        <v>45603</v>
      </c>
      <c r="C69" s="2" t="s">
        <v>2418</v>
      </c>
      <c r="D69" s="2"/>
      <c r="E69" s="23">
        <v>75.3</v>
      </c>
      <c r="F69" s="2">
        <f t="shared" si="0"/>
        <v>0.5</v>
      </c>
      <c r="G69" s="2"/>
    </row>
    <row r="70" spans="2:7" x14ac:dyDescent="0.25">
      <c r="B70" s="4">
        <v>45604</v>
      </c>
      <c r="C70" s="2" t="s">
        <v>2443</v>
      </c>
      <c r="D70" s="2"/>
      <c r="E70" s="23">
        <v>75</v>
      </c>
      <c r="F70" s="2">
        <f t="shared" si="0"/>
        <v>-0.29999999999999716</v>
      </c>
      <c r="G70" s="2"/>
    </row>
    <row r="71" spans="2:7" x14ac:dyDescent="0.25">
      <c r="B71" s="4">
        <v>45605</v>
      </c>
      <c r="C71" s="2" t="s">
        <v>2443</v>
      </c>
      <c r="D71" s="2"/>
      <c r="E71" s="23">
        <v>75</v>
      </c>
      <c r="F71" s="2">
        <f t="shared" ref="F71:F100" si="1">E71-E70</f>
        <v>0</v>
      </c>
      <c r="G71" s="2"/>
    </row>
    <row r="72" spans="2:7" x14ac:dyDescent="0.25">
      <c r="B72" s="4">
        <v>45606</v>
      </c>
      <c r="C72" s="2" t="s">
        <v>2442</v>
      </c>
      <c r="D72" s="2" t="s">
        <v>2444</v>
      </c>
      <c r="E72" s="23">
        <v>76</v>
      </c>
      <c r="F72" s="2">
        <f t="shared" si="1"/>
        <v>1</v>
      </c>
      <c r="G72" s="2"/>
    </row>
    <row r="73" spans="2:7" x14ac:dyDescent="0.25">
      <c r="B73" s="4">
        <v>45607</v>
      </c>
      <c r="C73" s="2" t="s">
        <v>2472</v>
      </c>
      <c r="D73" s="2"/>
      <c r="E73" s="23">
        <v>76</v>
      </c>
      <c r="F73" s="2">
        <f t="shared" si="1"/>
        <v>0</v>
      </c>
      <c r="G73" s="2"/>
    </row>
    <row r="74" spans="2:7" x14ac:dyDescent="0.25">
      <c r="B74" s="4">
        <v>45608</v>
      </c>
      <c r="C74" s="2" t="s">
        <v>2475</v>
      </c>
      <c r="D74" s="2" t="s">
        <v>2485</v>
      </c>
      <c r="E74" s="23">
        <v>77</v>
      </c>
      <c r="F74" s="2">
        <f t="shared" si="1"/>
        <v>1</v>
      </c>
      <c r="G74" s="2"/>
    </row>
    <row r="75" spans="2:7" x14ac:dyDescent="0.25">
      <c r="B75" s="4">
        <v>45609</v>
      </c>
      <c r="C75" s="2" t="s">
        <v>2491</v>
      </c>
      <c r="D75" s="2"/>
      <c r="E75" s="23">
        <v>77.5</v>
      </c>
      <c r="F75" s="2">
        <f t="shared" si="1"/>
        <v>0.5</v>
      </c>
      <c r="G75" s="2"/>
    </row>
    <row r="76" spans="2:7" x14ac:dyDescent="0.25">
      <c r="B76" s="4">
        <v>45610</v>
      </c>
      <c r="C76" s="2" t="s">
        <v>2504</v>
      </c>
      <c r="D76" s="2" t="s">
        <v>2513</v>
      </c>
      <c r="E76" s="23">
        <v>77.5</v>
      </c>
      <c r="F76" s="2">
        <f t="shared" si="1"/>
        <v>0</v>
      </c>
      <c r="G76" s="2"/>
    </row>
    <row r="77" spans="2:7" x14ac:dyDescent="0.25">
      <c r="B77" s="4">
        <v>45611</v>
      </c>
      <c r="C77" s="2" t="s">
        <v>2523</v>
      </c>
      <c r="D77" s="2"/>
      <c r="E77" s="23">
        <v>78</v>
      </c>
      <c r="F77" s="2">
        <f t="shared" si="1"/>
        <v>0.5</v>
      </c>
      <c r="G77" s="2"/>
    </row>
    <row r="78" spans="2:7" x14ac:dyDescent="0.25">
      <c r="B78" s="4">
        <v>45612</v>
      </c>
      <c r="C78" s="2" t="s">
        <v>2542</v>
      </c>
      <c r="D78" s="2"/>
      <c r="E78" s="23">
        <v>78</v>
      </c>
      <c r="F78" s="2">
        <f t="shared" si="1"/>
        <v>0</v>
      </c>
      <c r="G78" s="2"/>
    </row>
    <row r="79" spans="2:7" x14ac:dyDescent="0.25">
      <c r="B79" s="4">
        <v>45613</v>
      </c>
      <c r="C79" s="2"/>
      <c r="D79" s="2"/>
      <c r="E79" s="23">
        <v>78</v>
      </c>
      <c r="F79" s="2">
        <f t="shared" si="1"/>
        <v>0</v>
      </c>
      <c r="G79" s="2"/>
    </row>
    <row r="80" spans="2:7" x14ac:dyDescent="0.25">
      <c r="B80" s="4">
        <v>45614</v>
      </c>
      <c r="C80" s="2" t="s">
        <v>2549</v>
      </c>
      <c r="D80" s="2"/>
      <c r="E80" s="23">
        <v>78.2</v>
      </c>
      <c r="F80" s="2">
        <f t="shared" si="1"/>
        <v>0.20000000000000284</v>
      </c>
      <c r="G80" s="2"/>
    </row>
    <row r="81" spans="2:7" x14ac:dyDescent="0.25">
      <c r="B81" s="4">
        <v>45615</v>
      </c>
      <c r="C81" s="2"/>
      <c r="D81" s="2"/>
      <c r="E81" s="23">
        <v>78.2</v>
      </c>
      <c r="F81" s="2">
        <f t="shared" si="1"/>
        <v>0</v>
      </c>
      <c r="G81" s="2"/>
    </row>
    <row r="82" spans="2:7" x14ac:dyDescent="0.25">
      <c r="B82" s="4">
        <v>45616</v>
      </c>
      <c r="C82" s="2" t="s">
        <v>2523</v>
      </c>
      <c r="D82" s="2"/>
      <c r="E82" s="23">
        <v>79.2</v>
      </c>
      <c r="F82" s="2">
        <f t="shared" si="1"/>
        <v>1</v>
      </c>
      <c r="G82" s="2"/>
    </row>
    <row r="83" spans="2:7" x14ac:dyDescent="0.25">
      <c r="B83" s="4">
        <v>45617</v>
      </c>
      <c r="C83" s="2" t="s">
        <v>2574</v>
      </c>
      <c r="D83" s="2"/>
      <c r="E83" s="23">
        <v>78.400000000000006</v>
      </c>
      <c r="F83" s="2">
        <f t="shared" si="1"/>
        <v>-0.79999999999999716</v>
      </c>
      <c r="G83" s="2"/>
    </row>
    <row r="84" spans="2:7" x14ac:dyDescent="0.25">
      <c r="B84" s="4">
        <v>45618</v>
      </c>
      <c r="C84" s="2" t="s">
        <v>2584</v>
      </c>
      <c r="D84" s="2"/>
      <c r="E84" s="23">
        <v>78.900000000000006</v>
      </c>
      <c r="F84" s="2">
        <f t="shared" si="1"/>
        <v>0.5</v>
      </c>
      <c r="G84" s="2"/>
    </row>
    <row r="85" spans="2:7" x14ac:dyDescent="0.25">
      <c r="B85" s="4">
        <v>45619</v>
      </c>
      <c r="C85" s="2"/>
      <c r="D85" s="2"/>
      <c r="E85" s="23">
        <v>78.900000000000006</v>
      </c>
      <c r="F85" s="2">
        <f t="shared" si="1"/>
        <v>0</v>
      </c>
      <c r="G85" s="2"/>
    </row>
    <row r="86" spans="2:7" x14ac:dyDescent="0.25">
      <c r="B86" s="4">
        <v>45620</v>
      </c>
      <c r="C86" s="2" t="s">
        <v>2594</v>
      </c>
      <c r="D86" s="2" t="s">
        <v>2595</v>
      </c>
      <c r="E86" s="23">
        <v>78.900000000000006</v>
      </c>
      <c r="F86" s="2">
        <f t="shared" si="1"/>
        <v>0</v>
      </c>
      <c r="G86" s="2"/>
    </row>
    <row r="87" spans="2:7" x14ac:dyDescent="0.25">
      <c r="B87" s="4">
        <v>45621</v>
      </c>
      <c r="C87" s="2" t="s">
        <v>2607</v>
      </c>
      <c r="D87" s="2"/>
      <c r="E87" s="23">
        <v>78.900000000000006</v>
      </c>
      <c r="F87" s="2">
        <f t="shared" si="1"/>
        <v>0</v>
      </c>
      <c r="G87" s="2"/>
    </row>
    <row r="88" spans="2:7" x14ac:dyDescent="0.25">
      <c r="B88" s="4">
        <v>45622</v>
      </c>
      <c r="C88" s="2" t="s">
        <v>2617</v>
      </c>
      <c r="D88" s="2"/>
      <c r="E88" s="23">
        <v>79.3</v>
      </c>
      <c r="F88" s="2">
        <f t="shared" si="1"/>
        <v>0.39999999999999147</v>
      </c>
      <c r="G88" s="2"/>
    </row>
    <row r="89" spans="2:7" x14ac:dyDescent="0.25">
      <c r="B89" s="4">
        <v>45623</v>
      </c>
      <c r="C89" s="2" t="s">
        <v>2618</v>
      </c>
      <c r="D89" s="2"/>
      <c r="E89" s="23">
        <v>80.05</v>
      </c>
      <c r="F89" s="2">
        <f t="shared" si="1"/>
        <v>0.75</v>
      </c>
      <c r="G89" s="2"/>
    </row>
    <row r="90" spans="2:7" x14ac:dyDescent="0.25">
      <c r="B90" s="4">
        <v>45624</v>
      </c>
      <c r="C90" s="2" t="s">
        <v>2631</v>
      </c>
      <c r="D90" s="2" t="s">
        <v>2632</v>
      </c>
      <c r="E90" s="23">
        <v>82.05</v>
      </c>
      <c r="F90" s="2">
        <f t="shared" si="1"/>
        <v>2</v>
      </c>
      <c r="G90" s="2"/>
    </row>
    <row r="91" spans="2:7" x14ac:dyDescent="0.25">
      <c r="B91" s="4">
        <v>45625</v>
      </c>
      <c r="C91" s="2" t="s">
        <v>2639</v>
      </c>
      <c r="D91" s="2"/>
      <c r="E91" s="23">
        <v>82.05</v>
      </c>
      <c r="F91" s="2">
        <f t="shared" si="1"/>
        <v>0</v>
      </c>
      <c r="G91" s="2"/>
    </row>
    <row r="92" spans="2:7" x14ac:dyDescent="0.25">
      <c r="B92" s="4">
        <v>45626</v>
      </c>
      <c r="C92" s="2" t="s">
        <v>2651</v>
      </c>
      <c r="D92" s="2"/>
      <c r="E92" s="23">
        <v>83.05</v>
      </c>
      <c r="F92" s="2">
        <f t="shared" si="1"/>
        <v>1</v>
      </c>
      <c r="G92" s="2"/>
    </row>
    <row r="93" spans="2:7" x14ac:dyDescent="0.25">
      <c r="B93" s="4">
        <v>45627</v>
      </c>
      <c r="C93" s="2" t="s">
        <v>2652</v>
      </c>
      <c r="D93" s="2"/>
      <c r="E93" s="23">
        <v>84.05</v>
      </c>
      <c r="F93" s="2">
        <f t="shared" si="1"/>
        <v>1</v>
      </c>
      <c r="G93" s="2"/>
    </row>
    <row r="94" spans="2:7" x14ac:dyDescent="0.25">
      <c r="B94" s="4">
        <v>45628</v>
      </c>
      <c r="C94" s="2" t="s">
        <v>2653</v>
      </c>
      <c r="D94" s="2"/>
      <c r="E94" s="23">
        <v>85.05</v>
      </c>
      <c r="F94" s="2">
        <f t="shared" si="1"/>
        <v>1</v>
      </c>
      <c r="G94" s="2"/>
    </row>
    <row r="95" spans="2:7" x14ac:dyDescent="0.25">
      <c r="B95" s="4">
        <v>45629</v>
      </c>
      <c r="C95" s="2" t="s">
        <v>2671</v>
      </c>
      <c r="D95" s="2"/>
      <c r="E95" s="37">
        <v>85.8</v>
      </c>
      <c r="F95" s="2">
        <f t="shared" si="1"/>
        <v>0.75</v>
      </c>
      <c r="G95" s="2"/>
    </row>
    <row r="96" spans="2:7" x14ac:dyDescent="0.25">
      <c r="B96" s="4">
        <v>45630</v>
      </c>
      <c r="C96" s="2" t="s">
        <v>2692</v>
      </c>
      <c r="D96" s="2"/>
      <c r="E96" s="23">
        <v>86.8</v>
      </c>
      <c r="F96" s="2">
        <f t="shared" si="1"/>
        <v>1</v>
      </c>
      <c r="G96" s="2"/>
    </row>
    <row r="97" spans="2:7" x14ac:dyDescent="0.25">
      <c r="B97" s="4">
        <v>45631</v>
      </c>
      <c r="C97" s="2" t="s">
        <v>2696</v>
      </c>
      <c r="D97" s="2"/>
      <c r="E97" s="23">
        <v>87.8</v>
      </c>
      <c r="F97" s="2">
        <f t="shared" si="1"/>
        <v>1</v>
      </c>
      <c r="G97" s="2"/>
    </row>
    <row r="98" spans="2:7" x14ac:dyDescent="0.25">
      <c r="B98" s="4">
        <v>45632</v>
      </c>
      <c r="C98" s="2" t="s">
        <v>2702</v>
      </c>
      <c r="D98" s="2"/>
      <c r="E98" s="23">
        <v>88</v>
      </c>
      <c r="F98" s="2">
        <f t="shared" si="1"/>
        <v>0.20000000000000284</v>
      </c>
      <c r="G98" s="2"/>
    </row>
    <row r="99" spans="2:7" x14ac:dyDescent="0.25">
      <c r="B99" s="4">
        <v>45633</v>
      </c>
      <c r="C99" s="2" t="s">
        <v>2702</v>
      </c>
      <c r="D99" s="2"/>
      <c r="E99" s="23">
        <v>88</v>
      </c>
      <c r="F99" s="2">
        <f t="shared" si="1"/>
        <v>0</v>
      </c>
      <c r="G99" s="2"/>
    </row>
    <row r="100" spans="2:7" x14ac:dyDescent="0.25">
      <c r="B100" s="4">
        <v>45634</v>
      </c>
      <c r="C100" s="2" t="s">
        <v>2742</v>
      </c>
      <c r="D100" s="2"/>
      <c r="E100" s="23">
        <v>93</v>
      </c>
      <c r="F100" s="2">
        <f t="shared" si="1"/>
        <v>5</v>
      </c>
      <c r="G100" s="2"/>
    </row>
    <row r="101" spans="2:7" x14ac:dyDescent="0.25">
      <c r="B101" s="4">
        <v>45635</v>
      </c>
      <c r="C101" s="2" t="s">
        <v>2741</v>
      </c>
      <c r="D101" s="2"/>
      <c r="E101" s="23">
        <v>95</v>
      </c>
      <c r="F101" s="2">
        <f>E101-E100</f>
        <v>2</v>
      </c>
      <c r="G101" s="2"/>
    </row>
    <row r="102" spans="2:7" x14ac:dyDescent="0.25">
      <c r="B102" s="4">
        <v>45636</v>
      </c>
      <c r="C102" s="2" t="s">
        <v>2751</v>
      </c>
      <c r="D102" s="2"/>
      <c r="E102" s="23">
        <v>97</v>
      </c>
      <c r="F102" s="2">
        <f t="shared" ref="F102:F158" si="2">E102-E101</f>
        <v>2</v>
      </c>
      <c r="G102" s="2"/>
    </row>
    <row r="103" spans="2:7" x14ac:dyDescent="0.25">
      <c r="B103" s="4">
        <v>45637</v>
      </c>
      <c r="C103" s="2" t="s">
        <v>2759</v>
      </c>
      <c r="D103" s="2"/>
      <c r="E103" s="23">
        <v>99</v>
      </c>
      <c r="F103" s="2">
        <f t="shared" si="2"/>
        <v>2</v>
      </c>
      <c r="G103" s="2"/>
    </row>
    <row r="104" spans="2:7" x14ac:dyDescent="0.25">
      <c r="B104" s="4">
        <v>45638</v>
      </c>
      <c r="C104" s="2" t="s">
        <v>2764</v>
      </c>
      <c r="D104" s="2"/>
      <c r="E104" s="23">
        <v>100</v>
      </c>
      <c r="F104" s="2">
        <f t="shared" si="2"/>
        <v>1</v>
      </c>
      <c r="G104" s="2"/>
    </row>
    <row r="105" spans="2:7" x14ac:dyDescent="0.25">
      <c r="B105" s="4">
        <v>45639</v>
      </c>
      <c r="C105" s="2" t="s">
        <v>2769</v>
      </c>
      <c r="D105" s="2"/>
      <c r="E105" s="23">
        <v>100.5</v>
      </c>
      <c r="F105" s="2">
        <f t="shared" si="2"/>
        <v>0.5</v>
      </c>
      <c r="G105" s="2"/>
    </row>
    <row r="106" spans="2:7" x14ac:dyDescent="0.25">
      <c r="B106" s="4">
        <v>45640</v>
      </c>
      <c r="C106" s="2" t="s">
        <v>2778</v>
      </c>
      <c r="D106" s="2"/>
      <c r="E106" s="23">
        <v>101.5</v>
      </c>
      <c r="F106" s="2">
        <f t="shared" si="2"/>
        <v>1</v>
      </c>
      <c r="G106" s="2"/>
    </row>
    <row r="107" spans="2:7" x14ac:dyDescent="0.25">
      <c r="B107" s="4">
        <v>45641</v>
      </c>
      <c r="C107" s="2" t="s">
        <v>2779</v>
      </c>
      <c r="D107" s="2"/>
      <c r="E107" s="23">
        <v>102</v>
      </c>
      <c r="F107" s="2">
        <f t="shared" si="2"/>
        <v>0.5</v>
      </c>
      <c r="G107" s="2"/>
    </row>
    <row r="108" spans="2:7" x14ac:dyDescent="0.25">
      <c r="B108" s="4">
        <v>45642</v>
      </c>
      <c r="C108" s="2" t="s">
        <v>2798</v>
      </c>
      <c r="D108" s="2"/>
      <c r="E108" s="23">
        <v>103</v>
      </c>
      <c r="F108" s="2">
        <f t="shared" si="2"/>
        <v>1</v>
      </c>
      <c r="G108" s="2"/>
    </row>
    <row r="109" spans="2:7" x14ac:dyDescent="0.25">
      <c r="B109" s="4">
        <v>45643</v>
      </c>
      <c r="C109" s="2" t="s">
        <v>2808</v>
      </c>
      <c r="D109" s="2" t="s">
        <v>2809</v>
      </c>
      <c r="E109" s="23">
        <v>104</v>
      </c>
      <c r="F109" s="2">
        <f t="shared" si="2"/>
        <v>1</v>
      </c>
      <c r="G109" s="2"/>
    </row>
    <row r="110" spans="2:7" x14ac:dyDescent="0.25">
      <c r="B110" s="4">
        <v>45644</v>
      </c>
      <c r="C110" s="2" t="s">
        <v>2811</v>
      </c>
      <c r="D110" s="2"/>
      <c r="E110" s="23">
        <v>106</v>
      </c>
      <c r="F110" s="2">
        <f t="shared" si="2"/>
        <v>2</v>
      </c>
      <c r="G110" s="2"/>
    </row>
    <row r="111" spans="2:7" x14ac:dyDescent="0.25">
      <c r="B111" s="4">
        <v>45645</v>
      </c>
      <c r="C111" s="2" t="s">
        <v>2821</v>
      </c>
      <c r="D111" s="2"/>
      <c r="E111" s="23">
        <v>108</v>
      </c>
      <c r="F111" s="2">
        <f t="shared" si="2"/>
        <v>2</v>
      </c>
      <c r="G111" s="2"/>
    </row>
    <row r="112" spans="2:7" x14ac:dyDescent="0.25">
      <c r="B112" s="4">
        <v>45646</v>
      </c>
      <c r="C112" s="2" t="s">
        <v>2830</v>
      </c>
      <c r="D112" s="2"/>
      <c r="E112" s="23">
        <v>109.5</v>
      </c>
      <c r="F112" s="2">
        <f t="shared" si="2"/>
        <v>1.5</v>
      </c>
      <c r="G112" s="2"/>
    </row>
    <row r="113" spans="2:7" x14ac:dyDescent="0.25">
      <c r="B113" s="4">
        <v>45647</v>
      </c>
      <c r="C113" s="2" t="s">
        <v>2841</v>
      </c>
      <c r="D113" s="2"/>
      <c r="E113" s="23">
        <v>110</v>
      </c>
      <c r="F113" s="2">
        <f t="shared" si="2"/>
        <v>0.5</v>
      </c>
      <c r="G113" s="2"/>
    </row>
    <row r="114" spans="2:7" x14ac:dyDescent="0.25">
      <c r="B114" s="4">
        <v>45648</v>
      </c>
      <c r="C114" s="2" t="s">
        <v>2840</v>
      </c>
      <c r="D114" s="2"/>
      <c r="E114" s="23">
        <v>112</v>
      </c>
      <c r="F114" s="2">
        <f t="shared" si="2"/>
        <v>2</v>
      </c>
      <c r="G114" s="2"/>
    </row>
    <row r="115" spans="2:7" x14ac:dyDescent="0.25">
      <c r="B115" s="4">
        <v>45649</v>
      </c>
      <c r="C115" s="2" t="s">
        <v>2870</v>
      </c>
      <c r="D115" s="2"/>
      <c r="E115" s="23">
        <v>112.75</v>
      </c>
      <c r="F115" s="2">
        <f t="shared" si="2"/>
        <v>0.75</v>
      </c>
      <c r="G115" s="2"/>
    </row>
    <row r="116" spans="2:7" x14ac:dyDescent="0.25">
      <c r="B116" s="4">
        <v>45650</v>
      </c>
      <c r="C116" s="2" t="s">
        <v>2894</v>
      </c>
      <c r="D116" s="2"/>
      <c r="E116" s="23">
        <v>114.75</v>
      </c>
      <c r="F116" s="2">
        <f t="shared" si="2"/>
        <v>2</v>
      </c>
      <c r="G116" s="2"/>
    </row>
    <row r="117" spans="2:7" x14ac:dyDescent="0.25">
      <c r="B117" s="4">
        <v>45651</v>
      </c>
      <c r="C117" s="2" t="s">
        <v>2902</v>
      </c>
      <c r="D117" s="2"/>
      <c r="E117" s="23">
        <v>115.5</v>
      </c>
      <c r="F117" s="2">
        <f t="shared" si="2"/>
        <v>0.75</v>
      </c>
      <c r="G117" s="2"/>
    </row>
    <row r="118" spans="2:7" x14ac:dyDescent="0.25">
      <c r="B118" s="4">
        <v>45652</v>
      </c>
      <c r="C118" s="2" t="s">
        <v>2909</v>
      </c>
      <c r="D118" s="2" t="s">
        <v>2910</v>
      </c>
      <c r="E118" s="23">
        <v>116</v>
      </c>
      <c r="F118" s="2">
        <f t="shared" si="2"/>
        <v>0.5</v>
      </c>
      <c r="G118" s="2"/>
    </row>
    <row r="119" spans="2:7" x14ac:dyDescent="0.25">
      <c r="B119" s="4">
        <v>45653</v>
      </c>
      <c r="C119" s="2" t="s">
        <v>2920</v>
      </c>
      <c r="D119" s="2" t="s">
        <v>2921</v>
      </c>
      <c r="E119" s="23">
        <v>117</v>
      </c>
      <c r="F119" s="2">
        <f t="shared" si="2"/>
        <v>1</v>
      </c>
      <c r="G119" s="2"/>
    </row>
    <row r="120" spans="2:7" x14ac:dyDescent="0.25">
      <c r="B120" s="4">
        <v>45654</v>
      </c>
      <c r="C120" s="2" t="s">
        <v>2932</v>
      </c>
      <c r="D120" s="2"/>
      <c r="E120" s="23">
        <v>119</v>
      </c>
      <c r="F120" s="2">
        <f t="shared" si="2"/>
        <v>2</v>
      </c>
      <c r="G120" s="2"/>
    </row>
    <row r="121" spans="2:7" x14ac:dyDescent="0.25">
      <c r="B121" s="4">
        <v>45655</v>
      </c>
      <c r="C121" s="2" t="s">
        <v>2933</v>
      </c>
      <c r="D121" s="2" t="s">
        <v>2934</v>
      </c>
      <c r="E121" s="23">
        <v>121</v>
      </c>
      <c r="F121" s="2">
        <f t="shared" si="2"/>
        <v>2</v>
      </c>
      <c r="G121" s="2"/>
    </row>
    <row r="122" spans="2:7" ht="30" x14ac:dyDescent="0.25">
      <c r="B122" s="5">
        <v>45656</v>
      </c>
      <c r="C122" s="35" t="s">
        <v>2953</v>
      </c>
      <c r="D122" s="30" t="s">
        <v>2954</v>
      </c>
      <c r="E122" s="25">
        <v>121</v>
      </c>
      <c r="F122" s="35">
        <f t="shared" si="2"/>
        <v>0</v>
      </c>
      <c r="G122" s="35"/>
    </row>
    <row r="123" spans="2:7" x14ac:dyDescent="0.25">
      <c r="B123" s="5">
        <v>45657</v>
      </c>
      <c r="C123" s="2" t="s">
        <v>480</v>
      </c>
      <c r="D123" s="2"/>
      <c r="E123" s="25">
        <v>121</v>
      </c>
      <c r="F123" s="2">
        <f t="shared" si="2"/>
        <v>0</v>
      </c>
      <c r="G123" s="2"/>
    </row>
    <row r="124" spans="2:7" x14ac:dyDescent="0.25">
      <c r="B124" s="5">
        <v>45658</v>
      </c>
      <c r="C124" s="2" t="s">
        <v>480</v>
      </c>
      <c r="D124" s="2" t="s">
        <v>2978</v>
      </c>
      <c r="E124" s="25">
        <v>121</v>
      </c>
      <c r="F124" s="2">
        <f t="shared" si="2"/>
        <v>0</v>
      </c>
      <c r="G124" s="2"/>
    </row>
    <row r="125" spans="2:7" x14ac:dyDescent="0.25">
      <c r="B125" s="5">
        <v>45659</v>
      </c>
      <c r="C125" s="2" t="s">
        <v>2986</v>
      </c>
      <c r="D125" s="2"/>
      <c r="E125" s="25">
        <v>121</v>
      </c>
      <c r="F125" s="2">
        <f t="shared" si="2"/>
        <v>0</v>
      </c>
      <c r="G125" s="2"/>
    </row>
    <row r="126" spans="2:7" x14ac:dyDescent="0.25">
      <c r="B126" s="5">
        <v>45660</v>
      </c>
      <c r="C126" s="2" t="s">
        <v>2994</v>
      </c>
      <c r="D126" s="2"/>
      <c r="E126" s="23">
        <v>60</v>
      </c>
      <c r="F126" s="2">
        <f t="shared" si="2"/>
        <v>-61</v>
      </c>
      <c r="G126" s="2"/>
    </row>
    <row r="127" spans="2:7" x14ac:dyDescent="0.25">
      <c r="B127" s="5">
        <v>45661</v>
      </c>
      <c r="C127" s="2" t="s">
        <v>3009</v>
      </c>
      <c r="D127" s="2" t="s">
        <v>3048</v>
      </c>
      <c r="E127" s="23">
        <v>62</v>
      </c>
      <c r="F127" s="2">
        <f t="shared" si="2"/>
        <v>2</v>
      </c>
      <c r="G127" s="2"/>
    </row>
    <row r="128" spans="2:7" x14ac:dyDescent="0.25">
      <c r="B128" s="5">
        <v>45662</v>
      </c>
      <c r="C128" s="2" t="s">
        <v>3010</v>
      </c>
      <c r="D128" s="2" t="s">
        <v>3047</v>
      </c>
      <c r="E128" s="23">
        <v>63.5</v>
      </c>
      <c r="F128" s="2">
        <f t="shared" si="2"/>
        <v>1.5</v>
      </c>
      <c r="G128" s="2"/>
    </row>
    <row r="129" spans="2:7" x14ac:dyDescent="0.25">
      <c r="B129" s="5">
        <v>45663</v>
      </c>
      <c r="C129" s="2" t="s">
        <v>3049</v>
      </c>
      <c r="D129" s="2" t="s">
        <v>3056</v>
      </c>
      <c r="E129" s="23">
        <v>73</v>
      </c>
      <c r="F129" s="2">
        <f t="shared" si="2"/>
        <v>9.5</v>
      </c>
      <c r="G129" s="2"/>
    </row>
    <row r="130" spans="2:7" x14ac:dyDescent="0.25">
      <c r="B130" s="5">
        <v>45664</v>
      </c>
      <c r="C130" s="2" t="s">
        <v>3061</v>
      </c>
      <c r="D130" s="2"/>
      <c r="E130" s="23">
        <v>73</v>
      </c>
      <c r="F130" s="2">
        <f t="shared" si="2"/>
        <v>0</v>
      </c>
      <c r="G130" s="2"/>
    </row>
    <row r="131" spans="2:7" x14ac:dyDescent="0.25">
      <c r="B131" s="5">
        <v>45665</v>
      </c>
      <c r="C131" s="2" t="s">
        <v>3070</v>
      </c>
      <c r="D131" s="2"/>
      <c r="E131" s="23">
        <v>73</v>
      </c>
      <c r="F131" s="2">
        <f t="shared" si="2"/>
        <v>0</v>
      </c>
      <c r="G131" s="2"/>
    </row>
    <row r="132" spans="2:7" x14ac:dyDescent="0.25">
      <c r="B132" s="5">
        <v>45666</v>
      </c>
      <c r="C132" s="2" t="s">
        <v>3080</v>
      </c>
      <c r="D132" s="2"/>
      <c r="E132" s="23">
        <v>73</v>
      </c>
      <c r="F132" s="2">
        <f t="shared" si="2"/>
        <v>0</v>
      </c>
      <c r="G132" s="2"/>
    </row>
    <row r="133" spans="2:7" x14ac:dyDescent="0.25">
      <c r="B133" s="5">
        <v>45667</v>
      </c>
      <c r="C133" s="2" t="s">
        <v>3091</v>
      </c>
      <c r="D133" s="2" t="s">
        <v>3092</v>
      </c>
      <c r="E133" s="23">
        <v>73</v>
      </c>
      <c r="F133" s="2">
        <f t="shared" si="2"/>
        <v>0</v>
      </c>
      <c r="G133" s="2"/>
    </row>
    <row r="134" spans="2:7" x14ac:dyDescent="0.25">
      <c r="B134" s="5">
        <v>45668</v>
      </c>
      <c r="C134" s="2" t="s">
        <v>2986</v>
      </c>
      <c r="D134" s="2" t="s">
        <v>3100</v>
      </c>
      <c r="E134" s="23">
        <v>73</v>
      </c>
      <c r="F134" s="2">
        <f t="shared" si="2"/>
        <v>0</v>
      </c>
      <c r="G134" s="2"/>
    </row>
    <row r="135" spans="2:7" x14ac:dyDescent="0.25">
      <c r="B135" s="5">
        <v>45669</v>
      </c>
      <c r="C135" s="2" t="s">
        <v>3107</v>
      </c>
      <c r="D135" s="2"/>
      <c r="E135" s="23">
        <v>76</v>
      </c>
      <c r="F135" s="2">
        <f t="shared" si="2"/>
        <v>3</v>
      </c>
      <c r="G135" s="2"/>
    </row>
    <row r="136" spans="2:7" x14ac:dyDescent="0.25">
      <c r="B136" s="5">
        <v>45670</v>
      </c>
      <c r="C136" s="2" t="s">
        <v>3116</v>
      </c>
      <c r="D136" s="2"/>
      <c r="E136" s="23">
        <v>83</v>
      </c>
      <c r="F136" s="2">
        <f t="shared" si="2"/>
        <v>7</v>
      </c>
      <c r="G136" s="2"/>
    </row>
    <row r="137" spans="2:7" x14ac:dyDescent="0.25">
      <c r="B137" s="5">
        <v>45671</v>
      </c>
      <c r="C137" s="2" t="s">
        <v>3128</v>
      </c>
      <c r="D137" s="2"/>
      <c r="E137" s="23">
        <v>100</v>
      </c>
      <c r="F137" s="2">
        <f t="shared" si="2"/>
        <v>17</v>
      </c>
      <c r="G137" s="2"/>
    </row>
    <row r="138" spans="2:7" x14ac:dyDescent="0.25">
      <c r="B138" s="5">
        <v>45672</v>
      </c>
      <c r="C138" s="2" t="s">
        <v>3138</v>
      </c>
      <c r="D138" s="2" t="s">
        <v>2084</v>
      </c>
      <c r="E138" s="23">
        <v>103</v>
      </c>
      <c r="F138" s="2">
        <f t="shared" si="2"/>
        <v>3</v>
      </c>
      <c r="G138" s="2"/>
    </row>
    <row r="139" spans="2:7" x14ac:dyDescent="0.25">
      <c r="B139" s="5">
        <v>45673</v>
      </c>
      <c r="C139" s="2" t="s">
        <v>3150</v>
      </c>
      <c r="D139" s="2"/>
      <c r="E139" s="23">
        <v>103</v>
      </c>
      <c r="F139" s="2">
        <f t="shared" si="2"/>
        <v>0</v>
      </c>
      <c r="G139" s="2"/>
    </row>
    <row r="140" spans="2:7" x14ac:dyDescent="0.25">
      <c r="B140" s="5">
        <v>45674</v>
      </c>
      <c r="C140" s="2" t="s">
        <v>3162</v>
      </c>
      <c r="D140" s="2"/>
      <c r="E140" s="23">
        <v>103</v>
      </c>
      <c r="F140" s="2">
        <f t="shared" si="2"/>
        <v>0</v>
      </c>
      <c r="G140" s="2"/>
    </row>
    <row r="141" spans="2:7" x14ac:dyDescent="0.25">
      <c r="B141" s="5">
        <v>45675</v>
      </c>
      <c r="C141" s="2" t="s">
        <v>3169</v>
      </c>
      <c r="D141" s="2"/>
      <c r="E141" s="23">
        <v>103</v>
      </c>
      <c r="F141" s="2">
        <f t="shared" si="2"/>
        <v>0</v>
      </c>
      <c r="G141" s="2"/>
    </row>
    <row r="142" spans="2:7" x14ac:dyDescent="0.25">
      <c r="B142" s="5">
        <v>45676</v>
      </c>
      <c r="C142" s="2" t="s">
        <v>3169</v>
      </c>
      <c r="D142" s="2"/>
      <c r="E142" s="23">
        <v>103</v>
      </c>
      <c r="F142" s="2">
        <f t="shared" si="2"/>
        <v>0</v>
      </c>
      <c r="G142" s="2"/>
    </row>
    <row r="143" spans="2:7" x14ac:dyDescent="0.25">
      <c r="B143" s="5">
        <v>45677</v>
      </c>
      <c r="C143" s="2" t="s">
        <v>3169</v>
      </c>
      <c r="D143" s="2"/>
      <c r="E143" s="23">
        <v>103</v>
      </c>
      <c r="F143" s="2">
        <f t="shared" si="2"/>
        <v>0</v>
      </c>
      <c r="G143" s="2"/>
    </row>
    <row r="144" spans="2:7" x14ac:dyDescent="0.25">
      <c r="B144" s="5">
        <v>45678</v>
      </c>
      <c r="C144" s="2" t="s">
        <v>3169</v>
      </c>
      <c r="D144" s="2"/>
      <c r="E144" s="23">
        <v>103</v>
      </c>
      <c r="F144" s="2">
        <f t="shared" si="2"/>
        <v>0</v>
      </c>
      <c r="G144" s="2"/>
    </row>
    <row r="145" spans="2:7" x14ac:dyDescent="0.25">
      <c r="B145" s="5">
        <v>45679</v>
      </c>
      <c r="C145" s="2" t="s">
        <v>3194</v>
      </c>
      <c r="D145" s="2"/>
      <c r="E145" s="23">
        <v>103</v>
      </c>
      <c r="F145" s="2">
        <f t="shared" si="2"/>
        <v>0</v>
      </c>
      <c r="G145" s="2"/>
    </row>
    <row r="146" spans="2:7" x14ac:dyDescent="0.25">
      <c r="B146" s="5">
        <v>45680</v>
      </c>
      <c r="C146" s="2" t="s">
        <v>3208</v>
      </c>
      <c r="D146" s="2"/>
      <c r="E146" s="23">
        <v>105</v>
      </c>
      <c r="F146" s="2">
        <f t="shared" si="2"/>
        <v>2</v>
      </c>
      <c r="G146" s="2"/>
    </row>
    <row r="147" spans="2:7" x14ac:dyDescent="0.25">
      <c r="B147" s="5">
        <v>45681</v>
      </c>
      <c r="C147" s="2" t="s">
        <v>3219</v>
      </c>
      <c r="D147" s="2" t="s">
        <v>3220</v>
      </c>
      <c r="E147" s="23">
        <v>109</v>
      </c>
      <c r="F147" s="2">
        <f t="shared" si="2"/>
        <v>4</v>
      </c>
      <c r="G147" s="2"/>
    </row>
    <row r="148" spans="2:7" x14ac:dyDescent="0.25">
      <c r="B148" s="5">
        <v>45682</v>
      </c>
      <c r="C148" s="2" t="s">
        <v>3221</v>
      </c>
      <c r="D148" s="2" t="s">
        <v>3222</v>
      </c>
      <c r="E148" s="25">
        <v>110</v>
      </c>
      <c r="F148" s="2">
        <f t="shared" si="2"/>
        <v>1</v>
      </c>
      <c r="G148" s="2"/>
    </row>
    <row r="149" spans="2:7" ht="30" x14ac:dyDescent="0.25">
      <c r="B149" s="38">
        <v>45683</v>
      </c>
      <c r="C149" s="39" t="s">
        <v>3223</v>
      </c>
      <c r="D149" s="54" t="s">
        <v>3224</v>
      </c>
      <c r="E149" s="41">
        <v>112</v>
      </c>
      <c r="F149" s="57">
        <f t="shared" si="2"/>
        <v>2</v>
      </c>
      <c r="G149" s="2"/>
    </row>
    <row r="150" spans="2:7" x14ac:dyDescent="0.25">
      <c r="B150" s="5">
        <v>45684</v>
      </c>
      <c r="C150" s="2" t="s">
        <v>3249</v>
      </c>
      <c r="D150" s="2"/>
      <c r="E150" s="25">
        <v>114</v>
      </c>
      <c r="F150" s="21">
        <f t="shared" si="2"/>
        <v>2</v>
      </c>
      <c r="G150" s="2"/>
    </row>
    <row r="151" spans="2:7" x14ac:dyDescent="0.25">
      <c r="B151" s="5">
        <v>45685</v>
      </c>
      <c r="C151" s="2" t="s">
        <v>3250</v>
      </c>
      <c r="D151" s="2"/>
      <c r="E151" s="25">
        <v>116</v>
      </c>
      <c r="F151" s="21">
        <f t="shared" si="2"/>
        <v>2</v>
      </c>
      <c r="G151" s="2"/>
    </row>
    <row r="152" spans="2:7" x14ac:dyDescent="0.25">
      <c r="B152" s="5">
        <v>45686</v>
      </c>
      <c r="C152" s="2" t="s">
        <v>2977</v>
      </c>
      <c r="D152" s="2" t="s">
        <v>3253</v>
      </c>
      <c r="E152" s="25">
        <v>118</v>
      </c>
      <c r="F152" s="21">
        <f t="shared" si="2"/>
        <v>2</v>
      </c>
      <c r="G152" s="2"/>
    </row>
    <row r="153" spans="2:7" x14ac:dyDescent="0.25">
      <c r="B153" s="5">
        <v>45687</v>
      </c>
      <c r="C153" s="2" t="s">
        <v>3256</v>
      </c>
      <c r="D153" s="2"/>
      <c r="E153" s="25">
        <v>119</v>
      </c>
      <c r="F153" s="21">
        <f t="shared" si="2"/>
        <v>1</v>
      </c>
      <c r="G153" s="2"/>
    </row>
    <row r="154" spans="2:7" x14ac:dyDescent="0.25">
      <c r="B154" s="5">
        <v>45688</v>
      </c>
      <c r="C154" s="2" t="s">
        <v>3261</v>
      </c>
      <c r="D154" s="2"/>
      <c r="E154" s="23">
        <v>124</v>
      </c>
      <c r="F154" s="21">
        <f t="shared" si="2"/>
        <v>5</v>
      </c>
      <c r="G154" s="2"/>
    </row>
    <row r="155" spans="2:7" x14ac:dyDescent="0.25">
      <c r="B155" s="5">
        <v>45689</v>
      </c>
      <c r="C155" s="2" t="s">
        <v>1178</v>
      </c>
      <c r="D155" s="2"/>
      <c r="E155" s="23">
        <v>124</v>
      </c>
      <c r="F155" s="21">
        <f t="shared" si="2"/>
        <v>0</v>
      </c>
      <c r="G155" s="2"/>
    </row>
    <row r="156" spans="2:7" x14ac:dyDescent="0.25">
      <c r="B156" s="5">
        <v>45690</v>
      </c>
      <c r="C156" s="2" t="s">
        <v>149</v>
      </c>
      <c r="D156" s="2" t="s">
        <v>3278</v>
      </c>
      <c r="E156" s="23">
        <v>124</v>
      </c>
      <c r="F156" s="21">
        <f t="shared" si="2"/>
        <v>0</v>
      </c>
      <c r="G156" s="2"/>
    </row>
    <row r="157" spans="2:7" x14ac:dyDescent="0.25">
      <c r="B157" s="5">
        <v>45691</v>
      </c>
      <c r="C157" s="2" t="s">
        <v>149</v>
      </c>
      <c r="D157" s="2"/>
      <c r="E157" s="23">
        <v>124</v>
      </c>
      <c r="F157" s="21">
        <f t="shared" si="2"/>
        <v>0</v>
      </c>
      <c r="G157" s="2"/>
    </row>
    <row r="158" spans="2:7" x14ac:dyDescent="0.25">
      <c r="B158" s="5">
        <v>45692</v>
      </c>
      <c r="C158" s="2" t="s">
        <v>3294</v>
      </c>
      <c r="D158" s="2"/>
      <c r="E158" s="23">
        <v>124</v>
      </c>
      <c r="F158" s="21">
        <f t="shared" si="2"/>
        <v>0</v>
      </c>
      <c r="G158" s="2"/>
    </row>
    <row r="159" spans="2:7" x14ac:dyDescent="0.25">
      <c r="B159" s="5">
        <v>45693</v>
      </c>
      <c r="C159" s="2" t="s">
        <v>1166</v>
      </c>
      <c r="D159" s="2"/>
      <c r="E159" s="23">
        <v>124</v>
      </c>
      <c r="F159" s="2"/>
      <c r="G159" s="2"/>
    </row>
    <row r="160" spans="2:7" x14ac:dyDescent="0.25">
      <c r="B160" s="5">
        <v>45694</v>
      </c>
      <c r="C160" s="2" t="s">
        <v>1166</v>
      </c>
      <c r="D160" s="2"/>
      <c r="E160" s="23">
        <v>124</v>
      </c>
      <c r="F160" s="2"/>
      <c r="G160" s="2"/>
    </row>
    <row r="161" spans="2:7" x14ac:dyDescent="0.25">
      <c r="B161" s="5">
        <v>45695</v>
      </c>
      <c r="C161" s="2" t="s">
        <v>1166</v>
      </c>
      <c r="D161" s="2"/>
      <c r="E161" s="23">
        <v>124</v>
      </c>
      <c r="F161" s="2"/>
      <c r="G161" s="2"/>
    </row>
    <row r="162" spans="2:7" x14ac:dyDescent="0.25">
      <c r="B162" s="5">
        <v>45696</v>
      </c>
      <c r="C162" s="2" t="s">
        <v>3308</v>
      </c>
      <c r="D162" s="2"/>
      <c r="E162" s="23"/>
      <c r="F162" s="2"/>
      <c r="G162" s="2"/>
    </row>
    <row r="163" spans="2:7" x14ac:dyDescent="0.25">
      <c r="B163" s="2"/>
      <c r="C163" s="2"/>
      <c r="D163" s="2"/>
      <c r="E163" s="2"/>
      <c r="F163" s="2"/>
      <c r="G163" s="2"/>
    </row>
    <row r="164" spans="2:7" x14ac:dyDescent="0.25">
      <c r="B164" s="2"/>
      <c r="C164" s="2"/>
      <c r="D164" s="2"/>
      <c r="E164" s="2"/>
      <c r="F164" s="2"/>
      <c r="G164" s="2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">
    <tabColor rgb="FF92D050"/>
  </sheetPr>
  <dimension ref="B1:F201"/>
  <sheetViews>
    <sheetView topLeftCell="B49" zoomScale="110" zoomScaleNormal="110" workbookViewId="0">
      <selection activeCell="B11" sqref="A11:XFD11"/>
    </sheetView>
  </sheetViews>
  <sheetFormatPr defaultRowHeight="15" x14ac:dyDescent="0.25"/>
  <cols>
    <col min="2" max="2" width="14.140625" style="1" bestFit="1" customWidth="1"/>
    <col min="3" max="3" width="70.5703125" bestFit="1" customWidth="1"/>
    <col min="4" max="4" width="41.7109375" bestFit="1" customWidth="1"/>
    <col min="5" max="5" width="12.28515625" bestFit="1" customWidth="1"/>
  </cols>
  <sheetData>
    <row r="1" spans="2:6" ht="33.75" customHeight="1" x14ac:dyDescent="0.25">
      <c r="B1" s="10" t="s">
        <v>0</v>
      </c>
      <c r="C1" s="11" t="s">
        <v>1</v>
      </c>
      <c r="D1" s="11" t="s">
        <v>2</v>
      </c>
      <c r="E1" s="11" t="s">
        <v>1031</v>
      </c>
      <c r="F1" s="26" t="s">
        <v>1062</v>
      </c>
    </row>
    <row r="2" spans="2:6" x14ac:dyDescent="0.25">
      <c r="B2" s="8">
        <v>45380</v>
      </c>
      <c r="C2" s="9" t="s">
        <v>3</v>
      </c>
      <c r="D2" s="9" t="s">
        <v>4</v>
      </c>
      <c r="E2" s="2"/>
      <c r="F2" s="2"/>
    </row>
    <row r="3" spans="2:6" x14ac:dyDescent="0.25">
      <c r="B3" s="8">
        <v>45380</v>
      </c>
      <c r="C3" s="9" t="s">
        <v>5</v>
      </c>
      <c r="D3" s="9" t="s">
        <v>6</v>
      </c>
      <c r="E3" s="2"/>
      <c r="F3" s="2"/>
    </row>
    <row r="4" spans="2:6" x14ac:dyDescent="0.25">
      <c r="B4" s="8">
        <v>45380</v>
      </c>
      <c r="C4" s="9" t="s">
        <v>7</v>
      </c>
      <c r="D4" s="9"/>
      <c r="E4" s="2"/>
      <c r="F4" s="2"/>
    </row>
    <row r="5" spans="2:6" x14ac:dyDescent="0.25">
      <c r="B5" s="8">
        <v>45380</v>
      </c>
      <c r="C5" s="9" t="s">
        <v>8</v>
      </c>
      <c r="D5" s="9"/>
      <c r="E5" s="2"/>
      <c r="F5" s="2"/>
    </row>
    <row r="6" spans="2:6" x14ac:dyDescent="0.25">
      <c r="B6" s="8">
        <v>45381</v>
      </c>
      <c r="C6" s="9" t="s">
        <v>4</v>
      </c>
      <c r="D6" s="9"/>
      <c r="E6" s="2"/>
      <c r="F6" s="2"/>
    </row>
    <row r="7" spans="2:6" x14ac:dyDescent="0.25">
      <c r="B7" s="8">
        <v>45381</v>
      </c>
      <c r="C7" s="9" t="s">
        <v>6</v>
      </c>
      <c r="D7" s="9" t="s">
        <v>9</v>
      </c>
      <c r="E7" s="2"/>
      <c r="F7" s="2"/>
    </row>
    <row r="8" spans="2:6" x14ac:dyDescent="0.25">
      <c r="B8" s="8">
        <v>45382</v>
      </c>
      <c r="C8" s="9" t="s">
        <v>9</v>
      </c>
      <c r="D8" s="9"/>
      <c r="E8" s="2"/>
      <c r="F8" s="2"/>
    </row>
    <row r="9" spans="2:6" x14ac:dyDescent="0.25">
      <c r="B9" s="8">
        <v>45382</v>
      </c>
      <c r="C9" s="9" t="s">
        <v>10</v>
      </c>
      <c r="D9" s="9"/>
      <c r="E9" s="2"/>
      <c r="F9" s="2"/>
    </row>
    <row r="10" spans="2:6" x14ac:dyDescent="0.25">
      <c r="B10" s="8">
        <v>45382</v>
      </c>
      <c r="C10" s="9" t="s">
        <v>11</v>
      </c>
      <c r="D10" s="9"/>
      <c r="E10" s="2"/>
      <c r="F10" s="2"/>
    </row>
    <row r="11" spans="2:6" x14ac:dyDescent="0.25">
      <c r="B11" s="8">
        <v>45382</v>
      </c>
      <c r="C11" s="9" t="s">
        <v>12</v>
      </c>
      <c r="D11" s="9"/>
      <c r="E11" s="2"/>
      <c r="F11" s="2"/>
    </row>
    <row r="12" spans="2:6" x14ac:dyDescent="0.25">
      <c r="B12" s="8">
        <v>45383</v>
      </c>
      <c r="C12" s="9" t="s">
        <v>13</v>
      </c>
      <c r="D12" s="9"/>
      <c r="E12" s="2"/>
      <c r="F12" s="2"/>
    </row>
    <row r="13" spans="2:6" x14ac:dyDescent="0.25">
      <c r="B13" s="8">
        <v>45384</v>
      </c>
      <c r="C13" s="9" t="s">
        <v>14</v>
      </c>
      <c r="D13" s="9" t="s">
        <v>15</v>
      </c>
      <c r="E13" s="2"/>
      <c r="F13" s="2"/>
    </row>
    <row r="14" spans="2:6" x14ac:dyDescent="0.25">
      <c r="B14" s="8">
        <v>45384</v>
      </c>
      <c r="C14" s="2" t="s">
        <v>16</v>
      </c>
      <c r="D14" s="9" t="s">
        <v>15</v>
      </c>
      <c r="E14" s="2"/>
      <c r="F14" s="2"/>
    </row>
    <row r="15" spans="2:6" x14ac:dyDescent="0.25">
      <c r="B15" s="8">
        <v>45385</v>
      </c>
      <c r="C15" s="9" t="s">
        <v>15</v>
      </c>
      <c r="D15" s="9" t="s">
        <v>15</v>
      </c>
      <c r="E15" s="2"/>
      <c r="F15" s="2"/>
    </row>
    <row r="16" spans="2:6" x14ac:dyDescent="0.25">
      <c r="B16" s="8">
        <v>45385</v>
      </c>
      <c r="C16" s="2" t="s">
        <v>17</v>
      </c>
      <c r="D16" s="2"/>
      <c r="E16" s="2"/>
      <c r="F16" s="2"/>
    </row>
    <row r="17" spans="2:6" x14ac:dyDescent="0.25">
      <c r="B17" s="8">
        <v>45386</v>
      </c>
      <c r="C17" s="9" t="s">
        <v>15</v>
      </c>
      <c r="D17" s="2"/>
      <c r="E17" s="2"/>
      <c r="F17" s="2"/>
    </row>
    <row r="18" spans="2:6" x14ac:dyDescent="0.25">
      <c r="B18" s="8">
        <v>45386</v>
      </c>
      <c r="C18" s="2" t="s">
        <v>18</v>
      </c>
      <c r="D18" s="2"/>
      <c r="E18" s="2"/>
      <c r="F18" s="2"/>
    </row>
    <row r="19" spans="2:6" x14ac:dyDescent="0.25">
      <c r="B19" s="8">
        <v>45387</v>
      </c>
      <c r="C19" s="2" t="s">
        <v>19</v>
      </c>
      <c r="D19" s="2" t="s">
        <v>20</v>
      </c>
      <c r="E19" s="2"/>
      <c r="F19" s="2"/>
    </row>
    <row r="20" spans="2:6" x14ac:dyDescent="0.25">
      <c r="B20" s="3">
        <v>45398</v>
      </c>
      <c r="C20" s="2" t="s">
        <v>21</v>
      </c>
      <c r="D20" s="2"/>
      <c r="E20" s="2"/>
      <c r="F20" s="2"/>
    </row>
    <row r="21" spans="2:6" x14ac:dyDescent="0.25">
      <c r="B21" s="3">
        <v>45398</v>
      </c>
      <c r="C21" s="2" t="s">
        <v>22</v>
      </c>
      <c r="D21" s="2"/>
      <c r="E21" s="2"/>
      <c r="F21" s="2"/>
    </row>
    <row r="22" spans="2:6" x14ac:dyDescent="0.25">
      <c r="B22" s="3">
        <v>45399</v>
      </c>
      <c r="C22" s="2" t="s">
        <v>23</v>
      </c>
      <c r="D22" s="2"/>
      <c r="E22" s="2"/>
      <c r="F22" s="2"/>
    </row>
    <row r="23" spans="2:6" x14ac:dyDescent="0.25">
      <c r="B23" s="3">
        <v>45400</v>
      </c>
      <c r="C23" s="2" t="s">
        <v>24</v>
      </c>
      <c r="D23" s="2"/>
      <c r="E23" s="2"/>
      <c r="F23" s="2"/>
    </row>
    <row r="24" spans="2:6" x14ac:dyDescent="0.25">
      <c r="B24" s="3">
        <v>45401</v>
      </c>
      <c r="C24" s="2" t="s">
        <v>25</v>
      </c>
      <c r="D24" s="2"/>
      <c r="E24" s="2"/>
      <c r="F24" s="2"/>
    </row>
    <row r="25" spans="2:6" x14ac:dyDescent="0.25">
      <c r="B25" s="3">
        <v>45402</v>
      </c>
      <c r="C25" s="2" t="s">
        <v>26</v>
      </c>
      <c r="D25" s="2"/>
      <c r="E25" s="2"/>
      <c r="F25" s="2"/>
    </row>
    <row r="26" spans="2:6" x14ac:dyDescent="0.25">
      <c r="B26" s="3">
        <v>45402</v>
      </c>
      <c r="C26" s="2" t="s">
        <v>27</v>
      </c>
      <c r="D26" s="2"/>
      <c r="E26" s="2"/>
      <c r="F26" s="2"/>
    </row>
    <row r="27" spans="2:6" x14ac:dyDescent="0.25">
      <c r="B27" s="3">
        <v>45403</v>
      </c>
      <c r="C27" s="2" t="s">
        <v>28</v>
      </c>
      <c r="D27" s="2"/>
      <c r="E27" s="2"/>
      <c r="F27" s="2"/>
    </row>
    <row r="28" spans="2:6" x14ac:dyDescent="0.25">
      <c r="B28" s="3">
        <v>45403</v>
      </c>
      <c r="C28" s="2" t="s">
        <v>29</v>
      </c>
      <c r="D28" s="2"/>
      <c r="E28" s="2"/>
      <c r="F28" s="2"/>
    </row>
    <row r="29" spans="2:6" x14ac:dyDescent="0.25">
      <c r="B29" s="3">
        <v>45404</v>
      </c>
      <c r="C29" s="2" t="s">
        <v>30</v>
      </c>
      <c r="D29" s="2"/>
      <c r="E29" s="2"/>
      <c r="F29" s="2"/>
    </row>
    <row r="30" spans="2:6" x14ac:dyDescent="0.25">
      <c r="B30" s="3">
        <v>45404</v>
      </c>
      <c r="C30" s="2" t="s">
        <v>31</v>
      </c>
      <c r="D30" s="2"/>
      <c r="E30" s="2"/>
      <c r="F30" s="2"/>
    </row>
    <row r="31" spans="2:6" x14ac:dyDescent="0.25">
      <c r="B31" s="3">
        <v>45405</v>
      </c>
      <c r="C31" s="2" t="s">
        <v>30</v>
      </c>
      <c r="D31" s="2"/>
      <c r="E31" s="2"/>
      <c r="F31" s="2"/>
    </row>
    <row r="32" spans="2:6" x14ac:dyDescent="0.25">
      <c r="B32" s="3">
        <v>45405</v>
      </c>
      <c r="C32" s="2" t="s">
        <v>32</v>
      </c>
      <c r="D32" s="2" t="s">
        <v>33</v>
      </c>
      <c r="E32" s="2"/>
      <c r="F32" s="2"/>
    </row>
    <row r="33" spans="2:6" x14ac:dyDescent="0.25">
      <c r="B33" s="3">
        <v>45407</v>
      </c>
      <c r="C33" s="2" t="s">
        <v>34</v>
      </c>
      <c r="D33" s="2" t="s">
        <v>35</v>
      </c>
      <c r="E33" s="2"/>
      <c r="F33" s="2"/>
    </row>
    <row r="34" spans="2:6" x14ac:dyDescent="0.25">
      <c r="B34" s="3">
        <v>45408</v>
      </c>
      <c r="C34" s="2" t="s">
        <v>36</v>
      </c>
      <c r="D34" s="2"/>
      <c r="E34" s="2"/>
      <c r="F34" s="2"/>
    </row>
    <row r="35" spans="2:6" x14ac:dyDescent="0.25">
      <c r="B35" s="3">
        <v>45409</v>
      </c>
      <c r="C35" s="2" t="s">
        <v>37</v>
      </c>
      <c r="D35" s="2"/>
      <c r="E35" s="2"/>
      <c r="F35" s="2"/>
    </row>
    <row r="36" spans="2:6" x14ac:dyDescent="0.25">
      <c r="B36" s="3">
        <v>45410</v>
      </c>
      <c r="C36" s="2" t="s">
        <v>38</v>
      </c>
      <c r="D36" s="2" t="s">
        <v>39</v>
      </c>
      <c r="E36" s="2"/>
      <c r="F36" s="2"/>
    </row>
    <row r="37" spans="2:6" x14ac:dyDescent="0.25">
      <c r="B37" s="3">
        <v>45411</v>
      </c>
      <c r="C37" s="2" t="s">
        <v>40</v>
      </c>
      <c r="D37" s="2"/>
      <c r="E37" s="2"/>
      <c r="F37" s="2"/>
    </row>
    <row r="38" spans="2:6" x14ac:dyDescent="0.25">
      <c r="B38" s="3">
        <v>45412</v>
      </c>
      <c r="C38" s="2" t="s">
        <v>41</v>
      </c>
      <c r="D38" s="2"/>
      <c r="E38" s="2"/>
      <c r="F38" s="2"/>
    </row>
    <row r="39" spans="2:6" x14ac:dyDescent="0.25">
      <c r="B39" s="3">
        <v>45413</v>
      </c>
      <c r="C39" s="2" t="s">
        <v>42</v>
      </c>
      <c r="D39" s="2"/>
      <c r="E39" s="2"/>
      <c r="F39" s="2"/>
    </row>
    <row r="40" spans="2:6" x14ac:dyDescent="0.25">
      <c r="B40" s="3">
        <v>45414</v>
      </c>
      <c r="C40" s="2" t="s">
        <v>43</v>
      </c>
      <c r="D40" s="2" t="s">
        <v>44</v>
      </c>
      <c r="E40" s="2"/>
      <c r="F40" s="2"/>
    </row>
    <row r="41" spans="2:6" x14ac:dyDescent="0.25">
      <c r="B41" s="3">
        <v>45415</v>
      </c>
      <c r="C41" s="2"/>
      <c r="D41" s="2"/>
      <c r="E41" s="2"/>
      <c r="F41" s="2"/>
    </row>
    <row r="42" spans="2:6" x14ac:dyDescent="0.25">
      <c r="B42" s="3">
        <v>45416</v>
      </c>
      <c r="C42" s="2" t="s">
        <v>45</v>
      </c>
      <c r="D42" s="2"/>
      <c r="E42" s="2"/>
      <c r="F42" s="2"/>
    </row>
    <row r="43" spans="2:6" x14ac:dyDescent="0.25">
      <c r="B43" s="3">
        <v>45417</v>
      </c>
      <c r="C43" s="2" t="s">
        <v>46</v>
      </c>
      <c r="D43" s="2"/>
      <c r="E43" s="2"/>
      <c r="F43" s="2"/>
    </row>
    <row r="44" spans="2:6" x14ac:dyDescent="0.25">
      <c r="B44" s="3">
        <v>45417</v>
      </c>
      <c r="C44" s="2" t="s">
        <v>47</v>
      </c>
      <c r="D44" s="2" t="s">
        <v>48</v>
      </c>
      <c r="E44" s="2"/>
      <c r="F44" s="2"/>
    </row>
    <row r="45" spans="2:6" x14ac:dyDescent="0.25">
      <c r="B45" s="3">
        <v>45418</v>
      </c>
      <c r="C45" s="2" t="s">
        <v>49</v>
      </c>
      <c r="D45" s="2"/>
      <c r="E45" s="2"/>
      <c r="F45" s="2"/>
    </row>
    <row r="46" spans="2:6" x14ac:dyDescent="0.25">
      <c r="B46" s="3">
        <v>45419</v>
      </c>
      <c r="C46" s="2" t="s">
        <v>50</v>
      </c>
      <c r="D46" s="2"/>
      <c r="E46" s="2"/>
      <c r="F46" s="2"/>
    </row>
    <row r="47" spans="2:6" x14ac:dyDescent="0.25">
      <c r="B47" s="3">
        <v>45420</v>
      </c>
      <c r="C47" s="16" t="s">
        <v>51</v>
      </c>
      <c r="D47" s="2"/>
      <c r="E47" s="2"/>
      <c r="F47" s="2"/>
    </row>
    <row r="48" spans="2:6" x14ac:dyDescent="0.25">
      <c r="B48" s="3">
        <v>45421</v>
      </c>
      <c r="C48" s="2" t="s">
        <v>52</v>
      </c>
      <c r="D48" s="2"/>
      <c r="E48" s="2"/>
      <c r="F48" s="2"/>
    </row>
    <row r="49" spans="2:6" x14ac:dyDescent="0.25">
      <c r="B49" s="3">
        <v>45422</v>
      </c>
      <c r="C49" s="2" t="s">
        <v>53</v>
      </c>
      <c r="D49" s="2"/>
      <c r="E49" s="2"/>
      <c r="F49" s="2"/>
    </row>
    <row r="50" spans="2:6" x14ac:dyDescent="0.25">
      <c r="B50" s="3">
        <v>45423</v>
      </c>
      <c r="C50" s="2" t="s">
        <v>54</v>
      </c>
      <c r="D50" s="2"/>
      <c r="E50" s="2"/>
      <c r="F50" s="2"/>
    </row>
    <row r="51" spans="2:6" x14ac:dyDescent="0.25">
      <c r="B51" s="3">
        <v>45424</v>
      </c>
      <c r="C51" s="2" t="s">
        <v>55</v>
      </c>
      <c r="D51" s="2"/>
      <c r="E51" s="2"/>
      <c r="F51" s="2"/>
    </row>
    <row r="52" spans="2:6" x14ac:dyDescent="0.25">
      <c r="B52" s="3">
        <v>45425</v>
      </c>
      <c r="C52" s="2" t="s">
        <v>56</v>
      </c>
      <c r="D52" s="2"/>
      <c r="E52" s="2"/>
      <c r="F52" s="2"/>
    </row>
    <row r="53" spans="2:6" x14ac:dyDescent="0.25">
      <c r="B53" s="3">
        <v>45426</v>
      </c>
      <c r="C53" s="2" t="s">
        <v>57</v>
      </c>
      <c r="D53" s="2"/>
      <c r="E53" s="2"/>
      <c r="F53" s="2"/>
    </row>
    <row r="54" spans="2:6" x14ac:dyDescent="0.25">
      <c r="B54" s="3">
        <v>45427</v>
      </c>
      <c r="C54" s="2" t="s">
        <v>58</v>
      </c>
      <c r="D54" s="2"/>
      <c r="E54" s="2"/>
      <c r="F54" s="2"/>
    </row>
    <row r="55" spans="2:6" x14ac:dyDescent="0.25">
      <c r="B55" s="3">
        <v>45428</v>
      </c>
      <c r="C55" s="2" t="s">
        <v>59</v>
      </c>
      <c r="D55" s="2"/>
      <c r="E55" s="2"/>
      <c r="F55" s="2"/>
    </row>
    <row r="56" spans="2:6" x14ac:dyDescent="0.25">
      <c r="B56" s="3">
        <v>45429</v>
      </c>
      <c r="C56" s="2" t="s">
        <v>60</v>
      </c>
      <c r="D56" s="2"/>
      <c r="E56" s="2"/>
      <c r="F56" s="2"/>
    </row>
    <row r="57" spans="2:6" x14ac:dyDescent="0.25">
      <c r="B57" s="3">
        <v>45430</v>
      </c>
      <c r="C57" s="2" t="s">
        <v>61</v>
      </c>
      <c r="D57" s="2"/>
      <c r="E57" s="2"/>
      <c r="F57" s="2"/>
    </row>
    <row r="58" spans="2:6" x14ac:dyDescent="0.25">
      <c r="B58" s="3">
        <v>45431</v>
      </c>
      <c r="C58" s="2" t="s">
        <v>62</v>
      </c>
      <c r="D58" s="2"/>
      <c r="E58" s="2"/>
      <c r="F58" s="2"/>
    </row>
    <row r="59" spans="2:6" x14ac:dyDescent="0.25">
      <c r="B59" s="3">
        <v>45432</v>
      </c>
      <c r="C59" s="2" t="s">
        <v>63</v>
      </c>
      <c r="D59" s="2"/>
      <c r="E59" s="2"/>
      <c r="F59" s="2"/>
    </row>
    <row r="60" spans="2:6" x14ac:dyDescent="0.25">
      <c r="B60" s="3">
        <v>45433</v>
      </c>
      <c r="C60" s="2" t="s">
        <v>64</v>
      </c>
      <c r="D60" s="2"/>
      <c r="E60" s="2"/>
      <c r="F60" s="2"/>
    </row>
    <row r="61" spans="2:6" x14ac:dyDescent="0.25">
      <c r="B61" s="3">
        <v>45434</v>
      </c>
      <c r="C61" s="2" t="s">
        <v>65</v>
      </c>
      <c r="D61" s="2"/>
      <c r="E61" s="2"/>
      <c r="F61" s="2"/>
    </row>
    <row r="62" spans="2:6" x14ac:dyDescent="0.25">
      <c r="B62" s="3">
        <v>45435</v>
      </c>
      <c r="C62" s="2" t="s">
        <v>66</v>
      </c>
      <c r="D62" s="2"/>
      <c r="E62" s="2"/>
      <c r="F62" s="2"/>
    </row>
    <row r="63" spans="2:6" x14ac:dyDescent="0.25">
      <c r="B63" s="3">
        <v>45436</v>
      </c>
      <c r="C63" s="2" t="s">
        <v>67</v>
      </c>
      <c r="D63" s="2"/>
      <c r="E63" s="2"/>
      <c r="F63" s="2"/>
    </row>
    <row r="64" spans="2:6" x14ac:dyDescent="0.25">
      <c r="B64" s="3">
        <v>45436</v>
      </c>
      <c r="C64" s="2" t="s">
        <v>68</v>
      </c>
      <c r="D64" s="2"/>
      <c r="E64" s="2"/>
      <c r="F64" s="2"/>
    </row>
    <row r="65" spans="2:6" x14ac:dyDescent="0.25">
      <c r="B65" s="3">
        <v>45437</v>
      </c>
      <c r="C65" s="2" t="s">
        <v>69</v>
      </c>
      <c r="D65" s="2"/>
      <c r="E65" s="2"/>
      <c r="F65" s="2"/>
    </row>
    <row r="66" spans="2:6" x14ac:dyDescent="0.25">
      <c r="B66" s="3">
        <v>45437</v>
      </c>
      <c r="C66" s="2" t="s">
        <v>70</v>
      </c>
      <c r="D66" s="2"/>
      <c r="E66" s="2"/>
      <c r="F66" s="2"/>
    </row>
    <row r="67" spans="2:6" x14ac:dyDescent="0.25">
      <c r="B67" s="3">
        <v>45437</v>
      </c>
      <c r="C67" s="2" t="s">
        <v>71</v>
      </c>
      <c r="D67" s="2"/>
      <c r="E67" s="2"/>
      <c r="F67" s="2"/>
    </row>
    <row r="68" spans="2:6" x14ac:dyDescent="0.25">
      <c r="B68" s="3">
        <v>45437</v>
      </c>
      <c r="C68" s="2" t="s">
        <v>72</v>
      </c>
      <c r="D68" s="2"/>
      <c r="E68" s="2"/>
      <c r="F68" s="2"/>
    </row>
    <row r="69" spans="2:6" x14ac:dyDescent="0.25">
      <c r="B69" s="3">
        <v>45438</v>
      </c>
      <c r="C69" s="2" t="s">
        <v>73</v>
      </c>
      <c r="D69" s="2"/>
      <c r="E69" s="2"/>
      <c r="F69" s="2"/>
    </row>
    <row r="70" spans="2:6" x14ac:dyDescent="0.25">
      <c r="B70" s="3">
        <v>45438</v>
      </c>
      <c r="C70" s="2" t="s">
        <v>74</v>
      </c>
      <c r="D70" s="2"/>
      <c r="E70" s="2"/>
      <c r="F70" s="2"/>
    </row>
    <row r="71" spans="2:6" x14ac:dyDescent="0.25">
      <c r="B71" s="3">
        <v>45438</v>
      </c>
      <c r="C71" s="18" t="s">
        <v>75</v>
      </c>
      <c r="D71" s="2"/>
      <c r="E71" s="2"/>
      <c r="F71" s="2"/>
    </row>
    <row r="72" spans="2:6" x14ac:dyDescent="0.25">
      <c r="B72" s="3">
        <v>45438</v>
      </c>
      <c r="C72" s="19" t="s">
        <v>76</v>
      </c>
      <c r="D72" s="2"/>
      <c r="E72" s="2"/>
      <c r="F72" s="2"/>
    </row>
    <row r="73" spans="2:6" x14ac:dyDescent="0.25">
      <c r="B73" s="3">
        <v>45439</v>
      </c>
      <c r="C73" s="2" t="s">
        <v>77</v>
      </c>
      <c r="D73" s="2"/>
      <c r="E73" s="2"/>
      <c r="F73" s="2"/>
    </row>
    <row r="74" spans="2:6" x14ac:dyDescent="0.25">
      <c r="B74" s="3">
        <v>45439</v>
      </c>
      <c r="C74" s="2" t="s">
        <v>78</v>
      </c>
      <c r="D74" s="2"/>
      <c r="E74" s="2"/>
      <c r="F74" s="2"/>
    </row>
    <row r="75" spans="2:6" x14ac:dyDescent="0.25">
      <c r="B75" s="3">
        <v>45439</v>
      </c>
      <c r="C75" s="2" t="s">
        <v>79</v>
      </c>
      <c r="D75" s="2"/>
      <c r="E75" s="2"/>
      <c r="F75" s="2"/>
    </row>
    <row r="76" spans="2:6" x14ac:dyDescent="0.25">
      <c r="B76" s="3">
        <v>45440</v>
      </c>
      <c r="C76" t="s">
        <v>80</v>
      </c>
      <c r="D76" s="2"/>
      <c r="E76" s="2"/>
      <c r="F76" s="2"/>
    </row>
    <row r="77" spans="2:6" x14ac:dyDescent="0.25">
      <c r="B77" s="3">
        <v>45440</v>
      </c>
      <c r="C77" t="s">
        <v>81</v>
      </c>
      <c r="D77" s="2"/>
      <c r="E77" s="2"/>
      <c r="F77" s="2"/>
    </row>
    <row r="78" spans="2:6" x14ac:dyDescent="0.25">
      <c r="B78" s="3">
        <v>45440</v>
      </c>
      <c r="C78" s="2" t="s">
        <v>82</v>
      </c>
      <c r="D78" s="2"/>
      <c r="E78" s="2"/>
      <c r="F78" s="2"/>
    </row>
    <row r="79" spans="2:6" x14ac:dyDescent="0.25">
      <c r="B79" s="3">
        <v>45440</v>
      </c>
      <c r="C79" s="2" t="s">
        <v>83</v>
      </c>
      <c r="D79" s="2"/>
      <c r="E79" s="2"/>
      <c r="F79" s="2"/>
    </row>
    <row r="80" spans="2:6" x14ac:dyDescent="0.25">
      <c r="B80" s="3">
        <v>45440</v>
      </c>
      <c r="C80" s="2" t="s">
        <v>84</v>
      </c>
      <c r="D80" s="2"/>
      <c r="E80" s="2"/>
      <c r="F80" s="2"/>
    </row>
    <row r="81" spans="2:6" x14ac:dyDescent="0.25">
      <c r="B81" s="3">
        <v>45441</v>
      </c>
      <c r="C81" s="2" t="s">
        <v>85</v>
      </c>
      <c r="D81" s="2"/>
      <c r="E81" s="2"/>
      <c r="F81" s="2"/>
    </row>
    <row r="82" spans="2:6" x14ac:dyDescent="0.25">
      <c r="B82" s="3">
        <v>45441</v>
      </c>
      <c r="C82" s="2" t="s">
        <v>86</v>
      </c>
      <c r="D82" s="2"/>
      <c r="E82" s="2"/>
      <c r="F82" s="2"/>
    </row>
    <row r="83" spans="2:6" x14ac:dyDescent="0.25">
      <c r="B83" s="3">
        <v>45441</v>
      </c>
      <c r="C83" s="2" t="s">
        <v>87</v>
      </c>
      <c r="D83" s="2"/>
      <c r="E83" s="2"/>
      <c r="F83" s="2"/>
    </row>
    <row r="84" spans="2:6" x14ac:dyDescent="0.25">
      <c r="B84" s="3">
        <v>45441</v>
      </c>
      <c r="C84" s="2" t="s">
        <v>88</v>
      </c>
      <c r="D84" s="2"/>
      <c r="E84" s="2"/>
      <c r="F84" s="2"/>
    </row>
    <row r="85" spans="2:6" x14ac:dyDescent="0.25">
      <c r="B85" s="3">
        <v>45441</v>
      </c>
      <c r="C85" s="2" t="s">
        <v>89</v>
      </c>
      <c r="D85" s="2"/>
      <c r="E85" s="2"/>
      <c r="F85" s="2"/>
    </row>
    <row r="86" spans="2:6" x14ac:dyDescent="0.25">
      <c r="B86" s="3">
        <v>45442</v>
      </c>
      <c r="C86" s="2" t="s">
        <v>90</v>
      </c>
      <c r="D86" s="2"/>
      <c r="E86" s="2"/>
      <c r="F86" s="2"/>
    </row>
    <row r="87" spans="2:6" x14ac:dyDescent="0.25">
      <c r="B87" s="3">
        <v>45443</v>
      </c>
      <c r="C87" s="2" t="s">
        <v>91</v>
      </c>
      <c r="D87" s="2"/>
      <c r="E87" s="2"/>
      <c r="F87" s="2"/>
    </row>
    <row r="88" spans="2:6" x14ac:dyDescent="0.25">
      <c r="B88" s="3">
        <v>45443</v>
      </c>
      <c r="C88" s="2" t="s">
        <v>92</v>
      </c>
      <c r="D88" s="2"/>
      <c r="E88" s="2"/>
      <c r="F88" s="2"/>
    </row>
    <row r="89" spans="2:6" x14ac:dyDescent="0.25">
      <c r="B89" s="3">
        <v>45443</v>
      </c>
      <c r="C89" s="2" t="s">
        <v>93</v>
      </c>
      <c r="D89" s="2"/>
      <c r="E89" s="2"/>
      <c r="F89" s="2"/>
    </row>
    <row r="90" spans="2:6" x14ac:dyDescent="0.25">
      <c r="B90" s="3">
        <v>45444</v>
      </c>
      <c r="C90" s="2" t="s">
        <v>94</v>
      </c>
      <c r="D90" s="2"/>
      <c r="E90" s="2"/>
      <c r="F90" s="2"/>
    </row>
    <row r="91" spans="2:6" x14ac:dyDescent="0.25">
      <c r="B91" s="3">
        <v>45444</v>
      </c>
      <c r="C91" s="2" t="s">
        <v>95</v>
      </c>
      <c r="D91" s="2"/>
      <c r="E91" s="2"/>
      <c r="F91" s="2"/>
    </row>
    <row r="92" spans="2:6" x14ac:dyDescent="0.25">
      <c r="B92" s="3">
        <v>45445</v>
      </c>
      <c r="C92" t="s">
        <v>96</v>
      </c>
      <c r="D92" s="2"/>
      <c r="E92" s="2"/>
      <c r="F92" s="2"/>
    </row>
    <row r="93" spans="2:6" x14ac:dyDescent="0.25">
      <c r="B93" s="3">
        <v>45446</v>
      </c>
      <c r="C93" s="2" t="s">
        <v>97</v>
      </c>
      <c r="D93" s="2"/>
      <c r="E93" s="2"/>
      <c r="F93" s="2"/>
    </row>
    <row r="94" spans="2:6" x14ac:dyDescent="0.25">
      <c r="B94" s="3">
        <v>45446</v>
      </c>
      <c r="C94" s="2" t="s">
        <v>98</v>
      </c>
      <c r="D94" s="2"/>
      <c r="E94" s="2"/>
      <c r="F94" s="2"/>
    </row>
    <row r="95" spans="2:6" x14ac:dyDescent="0.25">
      <c r="B95" s="3">
        <v>45447</v>
      </c>
      <c r="C95" s="2" t="s">
        <v>99</v>
      </c>
      <c r="D95" s="2"/>
      <c r="E95" s="2"/>
      <c r="F95" s="2"/>
    </row>
    <row r="96" spans="2:6" x14ac:dyDescent="0.25">
      <c r="B96" s="3">
        <v>45447</v>
      </c>
      <c r="C96" s="2" t="s">
        <v>100</v>
      </c>
      <c r="D96" s="2"/>
      <c r="E96" s="2"/>
      <c r="F96" s="2"/>
    </row>
    <row r="97" spans="2:6" x14ac:dyDescent="0.25">
      <c r="B97" s="3">
        <v>45447</v>
      </c>
      <c r="C97" s="2" t="s">
        <v>101</v>
      </c>
      <c r="D97" s="2"/>
      <c r="E97" s="2"/>
      <c r="F97" s="2"/>
    </row>
    <row r="98" spans="2:6" x14ac:dyDescent="0.25">
      <c r="B98" s="3">
        <v>45447</v>
      </c>
      <c r="C98" s="2" t="s">
        <v>102</v>
      </c>
      <c r="D98" s="2"/>
      <c r="E98" s="2"/>
      <c r="F98" s="2"/>
    </row>
    <row r="99" spans="2:6" x14ac:dyDescent="0.25">
      <c r="B99" s="3">
        <v>45448</v>
      </c>
      <c r="C99" s="2" t="s">
        <v>103</v>
      </c>
      <c r="D99" s="2"/>
      <c r="E99" s="2"/>
      <c r="F99" s="2"/>
    </row>
    <row r="100" spans="2:6" x14ac:dyDescent="0.25">
      <c r="B100" s="3">
        <v>45448</v>
      </c>
      <c r="C100" s="2" t="s">
        <v>104</v>
      </c>
      <c r="D100" s="2"/>
      <c r="E100" s="2"/>
      <c r="F100" s="2"/>
    </row>
    <row r="101" spans="2:6" x14ac:dyDescent="0.25">
      <c r="B101" s="3">
        <v>45448</v>
      </c>
      <c r="C101" s="2" t="s">
        <v>105</v>
      </c>
      <c r="D101" s="2"/>
      <c r="E101" s="2"/>
      <c r="F101" s="2"/>
    </row>
    <row r="102" spans="2:6" x14ac:dyDescent="0.25">
      <c r="B102" s="3">
        <v>45449</v>
      </c>
      <c r="C102" s="2" t="s">
        <v>696</v>
      </c>
      <c r="D102" s="2"/>
      <c r="E102" s="2"/>
      <c r="F102" s="2"/>
    </row>
    <row r="103" spans="2:6" x14ac:dyDescent="0.25">
      <c r="B103" s="3">
        <v>45449</v>
      </c>
      <c r="C103" s="2" t="s">
        <v>694</v>
      </c>
      <c r="D103" s="2"/>
      <c r="E103" s="2"/>
      <c r="F103" s="2"/>
    </row>
    <row r="104" spans="2:6" x14ac:dyDescent="0.25">
      <c r="B104" s="3">
        <v>45449</v>
      </c>
      <c r="C104" s="2" t="s">
        <v>695</v>
      </c>
      <c r="D104" s="2"/>
      <c r="E104" s="2"/>
      <c r="F104" s="2"/>
    </row>
    <row r="105" spans="2:6" x14ac:dyDescent="0.25">
      <c r="B105" s="3">
        <v>45450</v>
      </c>
      <c r="C105" s="2" t="s">
        <v>706</v>
      </c>
      <c r="D105" s="2"/>
      <c r="E105" s="2"/>
      <c r="F105" s="2"/>
    </row>
    <row r="106" spans="2:6" x14ac:dyDescent="0.25">
      <c r="B106" s="3">
        <v>45450</v>
      </c>
      <c r="C106" s="2" t="s">
        <v>707</v>
      </c>
      <c r="D106" s="2"/>
      <c r="E106" s="2"/>
      <c r="F106" s="2"/>
    </row>
    <row r="107" spans="2:6" x14ac:dyDescent="0.25">
      <c r="B107" s="3">
        <v>45450</v>
      </c>
      <c r="C107" s="2" t="s">
        <v>708</v>
      </c>
      <c r="D107" s="2"/>
      <c r="E107" s="2"/>
      <c r="F107" s="2"/>
    </row>
    <row r="108" spans="2:6" x14ac:dyDescent="0.25">
      <c r="B108" s="3">
        <v>45451</v>
      </c>
      <c r="C108" s="2" t="s">
        <v>724</v>
      </c>
      <c r="D108" s="2"/>
      <c r="E108" s="2"/>
      <c r="F108" s="2"/>
    </row>
    <row r="109" spans="2:6" x14ac:dyDescent="0.25">
      <c r="B109" s="3">
        <v>45451</v>
      </c>
      <c r="C109" s="2" t="s">
        <v>725</v>
      </c>
      <c r="D109" s="2"/>
      <c r="E109" s="2"/>
      <c r="F109" s="2"/>
    </row>
    <row r="110" spans="2:6" x14ac:dyDescent="0.25">
      <c r="B110" s="3">
        <v>45452</v>
      </c>
      <c r="C110" s="2" t="s">
        <v>727</v>
      </c>
      <c r="D110" s="2"/>
      <c r="E110" s="2"/>
      <c r="F110" s="2"/>
    </row>
    <row r="111" spans="2:6" x14ac:dyDescent="0.25">
      <c r="B111" s="3">
        <v>45452</v>
      </c>
      <c r="C111" s="2" t="s">
        <v>726</v>
      </c>
      <c r="D111" s="2"/>
      <c r="E111" s="2"/>
      <c r="F111" s="2"/>
    </row>
    <row r="112" spans="2:6" x14ac:dyDescent="0.25">
      <c r="B112" s="3">
        <v>45453</v>
      </c>
      <c r="C112" s="2" t="s">
        <v>740</v>
      </c>
      <c r="D112" s="2"/>
      <c r="E112" s="2"/>
      <c r="F112" s="2"/>
    </row>
    <row r="113" spans="2:6" x14ac:dyDescent="0.25">
      <c r="B113" s="3">
        <v>45453</v>
      </c>
      <c r="C113" s="2" t="s">
        <v>741</v>
      </c>
      <c r="D113" s="2"/>
      <c r="E113" s="2"/>
      <c r="F113" s="2"/>
    </row>
    <row r="114" spans="2:6" x14ac:dyDescent="0.25">
      <c r="B114" s="3">
        <v>45453</v>
      </c>
      <c r="C114" s="2" t="s">
        <v>742</v>
      </c>
      <c r="D114" s="2"/>
      <c r="E114" s="2"/>
      <c r="F114" s="2"/>
    </row>
    <row r="115" spans="2:6" x14ac:dyDescent="0.25">
      <c r="B115" s="3">
        <v>45453</v>
      </c>
      <c r="C115" s="2" t="s">
        <v>743</v>
      </c>
      <c r="D115" s="2"/>
      <c r="E115" s="2"/>
      <c r="F115" s="2"/>
    </row>
    <row r="116" spans="2:6" x14ac:dyDescent="0.25">
      <c r="B116" s="3">
        <v>45453</v>
      </c>
      <c r="C116" s="2" t="s">
        <v>744</v>
      </c>
      <c r="D116" s="2"/>
      <c r="E116" s="2"/>
      <c r="F116" s="2"/>
    </row>
    <row r="117" spans="2:6" x14ac:dyDescent="0.25">
      <c r="B117" s="3">
        <v>45454</v>
      </c>
      <c r="C117" s="2" t="s">
        <v>750</v>
      </c>
      <c r="D117" s="2"/>
      <c r="E117" s="2"/>
      <c r="F117" s="2"/>
    </row>
    <row r="118" spans="2:6" x14ac:dyDescent="0.25">
      <c r="B118" s="3">
        <v>45454</v>
      </c>
      <c r="C118" s="2" t="s">
        <v>751</v>
      </c>
      <c r="D118" s="2"/>
      <c r="E118" s="2"/>
      <c r="F118" s="2"/>
    </row>
    <row r="119" spans="2:6" x14ac:dyDescent="0.25">
      <c r="B119" s="3">
        <v>45454</v>
      </c>
      <c r="C119" s="2" t="s">
        <v>752</v>
      </c>
      <c r="D119" s="2"/>
      <c r="E119" s="2"/>
      <c r="F119" s="2"/>
    </row>
    <row r="120" spans="2:6" x14ac:dyDescent="0.25">
      <c r="B120" s="3">
        <v>45455</v>
      </c>
      <c r="C120" s="2" t="s">
        <v>768</v>
      </c>
      <c r="D120" s="2"/>
      <c r="E120" s="2"/>
      <c r="F120" s="2"/>
    </row>
    <row r="121" spans="2:6" x14ac:dyDescent="0.25">
      <c r="B121" s="3">
        <v>45456</v>
      </c>
      <c r="C121" s="2" t="s">
        <v>776</v>
      </c>
      <c r="D121" s="2"/>
      <c r="E121" s="2"/>
      <c r="F121" s="2"/>
    </row>
    <row r="122" spans="2:6" x14ac:dyDescent="0.25">
      <c r="B122" s="3">
        <v>45457</v>
      </c>
      <c r="C122" s="2" t="s">
        <v>782</v>
      </c>
      <c r="D122" s="2"/>
      <c r="E122" s="2"/>
      <c r="F122" s="2"/>
    </row>
    <row r="123" spans="2:6" x14ac:dyDescent="0.25">
      <c r="B123" s="3">
        <v>45458</v>
      </c>
      <c r="C123" s="2" t="s">
        <v>802</v>
      </c>
      <c r="D123" s="2"/>
      <c r="E123" s="2"/>
      <c r="F123" s="2"/>
    </row>
    <row r="124" spans="2:6" x14ac:dyDescent="0.25">
      <c r="B124" s="3">
        <v>45462</v>
      </c>
      <c r="C124" s="2" t="s">
        <v>817</v>
      </c>
      <c r="D124" s="2"/>
      <c r="E124" s="2"/>
      <c r="F124" s="2"/>
    </row>
    <row r="125" spans="2:6" x14ac:dyDescent="0.25">
      <c r="B125" s="3">
        <v>45463</v>
      </c>
      <c r="C125" s="2" t="s">
        <v>827</v>
      </c>
      <c r="D125" s="2"/>
      <c r="E125" s="2"/>
      <c r="F125" s="2"/>
    </row>
    <row r="126" spans="2:6" x14ac:dyDescent="0.25">
      <c r="B126" s="3">
        <v>45463</v>
      </c>
      <c r="C126" s="2" t="s">
        <v>828</v>
      </c>
      <c r="D126" s="2"/>
      <c r="E126" s="2"/>
      <c r="F126" s="2"/>
    </row>
    <row r="127" spans="2:6" x14ac:dyDescent="0.25">
      <c r="B127" s="3">
        <v>45464</v>
      </c>
      <c r="C127" s="2" t="s">
        <v>831</v>
      </c>
      <c r="D127" s="2"/>
      <c r="E127" s="2"/>
      <c r="F127" s="2"/>
    </row>
    <row r="128" spans="2:6" x14ac:dyDescent="0.25">
      <c r="B128" s="3">
        <v>45465</v>
      </c>
      <c r="C128" s="2" t="s">
        <v>831</v>
      </c>
      <c r="D128" s="2"/>
      <c r="E128" s="2"/>
      <c r="F128" s="2"/>
    </row>
    <row r="129" spans="2:6" x14ac:dyDescent="0.25">
      <c r="B129" s="3">
        <v>45466</v>
      </c>
      <c r="C129" s="2" t="s">
        <v>832</v>
      </c>
      <c r="D129" s="2"/>
      <c r="E129" s="2"/>
      <c r="F129" s="2"/>
    </row>
    <row r="130" spans="2:6" x14ac:dyDescent="0.25">
      <c r="B130" s="3">
        <v>45467</v>
      </c>
      <c r="C130" s="2" t="s">
        <v>866</v>
      </c>
      <c r="D130" s="2"/>
      <c r="E130" s="2"/>
      <c r="F130" s="2"/>
    </row>
    <row r="131" spans="2:6" x14ac:dyDescent="0.25">
      <c r="B131" s="3">
        <v>45468</v>
      </c>
      <c r="C131" s="2" t="s">
        <v>869</v>
      </c>
      <c r="D131" s="2"/>
      <c r="E131" s="2"/>
      <c r="F131" s="2"/>
    </row>
    <row r="132" spans="2:6" x14ac:dyDescent="0.25">
      <c r="B132" s="3">
        <v>45469</v>
      </c>
      <c r="C132" s="2" t="s">
        <v>894</v>
      </c>
      <c r="D132" s="2"/>
      <c r="E132" s="2"/>
      <c r="F132" s="2"/>
    </row>
    <row r="133" spans="2:6" x14ac:dyDescent="0.25">
      <c r="B133" s="3">
        <v>45470</v>
      </c>
      <c r="C133" s="2" t="s">
        <v>909</v>
      </c>
      <c r="D133" s="2"/>
      <c r="E133" s="2"/>
      <c r="F133" s="2"/>
    </row>
    <row r="134" spans="2:6" x14ac:dyDescent="0.25">
      <c r="B134" s="3">
        <v>45471</v>
      </c>
      <c r="C134" s="2" t="s">
        <v>910</v>
      </c>
      <c r="D134" s="2"/>
      <c r="E134" s="2"/>
      <c r="F134" s="2"/>
    </row>
    <row r="135" spans="2:6" x14ac:dyDescent="0.25">
      <c r="B135" s="3">
        <v>45472</v>
      </c>
      <c r="C135" s="2" t="s">
        <v>925</v>
      </c>
      <c r="D135" s="2"/>
      <c r="E135" s="2"/>
      <c r="F135" s="2"/>
    </row>
    <row r="136" spans="2:6" x14ac:dyDescent="0.25">
      <c r="B136" s="3">
        <v>45473</v>
      </c>
      <c r="C136" s="2" t="s">
        <v>926</v>
      </c>
      <c r="D136" s="2" t="s">
        <v>927</v>
      </c>
      <c r="E136" s="2"/>
      <c r="F136" s="2"/>
    </row>
    <row r="137" spans="2:6" x14ac:dyDescent="0.25">
      <c r="B137" s="3">
        <v>45474</v>
      </c>
      <c r="C137" s="2" t="s">
        <v>480</v>
      </c>
      <c r="D137" s="2"/>
      <c r="E137" s="2"/>
      <c r="F137" s="2"/>
    </row>
    <row r="138" spans="2:6" x14ac:dyDescent="0.25">
      <c r="B138" s="3">
        <v>45475</v>
      </c>
      <c r="C138" s="2" t="s">
        <v>965</v>
      </c>
      <c r="D138" s="2"/>
      <c r="E138" s="2"/>
      <c r="F138" s="2"/>
    </row>
    <row r="139" spans="2:6" x14ac:dyDescent="0.25">
      <c r="B139" s="3">
        <v>45476</v>
      </c>
      <c r="C139" s="2" t="s">
        <v>973</v>
      </c>
      <c r="D139" s="2"/>
      <c r="E139" s="2"/>
      <c r="F139" s="2"/>
    </row>
    <row r="140" spans="2:6" x14ac:dyDescent="0.25">
      <c r="B140" s="3">
        <v>45477</v>
      </c>
      <c r="C140" s="2" t="s">
        <v>977</v>
      </c>
      <c r="D140" s="2"/>
      <c r="E140" s="2"/>
      <c r="F140" s="2"/>
    </row>
    <row r="141" spans="2:6" x14ac:dyDescent="0.25">
      <c r="B141" s="3">
        <v>45477</v>
      </c>
      <c r="C141" s="2" t="s">
        <v>978</v>
      </c>
      <c r="D141" s="2"/>
      <c r="E141" s="2"/>
      <c r="F141" s="2"/>
    </row>
    <row r="142" spans="2:6" x14ac:dyDescent="0.25">
      <c r="B142" s="3">
        <v>45478</v>
      </c>
      <c r="C142" s="2" t="s">
        <v>1000</v>
      </c>
      <c r="D142" s="2"/>
      <c r="E142" s="2"/>
      <c r="F142" s="2"/>
    </row>
    <row r="143" spans="2:6" x14ac:dyDescent="0.25">
      <c r="B143" s="3">
        <v>45478</v>
      </c>
      <c r="C143" s="2" t="s">
        <v>1001</v>
      </c>
      <c r="D143" s="2"/>
      <c r="E143" s="23"/>
      <c r="F143" s="2"/>
    </row>
    <row r="144" spans="2:6" x14ac:dyDescent="0.25">
      <c r="B144" s="3">
        <v>45479</v>
      </c>
      <c r="C144" s="2" t="s">
        <v>1003</v>
      </c>
      <c r="D144" s="2"/>
      <c r="E144" s="23"/>
      <c r="F144" s="2"/>
    </row>
    <row r="145" spans="2:6" x14ac:dyDescent="0.25">
      <c r="B145" s="3">
        <v>45479</v>
      </c>
      <c r="C145" s="2" t="s">
        <v>1004</v>
      </c>
      <c r="D145" s="2" t="s">
        <v>1005</v>
      </c>
      <c r="E145" s="23"/>
      <c r="F145" s="2"/>
    </row>
    <row r="146" spans="2:6" x14ac:dyDescent="0.25">
      <c r="B146" s="3">
        <v>45480</v>
      </c>
      <c r="C146" s="2" t="s">
        <v>1006</v>
      </c>
      <c r="D146" s="2" t="s">
        <v>656</v>
      </c>
      <c r="E146" s="23"/>
      <c r="F146" s="2"/>
    </row>
    <row r="147" spans="2:6" x14ac:dyDescent="0.25">
      <c r="B147" s="3">
        <v>45481</v>
      </c>
      <c r="C147" s="2" t="s">
        <v>1033</v>
      </c>
      <c r="D147" s="2"/>
      <c r="E147" s="23">
        <v>0</v>
      </c>
      <c r="F147" s="2"/>
    </row>
    <row r="148" spans="2:6" x14ac:dyDescent="0.25">
      <c r="B148" s="3">
        <v>45482</v>
      </c>
      <c r="C148" s="2" t="s">
        <v>1032</v>
      </c>
      <c r="D148" s="2"/>
      <c r="E148" s="23">
        <v>15</v>
      </c>
      <c r="F148" s="2">
        <f>E148-E147</f>
        <v>15</v>
      </c>
    </row>
    <row r="149" spans="2:6" x14ac:dyDescent="0.25">
      <c r="B149" s="3">
        <v>45483</v>
      </c>
      <c r="C149" s="2" t="s">
        <v>1094</v>
      </c>
      <c r="D149" s="2"/>
      <c r="E149" s="23">
        <f>19+11</f>
        <v>30</v>
      </c>
      <c r="F149" s="2">
        <f>E149-E148</f>
        <v>15</v>
      </c>
    </row>
    <row r="150" spans="2:6" x14ac:dyDescent="0.25">
      <c r="B150" s="3">
        <v>45484</v>
      </c>
      <c r="C150" s="2" t="s">
        <v>1038</v>
      </c>
      <c r="D150" s="2"/>
      <c r="E150" s="23">
        <f>E149+11</f>
        <v>41</v>
      </c>
      <c r="F150" s="2">
        <f>E150-E149</f>
        <v>11</v>
      </c>
    </row>
    <row r="151" spans="2:6" x14ac:dyDescent="0.25">
      <c r="B151" s="3">
        <v>45485</v>
      </c>
      <c r="C151" s="2" t="s">
        <v>1103</v>
      </c>
      <c r="D151" s="2"/>
      <c r="E151" s="23">
        <v>53</v>
      </c>
      <c r="F151" s="2">
        <f t="shared" ref="F151:F168" si="0">E151-E150</f>
        <v>12</v>
      </c>
    </row>
    <row r="152" spans="2:6" x14ac:dyDescent="0.25">
      <c r="B152" s="3">
        <v>45486</v>
      </c>
      <c r="C152" s="2" t="s">
        <v>1105</v>
      </c>
      <c r="D152" s="2"/>
      <c r="E152" s="23">
        <v>55</v>
      </c>
      <c r="F152" s="2">
        <f t="shared" si="0"/>
        <v>2</v>
      </c>
    </row>
    <row r="153" spans="2:6" x14ac:dyDescent="0.25">
      <c r="B153" s="3">
        <v>45487</v>
      </c>
      <c r="C153" s="2" t="s">
        <v>1134</v>
      </c>
      <c r="D153" s="2"/>
      <c r="E153" s="23">
        <v>56</v>
      </c>
      <c r="F153" s="2">
        <f t="shared" si="0"/>
        <v>1</v>
      </c>
    </row>
    <row r="154" spans="2:6" x14ac:dyDescent="0.25">
      <c r="B154" s="3">
        <v>45488</v>
      </c>
      <c r="C154" s="2" t="s">
        <v>1135</v>
      </c>
      <c r="D154" s="2"/>
      <c r="E154" s="23">
        <v>56</v>
      </c>
      <c r="F154" s="2">
        <f t="shared" si="0"/>
        <v>0</v>
      </c>
    </row>
    <row r="155" spans="2:6" x14ac:dyDescent="0.25">
      <c r="B155" s="3">
        <v>45489</v>
      </c>
      <c r="C155" s="2" t="s">
        <v>1134</v>
      </c>
      <c r="D155" s="2"/>
      <c r="E155" s="23">
        <v>57</v>
      </c>
      <c r="F155" s="2">
        <f t="shared" si="0"/>
        <v>1</v>
      </c>
    </row>
    <row r="156" spans="2:6" x14ac:dyDescent="0.25">
      <c r="B156" s="3">
        <v>45490</v>
      </c>
      <c r="C156" s="2" t="s">
        <v>1134</v>
      </c>
      <c r="D156" s="2"/>
      <c r="E156" s="23">
        <v>58</v>
      </c>
      <c r="F156" s="2">
        <f t="shared" si="0"/>
        <v>1</v>
      </c>
    </row>
    <row r="157" spans="2:6" x14ac:dyDescent="0.25">
      <c r="B157" s="3">
        <v>45491</v>
      </c>
      <c r="C157" s="2" t="s">
        <v>1134</v>
      </c>
      <c r="D157" s="2"/>
      <c r="E157" s="23">
        <v>59</v>
      </c>
      <c r="F157" s="2">
        <f t="shared" si="0"/>
        <v>1</v>
      </c>
    </row>
    <row r="158" spans="2:6" x14ac:dyDescent="0.25">
      <c r="B158" s="3">
        <v>45492</v>
      </c>
      <c r="C158" s="2" t="s">
        <v>1180</v>
      </c>
      <c r="D158" s="2"/>
      <c r="E158" s="23">
        <v>57</v>
      </c>
      <c r="F158" s="2">
        <f t="shared" si="0"/>
        <v>-2</v>
      </c>
    </row>
    <row r="159" spans="2:6" x14ac:dyDescent="0.25">
      <c r="B159" s="3">
        <v>45493</v>
      </c>
      <c r="C159" s="2" t="s">
        <v>1180</v>
      </c>
      <c r="D159" s="2"/>
      <c r="E159" s="23">
        <v>59</v>
      </c>
      <c r="F159" s="2">
        <f t="shared" si="0"/>
        <v>2</v>
      </c>
    </row>
    <row r="160" spans="2:6" x14ac:dyDescent="0.25">
      <c r="B160" s="3">
        <v>45494</v>
      </c>
      <c r="C160" s="2" t="s">
        <v>1204</v>
      </c>
      <c r="D160" s="2"/>
      <c r="E160" s="23">
        <v>62</v>
      </c>
      <c r="F160" s="2">
        <f t="shared" si="0"/>
        <v>3</v>
      </c>
    </row>
    <row r="161" spans="2:6" x14ac:dyDescent="0.25">
      <c r="B161" s="3">
        <v>45495</v>
      </c>
      <c r="C161" s="2" t="s">
        <v>1217</v>
      </c>
      <c r="D161" s="2"/>
      <c r="E161" s="23">
        <v>70</v>
      </c>
      <c r="F161" s="2">
        <f t="shared" si="0"/>
        <v>8</v>
      </c>
    </row>
    <row r="162" spans="2:6" x14ac:dyDescent="0.25">
      <c r="B162" s="3">
        <v>45496</v>
      </c>
      <c r="C162" s="2" t="s">
        <v>1204</v>
      </c>
      <c r="D162" s="2"/>
      <c r="E162" s="23">
        <v>73</v>
      </c>
      <c r="F162" s="2">
        <f t="shared" si="0"/>
        <v>3</v>
      </c>
    </row>
    <row r="163" spans="2:6" x14ac:dyDescent="0.25">
      <c r="B163" s="3">
        <v>45497</v>
      </c>
      <c r="C163" s="2" t="s">
        <v>1234</v>
      </c>
      <c r="D163" s="2"/>
      <c r="E163" s="23">
        <v>80</v>
      </c>
      <c r="F163" s="2">
        <f t="shared" si="0"/>
        <v>7</v>
      </c>
    </row>
    <row r="164" spans="2:6" x14ac:dyDescent="0.25">
      <c r="B164" s="3">
        <v>45497</v>
      </c>
      <c r="C164" s="2" t="s">
        <v>1235</v>
      </c>
      <c r="D164" s="2"/>
      <c r="E164" s="23">
        <v>80</v>
      </c>
      <c r="F164" s="2">
        <f t="shared" si="0"/>
        <v>0</v>
      </c>
    </row>
    <row r="165" spans="2:6" x14ac:dyDescent="0.25">
      <c r="B165" s="3">
        <v>45497</v>
      </c>
      <c r="C165" s="2" t="s">
        <v>1236</v>
      </c>
      <c r="D165" s="2"/>
      <c r="E165" s="23">
        <v>80</v>
      </c>
      <c r="F165" s="2">
        <f t="shared" si="0"/>
        <v>0</v>
      </c>
    </row>
    <row r="166" spans="2:6" x14ac:dyDescent="0.25">
      <c r="B166" s="3">
        <v>45497</v>
      </c>
      <c r="C166" s="2" t="s">
        <v>1237</v>
      </c>
      <c r="D166" s="2"/>
      <c r="E166" s="23">
        <v>80</v>
      </c>
      <c r="F166" s="2">
        <f t="shared" si="0"/>
        <v>0</v>
      </c>
    </row>
    <row r="167" spans="2:6" x14ac:dyDescent="0.25">
      <c r="B167" s="3">
        <v>45497</v>
      </c>
      <c r="C167" s="2" t="s">
        <v>1238</v>
      </c>
      <c r="D167" s="2"/>
      <c r="E167" s="23">
        <v>80</v>
      </c>
      <c r="F167" s="2">
        <f t="shared" si="0"/>
        <v>0</v>
      </c>
    </row>
    <row r="168" spans="2:6" x14ac:dyDescent="0.25">
      <c r="B168" s="3">
        <v>45497</v>
      </c>
      <c r="C168" s="2" t="s">
        <v>1239</v>
      </c>
      <c r="D168" s="2"/>
      <c r="E168" s="23">
        <v>80</v>
      </c>
      <c r="F168" s="2">
        <f t="shared" si="0"/>
        <v>0</v>
      </c>
    </row>
    <row r="169" spans="2:6" x14ac:dyDescent="0.25">
      <c r="B169" s="3">
        <v>45498</v>
      </c>
      <c r="C169" s="2" t="s">
        <v>1253</v>
      </c>
      <c r="D169" s="2"/>
      <c r="E169" s="23">
        <v>84</v>
      </c>
      <c r="F169" s="2"/>
    </row>
    <row r="170" spans="2:6" x14ac:dyDescent="0.25">
      <c r="B170" s="3">
        <v>45499</v>
      </c>
      <c r="C170" s="2" t="s">
        <v>1263</v>
      </c>
      <c r="D170" s="2"/>
      <c r="E170" s="23">
        <v>85</v>
      </c>
      <c r="F170" s="2"/>
    </row>
    <row r="171" spans="2:6" x14ac:dyDescent="0.25">
      <c r="B171" s="3">
        <v>45500</v>
      </c>
      <c r="C171" s="2" t="s">
        <v>1275</v>
      </c>
      <c r="D171" s="2"/>
      <c r="E171" s="23">
        <v>86</v>
      </c>
      <c r="F171" s="2"/>
    </row>
    <row r="172" spans="2:6" x14ac:dyDescent="0.25">
      <c r="B172" s="3">
        <v>45501</v>
      </c>
      <c r="C172" s="2" t="s">
        <v>1276</v>
      </c>
      <c r="D172" s="2"/>
      <c r="E172" s="23">
        <v>86</v>
      </c>
      <c r="F172" s="2"/>
    </row>
    <row r="173" spans="2:6" x14ac:dyDescent="0.25">
      <c r="B173" s="3">
        <v>45502</v>
      </c>
      <c r="C173" s="2" t="s">
        <v>1293</v>
      </c>
      <c r="D173" s="2"/>
      <c r="E173" s="23">
        <v>86</v>
      </c>
      <c r="F173" s="2"/>
    </row>
    <row r="174" spans="2:6" x14ac:dyDescent="0.25">
      <c r="B174" s="3">
        <v>45503</v>
      </c>
      <c r="C174" s="2" t="s">
        <v>1305</v>
      </c>
      <c r="D174" s="2"/>
      <c r="E174" s="2"/>
      <c r="F174" s="2"/>
    </row>
    <row r="175" spans="2:6" x14ac:dyDescent="0.25">
      <c r="B175" s="3">
        <v>45504</v>
      </c>
      <c r="C175" s="2" t="s">
        <v>1316</v>
      </c>
      <c r="D175" s="2"/>
      <c r="E175" s="2"/>
      <c r="F175" s="2"/>
    </row>
    <row r="176" spans="2:6" x14ac:dyDescent="0.25">
      <c r="B176" s="3">
        <v>45505</v>
      </c>
      <c r="C176" s="2" t="s">
        <v>1326</v>
      </c>
      <c r="D176" s="2"/>
      <c r="E176" s="2"/>
      <c r="F176" s="2"/>
    </row>
    <row r="177" spans="2:6" x14ac:dyDescent="0.25">
      <c r="B177" s="3">
        <v>45506</v>
      </c>
      <c r="C177" s="2" t="s">
        <v>1345</v>
      </c>
      <c r="D177" s="2" t="s">
        <v>1346</v>
      </c>
      <c r="E177" s="2"/>
      <c r="F177" s="2"/>
    </row>
    <row r="178" spans="2:6" x14ac:dyDescent="0.25">
      <c r="B178" s="3">
        <v>45507</v>
      </c>
      <c r="C178" s="2" t="s">
        <v>1353</v>
      </c>
      <c r="D178" s="2" t="s">
        <v>1347</v>
      </c>
      <c r="E178" s="2"/>
      <c r="F178" s="2"/>
    </row>
    <row r="179" spans="2:6" x14ac:dyDescent="0.25">
      <c r="B179" s="3">
        <v>45508</v>
      </c>
      <c r="C179" s="2" t="s">
        <v>1354</v>
      </c>
      <c r="D179" s="2" t="s">
        <v>1348</v>
      </c>
      <c r="E179" s="2"/>
      <c r="F179" s="2"/>
    </row>
    <row r="180" spans="2:6" x14ac:dyDescent="0.25">
      <c r="B180" s="3">
        <v>45509</v>
      </c>
      <c r="C180" s="2" t="s">
        <v>1378</v>
      </c>
      <c r="D180" s="2" t="s">
        <v>1349</v>
      </c>
      <c r="E180" s="2"/>
      <c r="F180" s="2"/>
    </row>
    <row r="181" spans="2:6" x14ac:dyDescent="0.25">
      <c r="B181" s="3">
        <v>45510</v>
      </c>
      <c r="C181" s="2" t="s">
        <v>1388</v>
      </c>
      <c r="D181" s="2" t="s">
        <v>1350</v>
      </c>
      <c r="E181" s="2"/>
      <c r="F181" s="2"/>
    </row>
    <row r="182" spans="2:6" x14ac:dyDescent="0.25">
      <c r="B182" s="3">
        <v>45510</v>
      </c>
      <c r="C182" s="2" t="s">
        <v>1399</v>
      </c>
      <c r="D182" s="2" t="s">
        <v>1400</v>
      </c>
      <c r="E182" s="2"/>
      <c r="F182" s="2"/>
    </row>
    <row r="183" spans="2:6" x14ac:dyDescent="0.25">
      <c r="B183" s="3">
        <v>45511</v>
      </c>
      <c r="C183" s="2" t="s">
        <v>1178</v>
      </c>
      <c r="D183" s="2" t="s">
        <v>1346</v>
      </c>
      <c r="E183" s="2"/>
      <c r="F183" s="2"/>
    </row>
    <row r="184" spans="2:6" x14ac:dyDescent="0.25">
      <c r="B184" s="3">
        <v>45512</v>
      </c>
      <c r="C184" s="2" t="s">
        <v>1410</v>
      </c>
      <c r="D184" s="2" t="s">
        <v>1408</v>
      </c>
      <c r="E184" s="2"/>
      <c r="F184" s="2"/>
    </row>
    <row r="185" spans="2:6" x14ac:dyDescent="0.25">
      <c r="B185" s="3">
        <v>45513</v>
      </c>
      <c r="C185" s="2" t="s">
        <v>1166</v>
      </c>
      <c r="D185" s="2" t="s">
        <v>1420</v>
      </c>
      <c r="E185" s="2"/>
      <c r="F185" s="2"/>
    </row>
    <row r="186" spans="2:6" x14ac:dyDescent="0.25">
      <c r="B186" s="3">
        <v>45514</v>
      </c>
      <c r="C186" s="2" t="s">
        <v>1166</v>
      </c>
      <c r="D186" s="2" t="s">
        <v>1421</v>
      </c>
      <c r="E186" s="2"/>
      <c r="F186" s="2"/>
    </row>
    <row r="187" spans="2:6" x14ac:dyDescent="0.25">
      <c r="B187" s="3">
        <v>45515</v>
      </c>
      <c r="C187" s="2" t="s">
        <v>1166</v>
      </c>
      <c r="D187" s="2"/>
      <c r="E187" s="2"/>
      <c r="F187" s="2"/>
    </row>
    <row r="188" spans="2:6" x14ac:dyDescent="0.25">
      <c r="B188" s="3">
        <v>45516</v>
      </c>
      <c r="C188" s="2" t="s">
        <v>1458</v>
      </c>
      <c r="D188" s="2"/>
      <c r="E188" s="2"/>
      <c r="F188" s="2"/>
    </row>
    <row r="189" spans="2:6" x14ac:dyDescent="0.25">
      <c r="B189" s="3">
        <v>45517</v>
      </c>
      <c r="C189" s="2" t="s">
        <v>1166</v>
      </c>
      <c r="D189" s="2"/>
      <c r="E189" s="2"/>
      <c r="F189" s="2"/>
    </row>
    <row r="190" spans="2:6" x14ac:dyDescent="0.25">
      <c r="B190" s="3">
        <v>45518</v>
      </c>
      <c r="C190" s="2" t="s">
        <v>1166</v>
      </c>
      <c r="D190" s="2"/>
      <c r="E190" s="2"/>
      <c r="F190" s="2"/>
    </row>
    <row r="191" spans="2:6" x14ac:dyDescent="0.25">
      <c r="B191" s="3">
        <v>45519</v>
      </c>
      <c r="C191" s="2" t="s">
        <v>1166</v>
      </c>
      <c r="D191" s="2" t="s">
        <v>1494</v>
      </c>
      <c r="E191" s="2"/>
      <c r="F191" s="2"/>
    </row>
    <row r="192" spans="2:6" x14ac:dyDescent="0.25">
      <c r="B192" s="3">
        <v>45522</v>
      </c>
      <c r="C192" s="2" t="s">
        <v>1508</v>
      </c>
      <c r="D192" s="2" t="s">
        <v>1501</v>
      </c>
      <c r="E192" s="2"/>
      <c r="F192" s="2"/>
    </row>
    <row r="193" spans="2:6" x14ac:dyDescent="0.25">
      <c r="B193" s="3">
        <v>45522</v>
      </c>
      <c r="C193" s="16" t="s">
        <v>1509</v>
      </c>
      <c r="D193" s="2"/>
      <c r="E193" s="2"/>
      <c r="F193" s="2"/>
    </row>
    <row r="194" spans="2:6" x14ac:dyDescent="0.25">
      <c r="B194" s="3">
        <v>45523</v>
      </c>
      <c r="C194" s="2" t="s">
        <v>1580</v>
      </c>
      <c r="D194" s="2" t="s">
        <v>1622</v>
      </c>
      <c r="E194" s="2"/>
      <c r="F194" s="2"/>
    </row>
    <row r="195" spans="2:6" x14ac:dyDescent="0.25">
      <c r="B195" s="3">
        <v>45524</v>
      </c>
      <c r="C195" s="2" t="s">
        <v>1579</v>
      </c>
      <c r="D195" s="2"/>
      <c r="E195" s="2"/>
      <c r="F195" s="2"/>
    </row>
    <row r="196" spans="2:6" x14ac:dyDescent="0.25">
      <c r="B196" s="3">
        <v>45525</v>
      </c>
      <c r="C196" s="2"/>
      <c r="D196" s="2"/>
      <c r="E196" s="2"/>
      <c r="F196" s="2"/>
    </row>
    <row r="197" spans="2:6" x14ac:dyDescent="0.25">
      <c r="B197" s="3">
        <v>45526</v>
      </c>
      <c r="C197" s="2"/>
      <c r="D197" s="2"/>
      <c r="E197" s="2"/>
      <c r="F197" s="2"/>
    </row>
    <row r="198" spans="2:6" x14ac:dyDescent="0.25">
      <c r="B198" s="3"/>
      <c r="C198" s="2"/>
      <c r="D198" s="2"/>
      <c r="E198" s="2"/>
      <c r="F198" s="2"/>
    </row>
    <row r="199" spans="2:6" x14ac:dyDescent="0.25">
      <c r="B199" s="3"/>
      <c r="C199" s="2"/>
      <c r="D199" s="2"/>
      <c r="E199" s="2"/>
      <c r="F199" s="2"/>
    </row>
    <row r="200" spans="2:6" x14ac:dyDescent="0.25">
      <c r="B200" s="3"/>
      <c r="C200" s="2"/>
      <c r="D200" s="2"/>
      <c r="E200" s="2"/>
      <c r="F200" s="2"/>
    </row>
    <row r="201" spans="2:6" x14ac:dyDescent="0.25">
      <c r="B201" s="3"/>
      <c r="C201" s="2"/>
      <c r="D201" s="2"/>
      <c r="E201" s="2"/>
      <c r="F201" s="2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"/>
  <dimension ref="B1:D203"/>
  <sheetViews>
    <sheetView topLeftCell="A177" zoomScale="110" zoomScaleNormal="110" workbookViewId="0">
      <selection activeCell="C133" sqref="C133"/>
    </sheetView>
  </sheetViews>
  <sheetFormatPr defaultRowHeight="15" x14ac:dyDescent="0.25"/>
  <cols>
    <col min="2" max="2" width="17.140625" style="7" customWidth="1"/>
    <col min="3" max="3" width="72" bestFit="1" customWidth="1"/>
    <col min="4" max="4" width="45.5703125" customWidth="1"/>
  </cols>
  <sheetData>
    <row r="1" spans="2:4" ht="30" customHeight="1" x14ac:dyDescent="0.25">
      <c r="B1" s="10" t="s">
        <v>0</v>
      </c>
      <c r="C1" s="11" t="s">
        <v>1</v>
      </c>
      <c r="D1" s="11" t="s">
        <v>2</v>
      </c>
    </row>
    <row r="2" spans="2:4" x14ac:dyDescent="0.25">
      <c r="B2" s="6" t="s">
        <v>106</v>
      </c>
      <c r="C2" s="2" t="s">
        <v>107</v>
      </c>
      <c r="D2" s="2"/>
    </row>
    <row r="3" spans="2:4" x14ac:dyDescent="0.25">
      <c r="B3" s="6" t="s">
        <v>106</v>
      </c>
      <c r="C3" s="2" t="s">
        <v>108</v>
      </c>
      <c r="D3" s="2"/>
    </row>
    <row r="4" spans="2:4" x14ac:dyDescent="0.25">
      <c r="B4" s="6" t="s">
        <v>106</v>
      </c>
      <c r="C4" s="2" t="s">
        <v>109</v>
      </c>
      <c r="D4" s="2"/>
    </row>
    <row r="5" spans="2:4" x14ac:dyDescent="0.25">
      <c r="B5" s="6" t="s">
        <v>106</v>
      </c>
      <c r="C5" s="2" t="s">
        <v>110</v>
      </c>
      <c r="D5" s="2"/>
    </row>
    <row r="6" spans="2:4" x14ac:dyDescent="0.25">
      <c r="B6" s="6" t="s">
        <v>106</v>
      </c>
      <c r="C6" s="2" t="s">
        <v>111</v>
      </c>
      <c r="D6" s="2" t="s">
        <v>112</v>
      </c>
    </row>
    <row r="7" spans="2:4" x14ac:dyDescent="0.25">
      <c r="B7" s="6" t="s">
        <v>106</v>
      </c>
      <c r="C7" s="2" t="s">
        <v>113</v>
      </c>
      <c r="D7" s="2" t="s">
        <v>114</v>
      </c>
    </row>
    <row r="8" spans="2:4" x14ac:dyDescent="0.25">
      <c r="B8" s="5">
        <v>45383</v>
      </c>
      <c r="C8" s="2" t="s">
        <v>114</v>
      </c>
      <c r="D8" s="2"/>
    </row>
    <row r="9" spans="2:4" x14ac:dyDescent="0.25">
      <c r="B9" s="5">
        <v>45383</v>
      </c>
      <c r="C9" s="2" t="s">
        <v>115</v>
      </c>
      <c r="D9" s="2" t="s">
        <v>116</v>
      </c>
    </row>
    <row r="10" spans="2:4" x14ac:dyDescent="0.25">
      <c r="B10" s="5">
        <v>45384</v>
      </c>
      <c r="C10" s="2" t="s">
        <v>116</v>
      </c>
      <c r="D10" s="2"/>
    </row>
    <row r="11" spans="2:4" x14ac:dyDescent="0.25">
      <c r="B11" s="5">
        <v>45384</v>
      </c>
      <c r="C11" s="9" t="s">
        <v>117</v>
      </c>
      <c r="D11" s="2"/>
    </row>
    <row r="12" spans="2:4" x14ac:dyDescent="0.25">
      <c r="B12" s="5">
        <v>45384</v>
      </c>
      <c r="C12" s="2" t="s">
        <v>118</v>
      </c>
      <c r="D12" s="2"/>
    </row>
    <row r="13" spans="2:4" x14ac:dyDescent="0.25">
      <c r="B13" s="5">
        <v>45385</v>
      </c>
      <c r="C13" s="2" t="s">
        <v>119</v>
      </c>
      <c r="D13" s="2" t="s">
        <v>120</v>
      </c>
    </row>
    <row r="14" spans="2:4" x14ac:dyDescent="0.25">
      <c r="B14" s="5">
        <v>45386</v>
      </c>
      <c r="C14" s="2" t="s">
        <v>121</v>
      </c>
      <c r="D14" s="2"/>
    </row>
    <row r="15" spans="2:4" x14ac:dyDescent="0.25">
      <c r="B15" s="5">
        <v>45386</v>
      </c>
      <c r="C15" s="2" t="s">
        <v>122</v>
      </c>
      <c r="D15" s="2"/>
    </row>
    <row r="16" spans="2:4" x14ac:dyDescent="0.25">
      <c r="B16" s="5">
        <v>45386</v>
      </c>
      <c r="C16" s="2" t="s">
        <v>123</v>
      </c>
      <c r="D16" s="2" t="s">
        <v>124</v>
      </c>
    </row>
    <row r="17" spans="2:4" x14ac:dyDescent="0.25">
      <c r="B17" s="5">
        <v>45387</v>
      </c>
      <c r="C17" s="2" t="s">
        <v>125</v>
      </c>
      <c r="D17" s="2"/>
    </row>
    <row r="18" spans="2:4" x14ac:dyDescent="0.25">
      <c r="B18" s="5">
        <v>45387</v>
      </c>
      <c r="C18" s="2" t="s">
        <v>126</v>
      </c>
      <c r="D18" s="2"/>
    </row>
    <row r="19" spans="2:4" x14ac:dyDescent="0.25">
      <c r="B19" s="5">
        <v>45387</v>
      </c>
      <c r="C19" s="2" t="s">
        <v>127</v>
      </c>
      <c r="D19" s="2" t="s">
        <v>128</v>
      </c>
    </row>
    <row r="20" spans="2:4" x14ac:dyDescent="0.25">
      <c r="B20" s="5">
        <v>45387</v>
      </c>
      <c r="C20" s="2" t="s">
        <v>129</v>
      </c>
      <c r="D20" s="2" t="s">
        <v>130</v>
      </c>
    </row>
    <row r="21" spans="2:4" x14ac:dyDescent="0.25">
      <c r="B21" s="5">
        <v>45388</v>
      </c>
      <c r="C21" s="2" t="s">
        <v>130</v>
      </c>
      <c r="D21" s="2"/>
    </row>
    <row r="22" spans="2:4" x14ac:dyDescent="0.25">
      <c r="B22" s="5">
        <v>45389</v>
      </c>
      <c r="C22" s="2" t="s">
        <v>131</v>
      </c>
      <c r="D22" s="2"/>
    </row>
    <row r="23" spans="2:4" x14ac:dyDescent="0.25">
      <c r="B23" s="5">
        <v>45390</v>
      </c>
      <c r="C23" s="2" t="s">
        <v>131</v>
      </c>
      <c r="D23" s="2"/>
    </row>
    <row r="24" spans="2:4" x14ac:dyDescent="0.25">
      <c r="B24" s="5">
        <v>45391</v>
      </c>
      <c r="C24" s="2" t="s">
        <v>131</v>
      </c>
      <c r="D24" s="2"/>
    </row>
    <row r="25" spans="2:4" x14ac:dyDescent="0.25">
      <c r="B25" s="5">
        <v>45392</v>
      </c>
      <c r="C25" s="2" t="s">
        <v>131</v>
      </c>
      <c r="D25" s="2"/>
    </row>
    <row r="26" spans="2:4" x14ac:dyDescent="0.25">
      <c r="B26" s="5">
        <v>45393</v>
      </c>
      <c r="C26" s="2" t="s">
        <v>131</v>
      </c>
      <c r="D26" s="2"/>
    </row>
    <row r="27" spans="2:4" x14ac:dyDescent="0.25">
      <c r="B27" s="5">
        <v>45394</v>
      </c>
      <c r="C27" s="2" t="s">
        <v>131</v>
      </c>
      <c r="D27" s="2"/>
    </row>
    <row r="28" spans="2:4" x14ac:dyDescent="0.25">
      <c r="B28" s="5">
        <v>45395</v>
      </c>
      <c r="C28" s="2" t="s">
        <v>131</v>
      </c>
      <c r="D28" s="2"/>
    </row>
    <row r="29" spans="2:4" x14ac:dyDescent="0.25">
      <c r="B29" s="5">
        <v>45396</v>
      </c>
      <c r="C29" s="2" t="s">
        <v>131</v>
      </c>
      <c r="D29" s="2"/>
    </row>
    <row r="30" spans="2:4" x14ac:dyDescent="0.25">
      <c r="B30" s="5">
        <v>45397</v>
      </c>
      <c r="C30" s="2" t="s">
        <v>131</v>
      </c>
      <c r="D30" s="2"/>
    </row>
    <row r="31" spans="2:4" x14ac:dyDescent="0.25">
      <c r="B31" s="5">
        <v>45398</v>
      </c>
      <c r="C31" s="2" t="s">
        <v>132</v>
      </c>
      <c r="D31" s="2" t="s">
        <v>133</v>
      </c>
    </row>
    <row r="32" spans="2:4" x14ac:dyDescent="0.25">
      <c r="B32" s="5">
        <v>45399</v>
      </c>
      <c r="C32" s="2" t="s">
        <v>134</v>
      </c>
      <c r="D32" s="2"/>
    </row>
    <row r="33" spans="2:4" x14ac:dyDescent="0.25">
      <c r="B33" s="5">
        <v>45399</v>
      </c>
      <c r="C33" s="2" t="s">
        <v>133</v>
      </c>
      <c r="D33" s="2"/>
    </row>
    <row r="34" spans="2:4" x14ac:dyDescent="0.25">
      <c r="B34" s="5">
        <v>45399</v>
      </c>
      <c r="C34" s="2" t="s">
        <v>135</v>
      </c>
      <c r="D34" s="2"/>
    </row>
    <row r="35" spans="2:4" x14ac:dyDescent="0.25">
      <c r="B35" s="5">
        <v>45400</v>
      </c>
      <c r="C35" s="2" t="s">
        <v>136</v>
      </c>
      <c r="D35" s="2"/>
    </row>
    <row r="36" spans="2:4" x14ac:dyDescent="0.25">
      <c r="B36" s="5">
        <v>45400</v>
      </c>
      <c r="C36" s="2" t="s">
        <v>137</v>
      </c>
      <c r="D36" s="2"/>
    </row>
    <row r="37" spans="2:4" x14ac:dyDescent="0.25">
      <c r="B37" s="5">
        <v>45400</v>
      </c>
      <c r="C37" s="2" t="s">
        <v>138</v>
      </c>
      <c r="D37" s="2"/>
    </row>
    <row r="38" spans="2:4" x14ac:dyDescent="0.25">
      <c r="B38" s="5">
        <v>45400</v>
      </c>
      <c r="C38" s="2" t="s">
        <v>139</v>
      </c>
      <c r="D38" s="2" t="s">
        <v>140</v>
      </c>
    </row>
    <row r="39" spans="2:4" x14ac:dyDescent="0.25">
      <c r="B39" s="5">
        <v>45401</v>
      </c>
      <c r="C39" s="2" t="s">
        <v>140</v>
      </c>
      <c r="D39" s="2"/>
    </row>
    <row r="40" spans="2:4" x14ac:dyDescent="0.25">
      <c r="B40" s="5">
        <v>45401</v>
      </c>
      <c r="C40" s="2" t="s">
        <v>141</v>
      </c>
      <c r="D40" s="2"/>
    </row>
    <row r="41" spans="2:4" x14ac:dyDescent="0.25">
      <c r="B41" s="5">
        <v>45401</v>
      </c>
      <c r="C41" s="2" t="s">
        <v>142</v>
      </c>
      <c r="D41" s="2" t="s">
        <v>143</v>
      </c>
    </row>
    <row r="42" spans="2:4" x14ac:dyDescent="0.25">
      <c r="B42" s="5">
        <v>45402</v>
      </c>
      <c r="C42" s="2" t="s">
        <v>144</v>
      </c>
      <c r="D42" s="2" t="s">
        <v>145</v>
      </c>
    </row>
    <row r="43" spans="2:4" x14ac:dyDescent="0.25">
      <c r="B43" s="5">
        <v>45402</v>
      </c>
      <c r="C43" s="2" t="s">
        <v>146</v>
      </c>
      <c r="D43" s="2"/>
    </row>
    <row r="44" spans="2:4" x14ac:dyDescent="0.25">
      <c r="B44" s="5">
        <v>45402</v>
      </c>
      <c r="C44" s="2" t="s">
        <v>147</v>
      </c>
      <c r="D44" s="2"/>
    </row>
    <row r="45" spans="2:4" x14ac:dyDescent="0.25">
      <c r="B45" s="5">
        <v>45403</v>
      </c>
      <c r="C45" s="2" t="s">
        <v>148</v>
      </c>
      <c r="D45" s="2"/>
    </row>
    <row r="46" spans="2:4" x14ac:dyDescent="0.25">
      <c r="B46" s="5">
        <v>45403</v>
      </c>
      <c r="C46" s="2" t="s">
        <v>149</v>
      </c>
      <c r="D46" s="2"/>
    </row>
    <row r="47" spans="2:4" x14ac:dyDescent="0.25">
      <c r="B47" s="5">
        <v>45404</v>
      </c>
      <c r="C47" s="2" t="s">
        <v>149</v>
      </c>
      <c r="D47" s="2"/>
    </row>
    <row r="48" spans="2:4" x14ac:dyDescent="0.25">
      <c r="B48" s="5">
        <v>45404</v>
      </c>
      <c r="C48" s="2" t="s">
        <v>150</v>
      </c>
      <c r="D48" s="2"/>
    </row>
    <row r="49" spans="2:4" x14ac:dyDescent="0.25">
      <c r="B49" s="5">
        <v>45404</v>
      </c>
      <c r="C49" s="2" t="s">
        <v>151</v>
      </c>
      <c r="D49" s="2" t="s">
        <v>152</v>
      </c>
    </row>
    <row r="50" spans="2:4" x14ac:dyDescent="0.25">
      <c r="B50" s="5">
        <v>45405</v>
      </c>
      <c r="C50" s="2" t="s">
        <v>152</v>
      </c>
      <c r="D50" s="2"/>
    </row>
    <row r="51" spans="2:4" x14ac:dyDescent="0.25">
      <c r="B51" s="5">
        <v>45405</v>
      </c>
      <c r="C51" s="2" t="s">
        <v>153</v>
      </c>
      <c r="D51" s="2" t="s">
        <v>154</v>
      </c>
    </row>
    <row r="52" spans="2:4" x14ac:dyDescent="0.25">
      <c r="B52" s="5">
        <v>45407</v>
      </c>
      <c r="C52" s="2" t="s">
        <v>152</v>
      </c>
      <c r="D52" s="2"/>
    </row>
    <row r="53" spans="2:4" x14ac:dyDescent="0.25">
      <c r="B53" s="5">
        <v>45408</v>
      </c>
      <c r="C53" s="2" t="s">
        <v>155</v>
      </c>
      <c r="D53" s="2"/>
    </row>
    <row r="54" spans="2:4" x14ac:dyDescent="0.25">
      <c r="B54" s="5">
        <v>45409</v>
      </c>
      <c r="C54" s="2" t="s">
        <v>156</v>
      </c>
      <c r="D54" s="2"/>
    </row>
    <row r="55" spans="2:4" x14ac:dyDescent="0.25">
      <c r="B55" s="5">
        <v>45410</v>
      </c>
      <c r="C55" s="2" t="s">
        <v>157</v>
      </c>
      <c r="D55" s="2"/>
    </row>
    <row r="56" spans="2:4" x14ac:dyDescent="0.25">
      <c r="B56" s="5">
        <v>45411</v>
      </c>
      <c r="C56" s="2" t="s">
        <v>158</v>
      </c>
      <c r="D56" s="2"/>
    </row>
    <row r="57" spans="2:4" x14ac:dyDescent="0.25">
      <c r="B57" s="5">
        <v>45412</v>
      </c>
      <c r="C57" s="2" t="s">
        <v>159</v>
      </c>
      <c r="D57" s="2" t="s">
        <v>160</v>
      </c>
    </row>
    <row r="58" spans="2:4" x14ac:dyDescent="0.25">
      <c r="B58" s="12" t="s">
        <v>161</v>
      </c>
      <c r="C58" s="2" t="s">
        <v>162</v>
      </c>
      <c r="D58" s="2" t="s">
        <v>163</v>
      </c>
    </row>
    <row r="59" spans="2:4" x14ac:dyDescent="0.25">
      <c r="B59" s="12" t="s">
        <v>164</v>
      </c>
      <c r="C59" s="2"/>
      <c r="D59" s="2" t="s">
        <v>165</v>
      </c>
    </row>
    <row r="60" spans="2:4" x14ac:dyDescent="0.25">
      <c r="B60" s="12" t="s">
        <v>166</v>
      </c>
      <c r="C60" s="2" t="s">
        <v>167</v>
      </c>
      <c r="D60" s="2"/>
    </row>
    <row r="61" spans="2:4" x14ac:dyDescent="0.25">
      <c r="B61" s="12" t="s">
        <v>166</v>
      </c>
      <c r="C61" s="2" t="s">
        <v>168</v>
      </c>
      <c r="D61" s="2"/>
    </row>
    <row r="62" spans="2:4" x14ac:dyDescent="0.25">
      <c r="B62" s="12" t="s">
        <v>169</v>
      </c>
      <c r="C62" s="2" t="s">
        <v>170</v>
      </c>
      <c r="D62" s="2"/>
    </row>
    <row r="63" spans="2:4" x14ac:dyDescent="0.25">
      <c r="B63" s="12" t="s">
        <v>169</v>
      </c>
      <c r="C63" s="2" t="s">
        <v>171</v>
      </c>
      <c r="D63" s="2"/>
    </row>
    <row r="64" spans="2:4" x14ac:dyDescent="0.25">
      <c r="B64" s="12" t="s">
        <v>169</v>
      </c>
      <c r="C64" s="2" t="s">
        <v>172</v>
      </c>
      <c r="D64" s="2"/>
    </row>
    <row r="65" spans="2:4" x14ac:dyDescent="0.25">
      <c r="B65" s="12" t="s">
        <v>173</v>
      </c>
      <c r="C65" s="2" t="s">
        <v>174</v>
      </c>
      <c r="D65" s="2"/>
    </row>
    <row r="66" spans="2:4" x14ac:dyDescent="0.25">
      <c r="B66" s="12" t="s">
        <v>173</v>
      </c>
      <c r="C66" s="2" t="s">
        <v>175</v>
      </c>
      <c r="D66" s="2"/>
    </row>
    <row r="67" spans="2:4" x14ac:dyDescent="0.25">
      <c r="B67" s="12" t="s">
        <v>173</v>
      </c>
      <c r="C67" s="2" t="s">
        <v>176</v>
      </c>
      <c r="D67" s="2"/>
    </row>
    <row r="68" spans="2:4" x14ac:dyDescent="0.25">
      <c r="B68" s="12" t="s">
        <v>173</v>
      </c>
      <c r="C68" s="2" t="s">
        <v>177</v>
      </c>
      <c r="D68" s="2"/>
    </row>
    <row r="69" spans="2:4" x14ac:dyDescent="0.25">
      <c r="B69" s="12" t="s">
        <v>178</v>
      </c>
      <c r="C69" s="2" t="s">
        <v>179</v>
      </c>
      <c r="D69" s="2"/>
    </row>
    <row r="70" spans="2:4" x14ac:dyDescent="0.25">
      <c r="B70" s="12" t="s">
        <v>178</v>
      </c>
      <c r="C70" s="2" t="s">
        <v>180</v>
      </c>
      <c r="D70" s="2"/>
    </row>
    <row r="71" spans="2:4" x14ac:dyDescent="0.25">
      <c r="B71" s="12" t="s">
        <v>178</v>
      </c>
      <c r="C71" s="2" t="s">
        <v>181</v>
      </c>
      <c r="D71" s="2"/>
    </row>
    <row r="72" spans="2:4" x14ac:dyDescent="0.25">
      <c r="B72" s="12" t="s">
        <v>182</v>
      </c>
      <c r="C72" s="2" t="s">
        <v>183</v>
      </c>
      <c r="D72" s="2"/>
    </row>
    <row r="73" spans="2:4" x14ac:dyDescent="0.25">
      <c r="B73" s="12" t="s">
        <v>182</v>
      </c>
      <c r="C73" s="2" t="s">
        <v>184</v>
      </c>
      <c r="D73" s="2"/>
    </row>
    <row r="74" spans="2:4" x14ac:dyDescent="0.25">
      <c r="B74" s="12" t="s">
        <v>185</v>
      </c>
      <c r="C74" s="2" t="s">
        <v>186</v>
      </c>
      <c r="D74" s="2"/>
    </row>
    <row r="75" spans="2:4" x14ac:dyDescent="0.25">
      <c r="B75" s="12" t="s">
        <v>187</v>
      </c>
      <c r="C75" s="2" t="s">
        <v>188</v>
      </c>
      <c r="D75" s="2"/>
    </row>
    <row r="76" spans="2:4" x14ac:dyDescent="0.25">
      <c r="B76" s="12" t="s">
        <v>189</v>
      </c>
      <c r="C76" s="2" t="s">
        <v>190</v>
      </c>
      <c r="D76" s="2"/>
    </row>
    <row r="77" spans="2:4" x14ac:dyDescent="0.25">
      <c r="B77" s="12" t="s">
        <v>191</v>
      </c>
      <c r="C77" s="2" t="s">
        <v>192</v>
      </c>
      <c r="D77" s="2"/>
    </row>
    <row r="78" spans="2:4" x14ac:dyDescent="0.25">
      <c r="B78" s="12" t="s">
        <v>193</v>
      </c>
      <c r="C78" s="2" t="s">
        <v>192</v>
      </c>
      <c r="D78" s="2"/>
    </row>
    <row r="79" spans="2:4" x14ac:dyDescent="0.25">
      <c r="B79" s="12" t="s">
        <v>194</v>
      </c>
      <c r="C79" s="2" t="s">
        <v>195</v>
      </c>
      <c r="D79" s="2"/>
    </row>
    <row r="80" spans="2:4" x14ac:dyDescent="0.25">
      <c r="B80" s="12" t="s">
        <v>196</v>
      </c>
      <c r="C80" s="2" t="s">
        <v>197</v>
      </c>
      <c r="D80" s="2"/>
    </row>
    <row r="81" spans="2:4" x14ac:dyDescent="0.25">
      <c r="B81" s="12" t="s">
        <v>196</v>
      </c>
      <c r="C81" s="2" t="s">
        <v>198</v>
      </c>
      <c r="D81" s="2"/>
    </row>
    <row r="82" spans="2:4" x14ac:dyDescent="0.25">
      <c r="B82" s="12" t="s">
        <v>196</v>
      </c>
      <c r="C82" s="2" t="s">
        <v>199</v>
      </c>
      <c r="D82" s="2"/>
    </row>
    <row r="83" spans="2:4" x14ac:dyDescent="0.25">
      <c r="B83" s="12" t="s">
        <v>200</v>
      </c>
      <c r="C83" s="2" t="s">
        <v>201</v>
      </c>
      <c r="D83" s="2"/>
    </row>
    <row r="84" spans="2:4" x14ac:dyDescent="0.25">
      <c r="B84" s="12" t="s">
        <v>202</v>
      </c>
      <c r="C84" s="2" t="s">
        <v>149</v>
      </c>
      <c r="D84" s="2"/>
    </row>
    <row r="85" spans="2:4" x14ac:dyDescent="0.25">
      <c r="B85" s="12" t="s">
        <v>202</v>
      </c>
      <c r="C85" s="2" t="s">
        <v>203</v>
      </c>
      <c r="D85" s="2"/>
    </row>
    <row r="86" spans="2:4" x14ac:dyDescent="0.25">
      <c r="B86" s="12" t="s">
        <v>202</v>
      </c>
      <c r="C86" s="2" t="s">
        <v>204</v>
      </c>
      <c r="D86" s="2"/>
    </row>
    <row r="87" spans="2:4" x14ac:dyDescent="0.25">
      <c r="B87" s="12" t="s">
        <v>202</v>
      </c>
      <c r="C87" s="2" t="s">
        <v>205</v>
      </c>
      <c r="D87" s="2"/>
    </row>
    <row r="88" spans="2:4" x14ac:dyDescent="0.25">
      <c r="B88" s="12" t="s">
        <v>206</v>
      </c>
      <c r="C88" s="2" t="s">
        <v>207</v>
      </c>
      <c r="D88" s="2"/>
    </row>
    <row r="89" spans="2:4" x14ac:dyDescent="0.25">
      <c r="B89" s="12" t="s">
        <v>208</v>
      </c>
      <c r="C89" s="2" t="s">
        <v>209</v>
      </c>
      <c r="D89" s="2"/>
    </row>
    <row r="90" spans="2:4" x14ac:dyDescent="0.25">
      <c r="B90" s="12" t="s">
        <v>210</v>
      </c>
      <c r="C90" s="2" t="s">
        <v>211</v>
      </c>
      <c r="D90" s="2"/>
    </row>
    <row r="91" spans="2:4" x14ac:dyDescent="0.25">
      <c r="B91" s="12" t="s">
        <v>212</v>
      </c>
      <c r="C91" s="2" t="s">
        <v>213</v>
      </c>
      <c r="D91" s="2"/>
    </row>
    <row r="92" spans="2:4" x14ac:dyDescent="0.25">
      <c r="B92" s="12" t="s">
        <v>214</v>
      </c>
      <c r="C92" s="2" t="s">
        <v>149</v>
      </c>
      <c r="D92" s="2"/>
    </row>
    <row r="93" spans="2:4" x14ac:dyDescent="0.25">
      <c r="B93" s="12" t="s">
        <v>214</v>
      </c>
      <c r="C93" s="2" t="s">
        <v>215</v>
      </c>
      <c r="D93" s="2"/>
    </row>
    <row r="94" spans="2:4" x14ac:dyDescent="0.25">
      <c r="B94" s="12" t="s">
        <v>214</v>
      </c>
      <c r="C94" s="2" t="s">
        <v>216</v>
      </c>
      <c r="D94" s="2"/>
    </row>
    <row r="95" spans="2:4" x14ac:dyDescent="0.25">
      <c r="B95" s="12" t="s">
        <v>217</v>
      </c>
      <c r="C95" s="2" t="s">
        <v>218</v>
      </c>
      <c r="D95" s="2"/>
    </row>
    <row r="96" spans="2:4" x14ac:dyDescent="0.25">
      <c r="B96" s="12" t="s">
        <v>217</v>
      </c>
      <c r="C96" s="2" t="s">
        <v>149</v>
      </c>
      <c r="D96" s="2"/>
    </row>
    <row r="97" spans="2:4" x14ac:dyDescent="0.25">
      <c r="B97" s="12" t="s">
        <v>219</v>
      </c>
      <c r="C97" s="2" t="s">
        <v>220</v>
      </c>
      <c r="D97" s="2"/>
    </row>
    <row r="98" spans="2:4" x14ac:dyDescent="0.25">
      <c r="B98" s="12" t="s">
        <v>219</v>
      </c>
      <c r="C98" s="2" t="s">
        <v>221</v>
      </c>
      <c r="D98" s="2"/>
    </row>
    <row r="99" spans="2:4" x14ac:dyDescent="0.25">
      <c r="B99" s="12" t="s">
        <v>219</v>
      </c>
      <c r="C99" s="2" t="s">
        <v>222</v>
      </c>
      <c r="D99" s="2"/>
    </row>
    <row r="100" spans="2:4" x14ac:dyDescent="0.25">
      <c r="B100" s="12" t="s">
        <v>223</v>
      </c>
      <c r="C100" s="2" t="s">
        <v>224</v>
      </c>
      <c r="D100" s="2"/>
    </row>
    <row r="101" spans="2:4" x14ac:dyDescent="0.25">
      <c r="B101" s="12" t="s">
        <v>223</v>
      </c>
      <c r="C101" s="2" t="s">
        <v>225</v>
      </c>
      <c r="D101" s="2"/>
    </row>
    <row r="102" spans="2:4" x14ac:dyDescent="0.25">
      <c r="B102" s="12" t="s">
        <v>223</v>
      </c>
      <c r="C102" s="2" t="s">
        <v>226</v>
      </c>
      <c r="D102" s="2"/>
    </row>
    <row r="103" spans="2:4" x14ac:dyDescent="0.25">
      <c r="B103" s="12" t="s">
        <v>223</v>
      </c>
      <c r="C103" s="2" t="s">
        <v>227</v>
      </c>
      <c r="D103" s="2"/>
    </row>
    <row r="104" spans="2:4" x14ac:dyDescent="0.25">
      <c r="B104" s="12" t="s">
        <v>228</v>
      </c>
      <c r="C104" s="2" t="s">
        <v>229</v>
      </c>
      <c r="D104" s="2"/>
    </row>
    <row r="105" spans="2:4" x14ac:dyDescent="0.25">
      <c r="B105" s="12" t="s">
        <v>228</v>
      </c>
      <c r="C105" s="2" t="s">
        <v>230</v>
      </c>
      <c r="D105" s="2"/>
    </row>
    <row r="106" spans="2:4" x14ac:dyDescent="0.25">
      <c r="B106" s="12" t="s">
        <v>228</v>
      </c>
      <c r="C106" s="2" t="s">
        <v>231</v>
      </c>
      <c r="D106" s="2"/>
    </row>
    <row r="107" spans="2:4" x14ac:dyDescent="0.25">
      <c r="B107" s="12" t="s">
        <v>232</v>
      </c>
      <c r="C107" s="2" t="s">
        <v>233</v>
      </c>
      <c r="D107" s="2"/>
    </row>
    <row r="108" spans="2:4" x14ac:dyDescent="0.25">
      <c r="B108" s="12" t="s">
        <v>232</v>
      </c>
      <c r="C108" s="2" t="s">
        <v>234</v>
      </c>
      <c r="D108" s="2"/>
    </row>
    <row r="109" spans="2:4" x14ac:dyDescent="0.25">
      <c r="B109" s="12" t="s">
        <v>232</v>
      </c>
      <c r="C109" s="2" t="s">
        <v>235</v>
      </c>
      <c r="D109" s="2" t="s">
        <v>236</v>
      </c>
    </row>
    <row r="110" spans="2:4" x14ac:dyDescent="0.25">
      <c r="B110" s="12" t="s">
        <v>237</v>
      </c>
      <c r="C110" s="2" t="s">
        <v>238</v>
      </c>
      <c r="D110" s="2"/>
    </row>
    <row r="111" spans="2:4" x14ac:dyDescent="0.25">
      <c r="B111" s="12" t="s">
        <v>237</v>
      </c>
      <c r="C111" s="2" t="s">
        <v>239</v>
      </c>
      <c r="D111" s="2"/>
    </row>
    <row r="112" spans="2:4" x14ac:dyDescent="0.25">
      <c r="B112" s="12" t="s">
        <v>237</v>
      </c>
      <c r="C112" s="2" t="s">
        <v>240</v>
      </c>
      <c r="D112" s="2"/>
    </row>
    <row r="113" spans="2:4" x14ac:dyDescent="0.25">
      <c r="B113" s="12" t="s">
        <v>241</v>
      </c>
      <c r="C113" s="2" t="s">
        <v>242</v>
      </c>
      <c r="D113" s="2"/>
    </row>
    <row r="114" spans="2:4" x14ac:dyDescent="0.25">
      <c r="B114" s="12" t="s">
        <v>241</v>
      </c>
      <c r="C114" s="2" t="s">
        <v>243</v>
      </c>
      <c r="D114" s="2"/>
    </row>
    <row r="115" spans="2:4" x14ac:dyDescent="0.25">
      <c r="B115" s="12" t="s">
        <v>241</v>
      </c>
      <c r="C115" s="2" t="s">
        <v>244</v>
      </c>
      <c r="D115" s="2"/>
    </row>
    <row r="116" spans="2:4" x14ac:dyDescent="0.25">
      <c r="B116" s="12" t="s">
        <v>241</v>
      </c>
      <c r="C116" s="2" t="s">
        <v>245</v>
      </c>
      <c r="D116" s="2"/>
    </row>
    <row r="117" spans="2:4" x14ac:dyDescent="0.25">
      <c r="B117" s="12" t="s">
        <v>246</v>
      </c>
      <c r="C117" s="2" t="s">
        <v>247</v>
      </c>
      <c r="D117" s="2"/>
    </row>
    <row r="118" spans="2:4" x14ac:dyDescent="0.25">
      <c r="B118" s="12" t="s">
        <v>246</v>
      </c>
      <c r="C118" s="2" t="s">
        <v>248</v>
      </c>
      <c r="D118" s="2"/>
    </row>
    <row r="119" spans="2:4" x14ac:dyDescent="0.25">
      <c r="B119" s="12" t="s">
        <v>246</v>
      </c>
      <c r="C119" s="2" t="s">
        <v>249</v>
      </c>
      <c r="D119" s="2" t="s">
        <v>250</v>
      </c>
    </row>
    <row r="120" spans="2:4" x14ac:dyDescent="0.25">
      <c r="B120" s="12" t="s">
        <v>251</v>
      </c>
      <c r="C120" s="2" t="s">
        <v>252</v>
      </c>
      <c r="D120" s="2"/>
    </row>
    <row r="121" spans="2:4" x14ac:dyDescent="0.25">
      <c r="B121" s="12" t="s">
        <v>251</v>
      </c>
      <c r="C121" s="2" t="s">
        <v>253</v>
      </c>
      <c r="D121" s="2"/>
    </row>
    <row r="122" spans="2:4" x14ac:dyDescent="0.25">
      <c r="B122" s="12" t="s">
        <v>251</v>
      </c>
      <c r="C122" s="2" t="s">
        <v>254</v>
      </c>
      <c r="D122" s="2"/>
    </row>
    <row r="123" spans="2:4" x14ac:dyDescent="0.25">
      <c r="B123" s="12" t="s">
        <v>255</v>
      </c>
      <c r="C123" s="2" t="s">
        <v>252</v>
      </c>
      <c r="D123" s="2"/>
    </row>
    <row r="124" spans="2:4" x14ac:dyDescent="0.25">
      <c r="B124" s="12" t="s">
        <v>255</v>
      </c>
      <c r="C124" s="2" t="s">
        <v>256</v>
      </c>
      <c r="D124" s="2"/>
    </row>
    <row r="125" spans="2:4" x14ac:dyDescent="0.25">
      <c r="B125" s="12" t="s">
        <v>255</v>
      </c>
      <c r="C125" s="2" t="s">
        <v>149</v>
      </c>
      <c r="D125" s="2"/>
    </row>
    <row r="126" spans="2:4" x14ac:dyDescent="0.25">
      <c r="B126" s="12" t="s">
        <v>255</v>
      </c>
      <c r="C126" s="2" t="s">
        <v>257</v>
      </c>
      <c r="D126" s="2"/>
    </row>
    <row r="127" spans="2:4" x14ac:dyDescent="0.25">
      <c r="B127" s="12" t="s">
        <v>258</v>
      </c>
      <c r="C127" s="2" t="s">
        <v>259</v>
      </c>
      <c r="D127" s="2"/>
    </row>
    <row r="128" spans="2:4" x14ac:dyDescent="0.25">
      <c r="B128" s="12" t="s">
        <v>258</v>
      </c>
      <c r="C128" s="2" t="s">
        <v>260</v>
      </c>
      <c r="D128" s="2"/>
    </row>
    <row r="129" spans="2:4" x14ac:dyDescent="0.25">
      <c r="B129" s="12" t="s">
        <v>258</v>
      </c>
      <c r="C129" s="2" t="s">
        <v>261</v>
      </c>
      <c r="D129" s="2"/>
    </row>
    <row r="130" spans="2:4" x14ac:dyDescent="0.25">
      <c r="B130" s="12" t="s">
        <v>258</v>
      </c>
      <c r="C130" s="2" t="s">
        <v>262</v>
      </c>
      <c r="D130" s="2"/>
    </row>
    <row r="131" spans="2:4" x14ac:dyDescent="0.25">
      <c r="B131" s="12" t="s">
        <v>263</v>
      </c>
      <c r="C131" s="2" t="s">
        <v>264</v>
      </c>
      <c r="D131" s="2"/>
    </row>
    <row r="132" spans="2:4" x14ac:dyDescent="0.25">
      <c r="B132" s="12" t="s">
        <v>263</v>
      </c>
      <c r="C132" s="2" t="s">
        <v>265</v>
      </c>
      <c r="D132" s="2"/>
    </row>
    <row r="133" spans="2:4" x14ac:dyDescent="0.25">
      <c r="B133" s="12" t="s">
        <v>263</v>
      </c>
      <c r="C133" s="2" t="s">
        <v>266</v>
      </c>
      <c r="D133" s="2"/>
    </row>
    <row r="134" spans="2:4" x14ac:dyDescent="0.25">
      <c r="B134" s="12" t="s">
        <v>263</v>
      </c>
      <c r="C134" s="2" t="s">
        <v>267</v>
      </c>
      <c r="D134" s="2"/>
    </row>
    <row r="135" spans="2:4" x14ac:dyDescent="0.25">
      <c r="B135" s="12" t="s">
        <v>263</v>
      </c>
      <c r="C135" s="2" t="s">
        <v>268</v>
      </c>
      <c r="D135" s="2"/>
    </row>
    <row r="136" spans="2:4" x14ac:dyDescent="0.25">
      <c r="B136" s="12" t="s">
        <v>269</v>
      </c>
      <c r="C136" s="2" t="s">
        <v>270</v>
      </c>
      <c r="D136" s="2"/>
    </row>
    <row r="137" spans="2:4" x14ac:dyDescent="0.25">
      <c r="B137" s="12" t="s">
        <v>269</v>
      </c>
      <c r="C137" s="2" t="s">
        <v>271</v>
      </c>
      <c r="D137" s="2"/>
    </row>
    <row r="138" spans="2:4" x14ac:dyDescent="0.25">
      <c r="B138" s="12" t="s">
        <v>269</v>
      </c>
      <c r="C138" s="2" t="s">
        <v>272</v>
      </c>
      <c r="D138" s="2"/>
    </row>
    <row r="139" spans="2:4" x14ac:dyDescent="0.25">
      <c r="B139" s="12" t="s">
        <v>269</v>
      </c>
      <c r="C139" s="2" t="s">
        <v>273</v>
      </c>
      <c r="D139" s="2"/>
    </row>
    <row r="140" spans="2:4" x14ac:dyDescent="0.25">
      <c r="B140" s="12" t="s">
        <v>269</v>
      </c>
      <c r="C140" s="2" t="s">
        <v>274</v>
      </c>
      <c r="D140" s="2"/>
    </row>
    <row r="141" spans="2:4" x14ac:dyDescent="0.25">
      <c r="B141" s="12" t="s">
        <v>275</v>
      </c>
      <c r="C141" s="2" t="s">
        <v>276</v>
      </c>
      <c r="D141" s="2"/>
    </row>
    <row r="142" spans="2:4" x14ac:dyDescent="0.25">
      <c r="B142" s="12" t="s">
        <v>275</v>
      </c>
      <c r="C142" s="2" t="s">
        <v>277</v>
      </c>
      <c r="D142" s="2"/>
    </row>
    <row r="143" spans="2:4" x14ac:dyDescent="0.25">
      <c r="B143" s="12" t="s">
        <v>275</v>
      </c>
      <c r="C143" s="2" t="s">
        <v>278</v>
      </c>
      <c r="D143" s="2"/>
    </row>
    <row r="144" spans="2:4" x14ac:dyDescent="0.25">
      <c r="B144" s="12" t="s">
        <v>698</v>
      </c>
      <c r="C144" s="2" t="s">
        <v>703</v>
      </c>
      <c r="D144" s="2"/>
    </row>
    <row r="145" spans="2:4" x14ac:dyDescent="0.25">
      <c r="B145" s="12" t="s">
        <v>698</v>
      </c>
      <c r="C145" s="2" t="s">
        <v>265</v>
      </c>
      <c r="D145" s="2"/>
    </row>
    <row r="146" spans="2:4" x14ac:dyDescent="0.25">
      <c r="B146" s="12" t="s">
        <v>698</v>
      </c>
      <c r="C146" s="2" t="s">
        <v>704</v>
      </c>
      <c r="D146" s="2"/>
    </row>
    <row r="147" spans="2:4" x14ac:dyDescent="0.25">
      <c r="B147" s="12" t="s">
        <v>698</v>
      </c>
      <c r="C147" s="2" t="s">
        <v>705</v>
      </c>
      <c r="D147" s="2"/>
    </row>
    <row r="148" spans="2:4" x14ac:dyDescent="0.25">
      <c r="B148" s="12" t="s">
        <v>710</v>
      </c>
      <c r="C148" s="2" t="s">
        <v>716</v>
      </c>
      <c r="D148" s="2"/>
    </row>
    <row r="149" spans="2:4" x14ac:dyDescent="0.25">
      <c r="B149" s="12" t="s">
        <v>710</v>
      </c>
      <c r="C149" s="2" t="s">
        <v>717</v>
      </c>
      <c r="D149" s="2"/>
    </row>
    <row r="150" spans="2:4" x14ac:dyDescent="0.25">
      <c r="B150" s="12" t="s">
        <v>710</v>
      </c>
      <c r="C150" s="2" t="s">
        <v>718</v>
      </c>
      <c r="D150" s="2"/>
    </row>
    <row r="151" spans="2:4" x14ac:dyDescent="0.25">
      <c r="B151" s="12" t="s">
        <v>722</v>
      </c>
      <c r="C151" s="2" t="s">
        <v>730</v>
      </c>
      <c r="D151" s="2"/>
    </row>
    <row r="152" spans="2:4" x14ac:dyDescent="0.25">
      <c r="B152" s="12" t="s">
        <v>722</v>
      </c>
      <c r="C152" s="2" t="s">
        <v>729</v>
      </c>
      <c r="D152" s="2"/>
    </row>
    <row r="153" spans="2:4" x14ac:dyDescent="0.25">
      <c r="B153" s="12" t="s">
        <v>722</v>
      </c>
      <c r="C153" s="2" t="s">
        <v>731</v>
      </c>
      <c r="D153" s="2"/>
    </row>
    <row r="154" spans="2:4" x14ac:dyDescent="0.25">
      <c r="B154" s="12" t="s">
        <v>723</v>
      </c>
      <c r="C154" s="2" t="s">
        <v>149</v>
      </c>
      <c r="D154" s="2"/>
    </row>
    <row r="155" spans="2:4" x14ac:dyDescent="0.25">
      <c r="B155" s="12" t="s">
        <v>723</v>
      </c>
      <c r="C155" s="2" t="s">
        <v>734</v>
      </c>
      <c r="D155" s="2"/>
    </row>
    <row r="156" spans="2:4" x14ac:dyDescent="0.25">
      <c r="B156" s="12" t="s">
        <v>723</v>
      </c>
      <c r="C156" s="2" t="s">
        <v>735</v>
      </c>
      <c r="D156" s="2"/>
    </row>
    <row r="157" spans="2:4" x14ac:dyDescent="0.25">
      <c r="B157" s="12" t="s">
        <v>723</v>
      </c>
      <c r="C157" s="2" t="s">
        <v>736</v>
      </c>
      <c r="D157" s="2"/>
    </row>
    <row r="158" spans="2:4" x14ac:dyDescent="0.25">
      <c r="B158" s="12" t="s">
        <v>745</v>
      </c>
      <c r="C158" s="2" t="s">
        <v>230</v>
      </c>
      <c r="D158" s="2"/>
    </row>
    <row r="159" spans="2:4" x14ac:dyDescent="0.25">
      <c r="B159" s="12" t="s">
        <v>745</v>
      </c>
      <c r="C159" s="2" t="s">
        <v>748</v>
      </c>
      <c r="D159" s="2"/>
    </row>
    <row r="160" spans="2:4" x14ac:dyDescent="0.25">
      <c r="B160" s="12" t="s">
        <v>745</v>
      </c>
      <c r="C160" s="2" t="s">
        <v>749</v>
      </c>
      <c r="D160" s="2"/>
    </row>
    <row r="161" spans="2:4" x14ac:dyDescent="0.25">
      <c r="B161" s="12" t="s">
        <v>754</v>
      </c>
      <c r="C161" s="2" t="s">
        <v>759</v>
      </c>
      <c r="D161" s="2"/>
    </row>
    <row r="162" spans="2:4" x14ac:dyDescent="0.25">
      <c r="B162" s="12" t="s">
        <v>754</v>
      </c>
      <c r="C162" s="2" t="s">
        <v>760</v>
      </c>
      <c r="D162" s="2"/>
    </row>
    <row r="163" spans="2:4" x14ac:dyDescent="0.25">
      <c r="B163" s="12" t="s">
        <v>754</v>
      </c>
      <c r="C163" s="2" t="s">
        <v>109</v>
      </c>
      <c r="D163" s="2"/>
    </row>
    <row r="164" spans="2:4" x14ac:dyDescent="0.25">
      <c r="B164" s="12" t="s">
        <v>754</v>
      </c>
      <c r="C164" s="2" t="s">
        <v>761</v>
      </c>
      <c r="D164" s="2"/>
    </row>
    <row r="165" spans="2:4" x14ac:dyDescent="0.25">
      <c r="B165" s="12" t="s">
        <v>754</v>
      </c>
      <c r="C165" s="2" t="s">
        <v>762</v>
      </c>
      <c r="D165" s="2"/>
    </row>
    <row r="166" spans="2:4" x14ac:dyDescent="0.25">
      <c r="B166" s="12" t="s">
        <v>763</v>
      </c>
      <c r="C166" s="2" t="s">
        <v>770</v>
      </c>
      <c r="D166" s="2"/>
    </row>
    <row r="167" spans="2:4" x14ac:dyDescent="0.25">
      <c r="B167" s="12" t="s">
        <v>763</v>
      </c>
      <c r="C167" s="2" t="s">
        <v>771</v>
      </c>
      <c r="D167" s="2"/>
    </row>
    <row r="168" spans="2:4" x14ac:dyDescent="0.25">
      <c r="B168" s="12" t="s">
        <v>763</v>
      </c>
      <c r="C168" s="2" t="s">
        <v>772</v>
      </c>
      <c r="D168" s="2"/>
    </row>
    <row r="169" spans="2:4" x14ac:dyDescent="0.25">
      <c r="B169" s="12" t="s">
        <v>775</v>
      </c>
      <c r="C169" s="2" t="s">
        <v>149</v>
      </c>
      <c r="D169" s="2"/>
    </row>
    <row r="170" spans="2:4" x14ac:dyDescent="0.25">
      <c r="B170" s="12" t="s">
        <v>775</v>
      </c>
      <c r="C170" s="2" t="s">
        <v>773</v>
      </c>
      <c r="D170" s="2"/>
    </row>
    <row r="171" spans="2:4" x14ac:dyDescent="0.25">
      <c r="B171" s="12" t="s">
        <v>775</v>
      </c>
      <c r="C171" s="2" t="s">
        <v>774</v>
      </c>
      <c r="D171" s="2"/>
    </row>
    <row r="172" spans="2:4" x14ac:dyDescent="0.25">
      <c r="B172" s="12" t="s">
        <v>780</v>
      </c>
      <c r="C172" s="2" t="s">
        <v>783</v>
      </c>
      <c r="D172" s="2"/>
    </row>
    <row r="173" spans="2:4" x14ac:dyDescent="0.25">
      <c r="B173" s="12" t="s">
        <v>780</v>
      </c>
      <c r="C173" s="2" t="s">
        <v>784</v>
      </c>
      <c r="D173" s="2"/>
    </row>
    <row r="174" spans="2:4" x14ac:dyDescent="0.25">
      <c r="B174" s="12" t="s">
        <v>780</v>
      </c>
      <c r="C174" s="2" t="s">
        <v>785</v>
      </c>
      <c r="D174" s="2"/>
    </row>
    <row r="175" spans="2:4" x14ac:dyDescent="0.25">
      <c r="B175" s="12" t="s">
        <v>780</v>
      </c>
      <c r="C175" s="2" t="s">
        <v>786</v>
      </c>
      <c r="D175" s="2"/>
    </row>
    <row r="176" spans="2:4" x14ac:dyDescent="0.25">
      <c r="B176" s="12" t="s">
        <v>780</v>
      </c>
      <c r="C176" s="2" t="s">
        <v>787</v>
      </c>
      <c r="D176" s="2"/>
    </row>
    <row r="177" spans="2:4" x14ac:dyDescent="0.25">
      <c r="B177" s="12" t="s">
        <v>821</v>
      </c>
      <c r="C177" s="2" t="s">
        <v>818</v>
      </c>
      <c r="D177" s="2"/>
    </row>
    <row r="178" spans="2:4" x14ac:dyDescent="0.25">
      <c r="B178" s="12" t="s">
        <v>821</v>
      </c>
      <c r="C178" s="2" t="s">
        <v>819</v>
      </c>
      <c r="D178" s="2"/>
    </row>
    <row r="179" spans="2:4" x14ac:dyDescent="0.25">
      <c r="B179" s="12" t="s">
        <v>821</v>
      </c>
      <c r="C179" s="2" t="s">
        <v>820</v>
      </c>
      <c r="D179" s="2"/>
    </row>
    <row r="180" spans="2:4" x14ac:dyDescent="0.25">
      <c r="B180" s="12" t="s">
        <v>833</v>
      </c>
      <c r="C180" s="2" t="s">
        <v>834</v>
      </c>
      <c r="D180" s="2"/>
    </row>
    <row r="181" spans="2:4" x14ac:dyDescent="0.25">
      <c r="B181" s="12" t="s">
        <v>833</v>
      </c>
      <c r="C181" s="2" t="s">
        <v>835</v>
      </c>
      <c r="D181" s="2"/>
    </row>
    <row r="182" spans="2:4" x14ac:dyDescent="0.25">
      <c r="B182" s="12" t="s">
        <v>833</v>
      </c>
      <c r="C182" s="2" t="s">
        <v>836</v>
      </c>
      <c r="D182" s="2"/>
    </row>
    <row r="183" spans="2:4" x14ac:dyDescent="0.25">
      <c r="B183" s="12" t="s">
        <v>833</v>
      </c>
      <c r="C183" s="2" t="s">
        <v>837</v>
      </c>
      <c r="D183" s="2"/>
    </row>
    <row r="184" spans="2:4" x14ac:dyDescent="0.25">
      <c r="B184" s="12" t="s">
        <v>838</v>
      </c>
      <c r="C184" s="2" t="s">
        <v>840</v>
      </c>
      <c r="D184" s="2"/>
    </row>
    <row r="185" spans="2:4" x14ac:dyDescent="0.25">
      <c r="B185" s="12" t="s">
        <v>838</v>
      </c>
      <c r="C185" s="2" t="s">
        <v>841</v>
      </c>
      <c r="D185" s="2"/>
    </row>
    <row r="186" spans="2:4" x14ac:dyDescent="0.25">
      <c r="B186" s="12" t="s">
        <v>839</v>
      </c>
      <c r="C186" s="2" t="s">
        <v>842</v>
      </c>
      <c r="D186" s="2"/>
    </row>
    <row r="187" spans="2:4" x14ac:dyDescent="0.25">
      <c r="B187" s="12" t="s">
        <v>861</v>
      </c>
      <c r="C187" s="2" t="s">
        <v>865</v>
      </c>
      <c r="D187" s="2"/>
    </row>
    <row r="188" spans="2:4" x14ac:dyDescent="0.25">
      <c r="B188" s="12" t="s">
        <v>871</v>
      </c>
      <c r="C188" s="2" t="s">
        <v>872</v>
      </c>
      <c r="D188" s="2"/>
    </row>
    <row r="189" spans="2:4" x14ac:dyDescent="0.25">
      <c r="B189" s="12" t="s">
        <v>895</v>
      </c>
      <c r="C189" s="2" t="s">
        <v>872</v>
      </c>
      <c r="D189" s="2"/>
    </row>
    <row r="190" spans="2:4" x14ac:dyDescent="0.25">
      <c r="B190" s="12" t="s">
        <v>903</v>
      </c>
      <c r="C190" s="2" t="s">
        <v>904</v>
      </c>
      <c r="D190" s="2"/>
    </row>
    <row r="191" spans="2:4" x14ac:dyDescent="0.25">
      <c r="B191" s="14">
        <v>45476</v>
      </c>
      <c r="C191" s="2" t="s">
        <v>972</v>
      </c>
      <c r="D191" s="2"/>
    </row>
    <row r="192" spans="2:4" x14ac:dyDescent="0.25">
      <c r="B192" s="14">
        <v>45477</v>
      </c>
      <c r="C192" s="2" t="s">
        <v>267</v>
      </c>
      <c r="D192" s="2"/>
    </row>
    <row r="193" spans="2:4" x14ac:dyDescent="0.25">
      <c r="B193" s="14">
        <v>45477</v>
      </c>
      <c r="C193" s="2" t="s">
        <v>979</v>
      </c>
      <c r="D193" s="2"/>
    </row>
    <row r="194" spans="2:4" x14ac:dyDescent="0.25">
      <c r="B194" s="14">
        <v>45477</v>
      </c>
      <c r="C194" s="2" t="s">
        <v>980</v>
      </c>
      <c r="D194" s="2" t="s">
        <v>986</v>
      </c>
    </row>
    <row r="195" spans="2:4" x14ac:dyDescent="0.25">
      <c r="B195" s="14">
        <v>45478</v>
      </c>
      <c r="C195" s="2" t="s">
        <v>999</v>
      </c>
      <c r="D195" s="2"/>
    </row>
    <row r="196" spans="2:4" x14ac:dyDescent="0.25">
      <c r="B196" s="14">
        <v>45479</v>
      </c>
      <c r="C196" s="2" t="s">
        <v>1039</v>
      </c>
      <c r="D196" s="2"/>
    </row>
    <row r="197" spans="2:4" x14ac:dyDescent="0.25">
      <c r="B197" s="6"/>
      <c r="C197" s="2"/>
      <c r="D197" s="2"/>
    </row>
    <row r="198" spans="2:4" x14ac:dyDescent="0.25">
      <c r="B198" s="6"/>
      <c r="C198" s="2"/>
      <c r="D198" s="2"/>
    </row>
    <row r="199" spans="2:4" x14ac:dyDescent="0.25">
      <c r="B199" s="6"/>
      <c r="C199" s="2"/>
      <c r="D199" s="2"/>
    </row>
    <row r="200" spans="2:4" x14ac:dyDescent="0.25">
      <c r="B200" s="6"/>
      <c r="C200" s="2"/>
      <c r="D200" s="2"/>
    </row>
    <row r="201" spans="2:4" x14ac:dyDescent="0.25">
      <c r="B201" s="6"/>
      <c r="C201" s="2"/>
      <c r="D201" s="2"/>
    </row>
    <row r="202" spans="2:4" x14ac:dyDescent="0.25">
      <c r="B202" s="6"/>
      <c r="C202" s="2"/>
      <c r="D202" s="2"/>
    </row>
    <row r="203" spans="2:4" x14ac:dyDescent="0.25">
      <c r="B203" s="6"/>
      <c r="C203" s="2"/>
      <c r="D203" s="2"/>
    </row>
  </sheetData>
  <phoneticPr fontId="6" type="noConversion"/>
  <pageMargins left="0.7" right="0.7" top="0.75" bottom="0.75" header="0.3" footer="0.3"/>
  <pageSetup paperSize="9" orientation="portrait" horizontalDpi="4294967293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3">
    <tabColor rgb="FF92D050"/>
  </sheetPr>
  <dimension ref="B1:G194"/>
  <sheetViews>
    <sheetView topLeftCell="A173" workbookViewId="0">
      <selection activeCell="B177" sqref="B177"/>
    </sheetView>
  </sheetViews>
  <sheetFormatPr defaultRowHeight="15" x14ac:dyDescent="0.25"/>
  <cols>
    <col min="2" max="2" width="13.28515625" bestFit="1" customWidth="1"/>
    <col min="3" max="3" width="72" bestFit="1" customWidth="1"/>
    <col min="4" max="4" width="42.42578125" bestFit="1" customWidth="1"/>
    <col min="5" max="5" width="17.85546875" customWidth="1"/>
    <col min="7" max="7" width="11" bestFit="1" customWidth="1"/>
  </cols>
  <sheetData>
    <row r="1" spans="2:7" ht="32.25" customHeight="1" x14ac:dyDescent="0.25">
      <c r="B1" s="10" t="s">
        <v>0</v>
      </c>
      <c r="C1" s="11" t="s">
        <v>1</v>
      </c>
      <c r="D1" s="11" t="s">
        <v>2</v>
      </c>
      <c r="E1" s="11" t="s">
        <v>826</v>
      </c>
      <c r="F1" s="11" t="s">
        <v>1095</v>
      </c>
      <c r="G1" s="11" t="s">
        <v>1507</v>
      </c>
    </row>
    <row r="2" spans="2:7" x14ac:dyDescent="0.25">
      <c r="B2" s="20">
        <v>45442</v>
      </c>
      <c r="C2" s="2" t="s">
        <v>279</v>
      </c>
      <c r="D2" s="2"/>
      <c r="E2" s="2"/>
      <c r="F2" s="2"/>
      <c r="G2" s="2"/>
    </row>
    <row r="3" spans="2:7" x14ac:dyDescent="0.25">
      <c r="B3" s="20">
        <v>45442</v>
      </c>
      <c r="C3" s="2" t="s">
        <v>280</v>
      </c>
      <c r="D3" s="2"/>
      <c r="E3" s="2"/>
      <c r="F3" s="2"/>
      <c r="G3" s="2"/>
    </row>
    <row r="4" spans="2:7" x14ac:dyDescent="0.25">
      <c r="B4" s="20">
        <v>45447</v>
      </c>
      <c r="C4" s="2" t="s">
        <v>281</v>
      </c>
      <c r="D4" s="2"/>
      <c r="E4" s="2"/>
      <c r="F4" s="2"/>
      <c r="G4" s="2"/>
    </row>
    <row r="5" spans="2:7" x14ac:dyDescent="0.25">
      <c r="B5" s="20">
        <v>45448</v>
      </c>
      <c r="C5" s="2" t="s">
        <v>282</v>
      </c>
      <c r="D5" s="2"/>
      <c r="E5" s="2"/>
      <c r="F5" s="2"/>
      <c r="G5" s="2"/>
    </row>
    <row r="6" spans="2:7" x14ac:dyDescent="0.25">
      <c r="B6" s="20">
        <v>45449</v>
      </c>
      <c r="C6" s="2" t="s">
        <v>693</v>
      </c>
      <c r="D6" s="2"/>
      <c r="E6" s="2"/>
      <c r="F6" s="2"/>
      <c r="G6" s="2"/>
    </row>
    <row r="7" spans="2:7" x14ac:dyDescent="0.25">
      <c r="B7" s="20">
        <v>45450</v>
      </c>
      <c r="C7" s="2" t="s">
        <v>715</v>
      </c>
      <c r="D7" s="2"/>
      <c r="E7" s="2"/>
      <c r="F7" s="2"/>
      <c r="G7" s="2"/>
    </row>
    <row r="8" spans="2:7" x14ac:dyDescent="0.25">
      <c r="B8" s="20">
        <v>45451</v>
      </c>
      <c r="C8" s="2" t="s">
        <v>738</v>
      </c>
      <c r="D8" s="2"/>
      <c r="E8" s="2"/>
      <c r="F8" s="2"/>
      <c r="G8" s="2"/>
    </row>
    <row r="9" spans="2:7" x14ac:dyDescent="0.25">
      <c r="B9" s="20">
        <v>45454</v>
      </c>
      <c r="C9" s="2" t="s">
        <v>758</v>
      </c>
      <c r="D9" s="2"/>
      <c r="E9" s="2"/>
      <c r="F9" s="2"/>
      <c r="G9" s="2"/>
    </row>
    <row r="10" spans="2:7" x14ac:dyDescent="0.25">
      <c r="B10" s="20">
        <v>45455</v>
      </c>
      <c r="C10" s="2" t="s">
        <v>767</v>
      </c>
      <c r="D10" s="2"/>
      <c r="E10" s="2"/>
      <c r="F10" s="2"/>
      <c r="G10" s="2"/>
    </row>
    <row r="11" spans="2:7" x14ac:dyDescent="0.25">
      <c r="B11" s="20">
        <v>45457</v>
      </c>
      <c r="C11" s="2" t="s">
        <v>788</v>
      </c>
      <c r="D11" s="2"/>
      <c r="E11" s="2"/>
      <c r="F11" s="2"/>
      <c r="G11" s="2"/>
    </row>
    <row r="12" spans="2:7" x14ac:dyDescent="0.25">
      <c r="B12" s="20">
        <v>45459</v>
      </c>
      <c r="C12" s="2" t="s">
        <v>803</v>
      </c>
      <c r="D12" s="2"/>
      <c r="E12" s="23">
        <v>51</v>
      </c>
      <c r="F12" s="2"/>
      <c r="G12" s="2"/>
    </row>
    <row r="13" spans="2:7" x14ac:dyDescent="0.25">
      <c r="B13" s="20">
        <v>45463</v>
      </c>
      <c r="C13" s="2" t="s">
        <v>829</v>
      </c>
      <c r="D13" s="2"/>
      <c r="E13" s="23">
        <v>54</v>
      </c>
      <c r="F13" s="2"/>
      <c r="G13" s="2"/>
    </row>
    <row r="14" spans="2:7" x14ac:dyDescent="0.25">
      <c r="B14" s="20">
        <v>45465</v>
      </c>
      <c r="C14" s="2" t="s">
        <v>843</v>
      </c>
      <c r="D14" s="2"/>
      <c r="E14" s="23" t="s">
        <v>950</v>
      </c>
      <c r="F14" s="2"/>
      <c r="G14" s="2"/>
    </row>
    <row r="15" spans="2:7" x14ac:dyDescent="0.25">
      <c r="B15" s="20">
        <v>45466</v>
      </c>
      <c r="C15" s="2" t="s">
        <v>843</v>
      </c>
      <c r="D15" s="2" t="s">
        <v>855</v>
      </c>
      <c r="E15" s="23" t="s">
        <v>950</v>
      </c>
      <c r="F15" s="2"/>
      <c r="G15" s="2"/>
    </row>
    <row r="16" spans="2:7" x14ac:dyDescent="0.25">
      <c r="B16" s="20">
        <v>45467</v>
      </c>
      <c r="C16" s="2" t="s">
        <v>864</v>
      </c>
      <c r="D16" s="2"/>
      <c r="E16" s="23"/>
      <c r="F16" s="2"/>
      <c r="G16" s="2"/>
    </row>
    <row r="17" spans="2:7" x14ac:dyDescent="0.25">
      <c r="B17" s="20">
        <v>45468</v>
      </c>
      <c r="C17" s="2" t="s">
        <v>870</v>
      </c>
      <c r="D17" s="2"/>
      <c r="E17" s="23">
        <v>58</v>
      </c>
      <c r="F17" s="2"/>
      <c r="G17" s="2"/>
    </row>
    <row r="18" spans="2:7" x14ac:dyDescent="0.25">
      <c r="B18" s="20">
        <v>45469</v>
      </c>
      <c r="C18" s="2" t="s">
        <v>896</v>
      </c>
      <c r="D18" s="2"/>
      <c r="E18" s="23" t="s">
        <v>951</v>
      </c>
      <c r="F18" s="2"/>
      <c r="G18" s="2"/>
    </row>
    <row r="19" spans="2:7" x14ac:dyDescent="0.25">
      <c r="B19" s="20">
        <v>45470</v>
      </c>
      <c r="C19" s="2" t="s">
        <v>905</v>
      </c>
      <c r="D19" s="2"/>
      <c r="E19" s="2"/>
      <c r="F19" s="2"/>
      <c r="G19" s="2"/>
    </row>
    <row r="20" spans="2:7" x14ac:dyDescent="0.25">
      <c r="B20" s="20">
        <v>45470</v>
      </c>
      <c r="C20" s="2" t="s">
        <v>906</v>
      </c>
      <c r="D20" s="2"/>
      <c r="E20" s="23"/>
      <c r="F20" s="2"/>
      <c r="G20" s="2"/>
    </row>
    <row r="21" spans="2:7" x14ac:dyDescent="0.25">
      <c r="B21" s="20">
        <v>45471</v>
      </c>
      <c r="C21" t="s">
        <v>907</v>
      </c>
      <c r="D21" s="2"/>
      <c r="E21" s="23"/>
      <c r="F21" s="2"/>
      <c r="G21" s="2"/>
    </row>
    <row r="22" spans="2:7" x14ac:dyDescent="0.25">
      <c r="B22" s="20">
        <v>45471</v>
      </c>
      <c r="C22" s="2" t="s">
        <v>908</v>
      </c>
      <c r="D22" s="2"/>
      <c r="E22" s="23"/>
      <c r="F22" s="2"/>
      <c r="G22" s="2"/>
    </row>
    <row r="23" spans="2:7" x14ac:dyDescent="0.25">
      <c r="B23" s="20">
        <v>45472</v>
      </c>
      <c r="C23" s="2" t="s">
        <v>928</v>
      </c>
      <c r="D23" s="2"/>
      <c r="E23" s="23"/>
      <c r="F23" s="2"/>
      <c r="G23" s="2"/>
    </row>
    <row r="24" spans="2:7" x14ac:dyDescent="0.25">
      <c r="B24" s="20">
        <v>45472</v>
      </c>
      <c r="C24" s="2" t="s">
        <v>929</v>
      </c>
      <c r="D24" s="2"/>
      <c r="E24" s="23"/>
      <c r="F24" s="2"/>
      <c r="G24" s="2"/>
    </row>
    <row r="25" spans="2:7" x14ac:dyDescent="0.25">
      <c r="B25" s="20">
        <v>45473</v>
      </c>
      <c r="C25" s="2" t="s">
        <v>930</v>
      </c>
      <c r="D25" s="2"/>
      <c r="E25" s="23"/>
      <c r="F25" s="2"/>
      <c r="G25" s="2"/>
    </row>
    <row r="26" spans="2:7" x14ac:dyDescent="0.25">
      <c r="B26" s="20">
        <v>45473</v>
      </c>
      <c r="C26" s="2" t="s">
        <v>931</v>
      </c>
      <c r="D26" s="2"/>
      <c r="E26" s="23"/>
      <c r="F26" s="2"/>
      <c r="G26" s="2"/>
    </row>
    <row r="27" spans="2:7" x14ac:dyDescent="0.25">
      <c r="B27" s="20">
        <v>45473</v>
      </c>
      <c r="C27" s="2" t="s">
        <v>932</v>
      </c>
      <c r="D27" s="2"/>
      <c r="E27" s="23">
        <v>0</v>
      </c>
      <c r="F27" s="2"/>
      <c r="G27" s="2"/>
    </row>
    <row r="28" spans="2:7" x14ac:dyDescent="0.25">
      <c r="B28" s="20">
        <v>45474</v>
      </c>
      <c r="C28" s="2" t="s">
        <v>949</v>
      </c>
      <c r="D28" s="2" t="s">
        <v>956</v>
      </c>
      <c r="E28" s="23">
        <v>52</v>
      </c>
      <c r="F28" s="2">
        <f>E28-E27</f>
        <v>52</v>
      </c>
      <c r="G28" s="2"/>
    </row>
    <row r="29" spans="2:7" x14ac:dyDescent="0.25">
      <c r="B29" s="20">
        <v>45475</v>
      </c>
      <c r="C29" s="2" t="s">
        <v>964</v>
      </c>
      <c r="D29" s="2"/>
      <c r="E29" s="23">
        <v>53.3</v>
      </c>
      <c r="F29" s="2">
        <f t="shared" ref="F29:F92" si="0">E29-E28</f>
        <v>1.2999999999999972</v>
      </c>
      <c r="G29" s="2"/>
    </row>
    <row r="30" spans="2:7" x14ac:dyDescent="0.25">
      <c r="B30" s="20">
        <v>45476</v>
      </c>
      <c r="C30" s="2" t="s">
        <v>974</v>
      </c>
      <c r="D30" s="2"/>
      <c r="E30" s="23">
        <v>54.3</v>
      </c>
      <c r="F30" s="2">
        <f t="shared" si="0"/>
        <v>1</v>
      </c>
      <c r="G30" s="2"/>
    </row>
    <row r="31" spans="2:7" x14ac:dyDescent="0.25">
      <c r="B31" s="20">
        <v>45477</v>
      </c>
      <c r="C31" s="2" t="s">
        <v>974</v>
      </c>
      <c r="D31" s="2" t="s">
        <v>987</v>
      </c>
      <c r="E31" s="23">
        <v>55.3</v>
      </c>
      <c r="F31" s="2">
        <f t="shared" si="0"/>
        <v>1</v>
      </c>
      <c r="G31" s="2"/>
    </row>
    <row r="32" spans="2:7" x14ac:dyDescent="0.25">
      <c r="B32" s="20">
        <v>45478</v>
      </c>
      <c r="C32" s="2" t="s">
        <v>998</v>
      </c>
      <c r="D32" s="2"/>
      <c r="E32" s="23">
        <v>55.4</v>
      </c>
      <c r="F32" s="2">
        <f t="shared" si="0"/>
        <v>0.10000000000000142</v>
      </c>
      <c r="G32" s="2"/>
    </row>
    <row r="33" spans="2:7" x14ac:dyDescent="0.25">
      <c r="B33" s="20">
        <v>45481</v>
      </c>
      <c r="C33" s="2" t="s">
        <v>1007</v>
      </c>
      <c r="D33" s="2" t="s">
        <v>1008</v>
      </c>
      <c r="E33" s="23">
        <v>55.6</v>
      </c>
      <c r="F33" s="2">
        <f t="shared" si="0"/>
        <v>0.20000000000000284</v>
      </c>
      <c r="G33" s="2"/>
    </row>
    <row r="34" spans="2:7" x14ac:dyDescent="0.25">
      <c r="B34" s="20">
        <v>45482</v>
      </c>
      <c r="C34" s="2" t="s">
        <v>1027</v>
      </c>
      <c r="D34" s="2"/>
      <c r="E34" s="23">
        <v>55.6</v>
      </c>
      <c r="F34" s="2">
        <f t="shared" si="0"/>
        <v>0</v>
      </c>
      <c r="G34" s="2"/>
    </row>
    <row r="35" spans="2:7" x14ac:dyDescent="0.25">
      <c r="B35" s="20">
        <v>45482</v>
      </c>
      <c r="C35" s="2" t="s">
        <v>1028</v>
      </c>
      <c r="D35" s="2"/>
      <c r="E35" s="23">
        <v>55.6</v>
      </c>
      <c r="F35" s="2">
        <f t="shared" si="0"/>
        <v>0</v>
      </c>
      <c r="G35" s="2"/>
    </row>
    <row r="36" spans="2:7" x14ac:dyDescent="0.25">
      <c r="B36" s="20">
        <v>45482</v>
      </c>
      <c r="C36" s="2" t="s">
        <v>1029</v>
      </c>
      <c r="D36" s="2"/>
      <c r="E36" s="23">
        <v>55.6</v>
      </c>
      <c r="F36" s="2">
        <f t="shared" si="0"/>
        <v>0</v>
      </c>
      <c r="G36" s="2"/>
    </row>
    <row r="37" spans="2:7" x14ac:dyDescent="0.25">
      <c r="B37" s="20">
        <v>45482</v>
      </c>
      <c r="C37" s="2" t="s">
        <v>1030</v>
      </c>
      <c r="D37" s="2" t="s">
        <v>1020</v>
      </c>
      <c r="E37" s="23">
        <v>57.7</v>
      </c>
      <c r="F37" s="2">
        <f t="shared" si="0"/>
        <v>2.1000000000000014</v>
      </c>
      <c r="G37" s="2"/>
    </row>
    <row r="38" spans="2:7" x14ac:dyDescent="0.25">
      <c r="B38" s="20">
        <v>45483</v>
      </c>
      <c r="C38" s="2" t="s">
        <v>1040</v>
      </c>
      <c r="D38" s="2" t="s">
        <v>1041</v>
      </c>
      <c r="E38" s="23">
        <v>58</v>
      </c>
      <c r="F38" s="2">
        <f t="shared" si="0"/>
        <v>0.29999999999999716</v>
      </c>
      <c r="G38" s="2"/>
    </row>
    <row r="39" spans="2:7" x14ac:dyDescent="0.25">
      <c r="B39" s="20">
        <v>45484</v>
      </c>
      <c r="C39" s="2" t="s">
        <v>1056</v>
      </c>
      <c r="D39" s="2"/>
      <c r="E39" s="23">
        <v>58.5</v>
      </c>
      <c r="F39" s="2">
        <f t="shared" si="0"/>
        <v>0.5</v>
      </c>
      <c r="G39" s="2"/>
    </row>
    <row r="40" spans="2:7" x14ac:dyDescent="0.25">
      <c r="B40" s="20">
        <v>45484</v>
      </c>
      <c r="C40" s="2" t="s">
        <v>265</v>
      </c>
      <c r="D40" s="2"/>
      <c r="E40" s="23">
        <v>58.5</v>
      </c>
      <c r="F40" s="2">
        <f t="shared" si="0"/>
        <v>0</v>
      </c>
      <c r="G40" s="2"/>
    </row>
    <row r="41" spans="2:7" x14ac:dyDescent="0.25">
      <c r="B41" s="20">
        <v>45484</v>
      </c>
      <c r="C41" s="2" t="s">
        <v>1057</v>
      </c>
      <c r="D41" s="2"/>
      <c r="E41" s="23">
        <v>58.5</v>
      </c>
      <c r="F41" s="2">
        <f t="shared" si="0"/>
        <v>0</v>
      </c>
      <c r="G41" s="2"/>
    </row>
    <row r="42" spans="2:7" x14ac:dyDescent="0.25">
      <c r="B42" s="20">
        <v>45485</v>
      </c>
      <c r="C42" s="2" t="s">
        <v>1100</v>
      </c>
      <c r="D42" s="2"/>
      <c r="E42" s="23">
        <v>59.5</v>
      </c>
      <c r="F42" s="2">
        <f t="shared" si="0"/>
        <v>1</v>
      </c>
      <c r="G42" s="2"/>
    </row>
    <row r="43" spans="2:7" x14ac:dyDescent="0.25">
      <c r="B43" s="20">
        <v>45485</v>
      </c>
      <c r="C43" s="2" t="s">
        <v>1101</v>
      </c>
      <c r="D43" s="2"/>
      <c r="E43" s="23">
        <v>59.5</v>
      </c>
      <c r="F43" s="2">
        <f t="shared" si="0"/>
        <v>0</v>
      </c>
      <c r="G43" s="2"/>
    </row>
    <row r="44" spans="2:7" x14ac:dyDescent="0.25">
      <c r="B44" s="20">
        <v>45486</v>
      </c>
      <c r="C44" s="2" t="s">
        <v>1107</v>
      </c>
      <c r="D44" s="2"/>
      <c r="E44" s="23">
        <v>59.5</v>
      </c>
      <c r="F44" s="2">
        <f t="shared" si="0"/>
        <v>0</v>
      </c>
      <c r="G44" s="2"/>
    </row>
    <row r="45" spans="2:7" x14ac:dyDescent="0.25">
      <c r="B45" s="20">
        <v>45486</v>
      </c>
      <c r="C45" s="2" t="s">
        <v>1106</v>
      </c>
      <c r="D45" s="2"/>
      <c r="E45" s="23">
        <v>59.5</v>
      </c>
      <c r="F45" s="2">
        <f t="shared" si="0"/>
        <v>0</v>
      </c>
      <c r="G45" s="2"/>
    </row>
    <row r="46" spans="2:7" x14ac:dyDescent="0.25">
      <c r="B46" s="20">
        <v>45486</v>
      </c>
      <c r="C46" s="2" t="s">
        <v>1108</v>
      </c>
      <c r="D46" s="2"/>
      <c r="E46" s="23">
        <v>59.5</v>
      </c>
      <c r="F46" s="2">
        <f t="shared" si="0"/>
        <v>0</v>
      </c>
      <c r="G46" s="2"/>
    </row>
    <row r="47" spans="2:7" x14ac:dyDescent="0.25">
      <c r="B47" s="20">
        <v>45487</v>
      </c>
      <c r="C47" s="2" t="s">
        <v>1109</v>
      </c>
      <c r="D47" s="2"/>
      <c r="E47" s="23">
        <v>60</v>
      </c>
      <c r="F47" s="2">
        <f t="shared" si="0"/>
        <v>0.5</v>
      </c>
      <c r="G47" s="2"/>
    </row>
    <row r="48" spans="2:7" x14ac:dyDescent="0.25">
      <c r="B48" s="20">
        <v>45487</v>
      </c>
      <c r="C48" s="2" t="s">
        <v>1110</v>
      </c>
      <c r="D48" s="2" t="s">
        <v>1122</v>
      </c>
      <c r="E48" s="23">
        <v>60</v>
      </c>
      <c r="F48" s="2">
        <f t="shared" si="0"/>
        <v>0</v>
      </c>
    </row>
    <row r="49" spans="2:6" x14ac:dyDescent="0.25">
      <c r="B49" s="20">
        <v>45488</v>
      </c>
      <c r="C49" s="2" t="s">
        <v>1131</v>
      </c>
      <c r="D49" s="2"/>
      <c r="E49" s="23">
        <v>60.6</v>
      </c>
      <c r="F49" s="2">
        <f t="shared" si="0"/>
        <v>0.60000000000000142</v>
      </c>
    </row>
    <row r="50" spans="2:6" x14ac:dyDescent="0.25">
      <c r="B50" s="20">
        <v>45488</v>
      </c>
      <c r="C50" s="2" t="s">
        <v>1132</v>
      </c>
      <c r="D50" s="2"/>
      <c r="E50" s="23">
        <v>60.6</v>
      </c>
      <c r="F50" s="2">
        <f t="shared" si="0"/>
        <v>0</v>
      </c>
    </row>
    <row r="51" spans="2:6" x14ac:dyDescent="0.25">
      <c r="B51" s="20">
        <v>45489</v>
      </c>
      <c r="C51" s="2" t="s">
        <v>1137</v>
      </c>
      <c r="D51" s="2"/>
      <c r="E51" s="23">
        <v>61.1</v>
      </c>
      <c r="F51" s="2">
        <f t="shared" si="0"/>
        <v>0.5</v>
      </c>
    </row>
    <row r="52" spans="2:6" x14ac:dyDescent="0.25">
      <c r="B52" s="20">
        <v>45490</v>
      </c>
      <c r="C52" s="2" t="s">
        <v>1154</v>
      </c>
      <c r="D52" s="2"/>
      <c r="E52" s="23">
        <v>61.5</v>
      </c>
      <c r="F52" s="2">
        <f t="shared" si="0"/>
        <v>0.39999999999999858</v>
      </c>
    </row>
    <row r="53" spans="2:6" x14ac:dyDescent="0.25">
      <c r="B53" s="20">
        <v>45490</v>
      </c>
      <c r="C53" s="2" t="s">
        <v>1155</v>
      </c>
      <c r="D53" s="2"/>
      <c r="E53" s="23">
        <v>61.5</v>
      </c>
      <c r="F53" s="2">
        <f t="shared" si="0"/>
        <v>0</v>
      </c>
    </row>
    <row r="54" spans="2:6" x14ac:dyDescent="0.25">
      <c r="B54" s="20">
        <v>45491</v>
      </c>
      <c r="C54" s="2" t="s">
        <v>1159</v>
      </c>
      <c r="D54" s="2"/>
      <c r="E54" s="23">
        <v>61.7</v>
      </c>
      <c r="F54" s="2">
        <f t="shared" si="0"/>
        <v>0.20000000000000284</v>
      </c>
    </row>
    <row r="55" spans="2:6" x14ac:dyDescent="0.25">
      <c r="B55" s="20">
        <v>45491</v>
      </c>
      <c r="C55" s="2" t="s">
        <v>1160</v>
      </c>
      <c r="D55" s="2"/>
      <c r="E55" s="23">
        <v>61.7</v>
      </c>
      <c r="F55" s="2">
        <f t="shared" si="0"/>
        <v>0</v>
      </c>
    </row>
    <row r="56" spans="2:6" x14ac:dyDescent="0.25">
      <c r="B56" s="20">
        <v>45491</v>
      </c>
      <c r="C56" s="2" t="s">
        <v>1161</v>
      </c>
      <c r="D56" s="2"/>
      <c r="E56" s="23">
        <v>61.7</v>
      </c>
      <c r="F56" s="2">
        <f t="shared" si="0"/>
        <v>0</v>
      </c>
    </row>
    <row r="57" spans="2:6" x14ac:dyDescent="0.25">
      <c r="B57" s="20">
        <v>45491</v>
      </c>
      <c r="C57" s="2" t="s">
        <v>1162</v>
      </c>
      <c r="D57" s="2"/>
      <c r="E57" s="23">
        <v>61.7</v>
      </c>
      <c r="F57" s="2">
        <f t="shared" si="0"/>
        <v>0</v>
      </c>
    </row>
    <row r="58" spans="2:6" x14ac:dyDescent="0.25">
      <c r="B58" s="20">
        <v>45491</v>
      </c>
      <c r="C58" s="2" t="s">
        <v>1183</v>
      </c>
      <c r="D58" s="2"/>
      <c r="E58" s="23">
        <v>62.7</v>
      </c>
      <c r="F58" s="2">
        <f t="shared" si="0"/>
        <v>1</v>
      </c>
    </row>
    <row r="59" spans="2:6" x14ac:dyDescent="0.25">
      <c r="B59" s="20">
        <v>45492</v>
      </c>
      <c r="C59" s="2" t="s">
        <v>1184</v>
      </c>
      <c r="D59" s="2"/>
      <c r="E59" s="23">
        <v>62.7</v>
      </c>
      <c r="F59" s="2">
        <f t="shared" si="0"/>
        <v>0</v>
      </c>
    </row>
    <row r="60" spans="2:6" x14ac:dyDescent="0.25">
      <c r="B60" s="20">
        <v>45493</v>
      </c>
      <c r="C60" s="2" t="s">
        <v>1201</v>
      </c>
      <c r="D60" s="2"/>
      <c r="E60" s="23">
        <v>63.2</v>
      </c>
      <c r="F60" s="2">
        <f t="shared" si="0"/>
        <v>0.5</v>
      </c>
    </row>
    <row r="61" spans="2:6" x14ac:dyDescent="0.25">
      <c r="B61" s="20">
        <v>45494</v>
      </c>
      <c r="C61" s="2" t="s">
        <v>1202</v>
      </c>
      <c r="D61" s="2"/>
      <c r="E61" s="23">
        <v>64.2</v>
      </c>
      <c r="F61" s="2">
        <f t="shared" si="0"/>
        <v>1</v>
      </c>
    </row>
    <row r="62" spans="2:6" x14ac:dyDescent="0.25">
      <c r="B62" s="20">
        <v>45494</v>
      </c>
      <c r="C62" s="2" t="s">
        <v>1203</v>
      </c>
      <c r="D62" s="2"/>
      <c r="E62" s="23">
        <v>64.2</v>
      </c>
      <c r="F62" s="2">
        <f t="shared" si="0"/>
        <v>0</v>
      </c>
    </row>
    <row r="63" spans="2:6" x14ac:dyDescent="0.25">
      <c r="B63" s="20">
        <v>45495</v>
      </c>
      <c r="C63" s="2" t="s">
        <v>1215</v>
      </c>
      <c r="D63" s="2"/>
      <c r="E63" s="23">
        <v>64.5</v>
      </c>
      <c r="F63" s="2">
        <f t="shared" si="0"/>
        <v>0.29999999999999716</v>
      </c>
    </row>
    <row r="64" spans="2:6" x14ac:dyDescent="0.25">
      <c r="B64" s="20">
        <v>45495</v>
      </c>
      <c r="C64" s="2" t="s">
        <v>1216</v>
      </c>
      <c r="D64" s="2"/>
      <c r="E64" s="23">
        <v>64.5</v>
      </c>
      <c r="F64" s="2">
        <f t="shared" si="0"/>
        <v>0</v>
      </c>
    </row>
    <row r="65" spans="2:6" x14ac:dyDescent="0.25">
      <c r="B65" s="20">
        <v>45496</v>
      </c>
      <c r="C65" s="2" t="s">
        <v>1218</v>
      </c>
      <c r="D65" s="2"/>
      <c r="E65" s="23">
        <v>65</v>
      </c>
      <c r="F65" s="2">
        <f t="shared" si="0"/>
        <v>0.5</v>
      </c>
    </row>
    <row r="66" spans="2:6" x14ac:dyDescent="0.25">
      <c r="B66" s="20">
        <v>45496</v>
      </c>
      <c r="C66" s="2" t="s">
        <v>1219</v>
      </c>
      <c r="D66" s="2"/>
      <c r="E66" s="23">
        <v>65</v>
      </c>
      <c r="F66" s="2">
        <f t="shared" si="0"/>
        <v>0</v>
      </c>
    </row>
    <row r="67" spans="2:6" x14ac:dyDescent="0.25">
      <c r="B67" s="20">
        <v>45496</v>
      </c>
      <c r="C67" s="2" t="s">
        <v>1233</v>
      </c>
      <c r="D67" s="2"/>
      <c r="E67" s="23">
        <v>65</v>
      </c>
      <c r="F67" s="2">
        <f t="shared" si="0"/>
        <v>0</v>
      </c>
    </row>
    <row r="68" spans="2:6" x14ac:dyDescent="0.25">
      <c r="B68" s="20">
        <v>45497</v>
      </c>
      <c r="C68" s="2" t="s">
        <v>1241</v>
      </c>
      <c r="D68" s="2"/>
      <c r="E68" s="23">
        <v>65.2</v>
      </c>
      <c r="F68" s="2">
        <f t="shared" si="0"/>
        <v>0.20000000000000284</v>
      </c>
    </row>
    <row r="69" spans="2:6" x14ac:dyDescent="0.25">
      <c r="B69" s="20">
        <v>45497</v>
      </c>
      <c r="C69" s="2" t="s">
        <v>1240</v>
      </c>
      <c r="D69" s="2"/>
      <c r="E69" s="23">
        <v>65.2</v>
      </c>
      <c r="F69" s="2">
        <f t="shared" si="0"/>
        <v>0</v>
      </c>
    </row>
    <row r="70" spans="2:6" x14ac:dyDescent="0.25">
      <c r="B70" s="20">
        <v>45497</v>
      </c>
      <c r="C70" s="2" t="s">
        <v>1242</v>
      </c>
      <c r="D70" s="2"/>
      <c r="E70" s="23">
        <v>65.2</v>
      </c>
      <c r="F70" s="2">
        <f t="shared" si="0"/>
        <v>0</v>
      </c>
    </row>
    <row r="71" spans="2:6" x14ac:dyDescent="0.25">
      <c r="B71" s="20">
        <v>45497</v>
      </c>
      <c r="C71" s="2" t="s">
        <v>1243</v>
      </c>
      <c r="D71" s="2"/>
      <c r="E71" s="23">
        <v>65.2</v>
      </c>
      <c r="F71" s="2">
        <f t="shared" si="0"/>
        <v>0</v>
      </c>
    </row>
    <row r="72" spans="2:6" x14ac:dyDescent="0.25">
      <c r="B72" s="20">
        <v>45497</v>
      </c>
      <c r="C72" s="2" t="s">
        <v>1244</v>
      </c>
      <c r="D72" s="2"/>
      <c r="E72" s="23">
        <v>65.2</v>
      </c>
      <c r="F72" s="2">
        <f t="shared" si="0"/>
        <v>0</v>
      </c>
    </row>
    <row r="73" spans="2:6" x14ac:dyDescent="0.25">
      <c r="B73" s="20">
        <v>45498</v>
      </c>
      <c r="C73" s="2" t="s">
        <v>1254</v>
      </c>
      <c r="D73" s="2"/>
      <c r="E73" s="23">
        <v>66.2</v>
      </c>
      <c r="F73" s="2">
        <f t="shared" si="0"/>
        <v>1</v>
      </c>
    </row>
    <row r="74" spans="2:6" x14ac:dyDescent="0.25">
      <c r="B74" s="20">
        <v>45499</v>
      </c>
      <c r="C74" s="2" t="s">
        <v>1264</v>
      </c>
      <c r="D74" s="2"/>
      <c r="E74" s="23">
        <v>66.900000000000006</v>
      </c>
      <c r="F74" s="2">
        <f t="shared" si="0"/>
        <v>0.70000000000000284</v>
      </c>
    </row>
    <row r="75" spans="2:6" x14ac:dyDescent="0.25">
      <c r="B75" s="20">
        <v>45499</v>
      </c>
      <c r="C75" s="2" t="s">
        <v>1265</v>
      </c>
      <c r="D75" s="2"/>
      <c r="E75" s="23">
        <v>66.900000000000006</v>
      </c>
      <c r="F75" s="2">
        <f t="shared" si="0"/>
        <v>0</v>
      </c>
    </row>
    <row r="76" spans="2:6" x14ac:dyDescent="0.25">
      <c r="B76" s="20">
        <v>45500</v>
      </c>
      <c r="C76" s="2" t="s">
        <v>1277</v>
      </c>
      <c r="D76" s="2"/>
      <c r="E76" s="23">
        <v>67.3</v>
      </c>
      <c r="F76" s="2">
        <f t="shared" si="0"/>
        <v>0.39999999999999147</v>
      </c>
    </row>
    <row r="77" spans="2:6" x14ac:dyDescent="0.25">
      <c r="B77" s="20">
        <v>45501</v>
      </c>
      <c r="C77" s="2" t="s">
        <v>1278</v>
      </c>
      <c r="D77" s="2"/>
      <c r="E77" s="23">
        <v>68.3</v>
      </c>
      <c r="F77" s="2">
        <f t="shared" si="0"/>
        <v>1</v>
      </c>
    </row>
    <row r="78" spans="2:6" ht="30" x14ac:dyDescent="0.25">
      <c r="B78" s="20">
        <v>45502</v>
      </c>
      <c r="C78" s="30" t="s">
        <v>1317</v>
      </c>
      <c r="D78" s="2"/>
      <c r="E78" s="23">
        <v>68.8</v>
      </c>
      <c r="F78" s="2">
        <f t="shared" si="0"/>
        <v>0.5</v>
      </c>
    </row>
    <row r="79" spans="2:6" x14ac:dyDescent="0.25">
      <c r="B79" s="20">
        <v>45503</v>
      </c>
      <c r="C79" s="2" t="s">
        <v>870</v>
      </c>
      <c r="D79" s="2"/>
      <c r="E79" s="23">
        <v>69.3</v>
      </c>
      <c r="F79" s="2">
        <f t="shared" si="0"/>
        <v>0.5</v>
      </c>
    </row>
    <row r="80" spans="2:6" ht="30" x14ac:dyDescent="0.25">
      <c r="B80" s="20">
        <v>45504</v>
      </c>
      <c r="C80" s="30" t="s">
        <v>1318</v>
      </c>
      <c r="D80" s="2"/>
      <c r="E80" s="23">
        <v>69.8</v>
      </c>
      <c r="F80" s="2">
        <f t="shared" si="0"/>
        <v>0.5</v>
      </c>
    </row>
    <row r="81" spans="2:6" ht="30" x14ac:dyDescent="0.25">
      <c r="B81" s="20">
        <v>45505</v>
      </c>
      <c r="C81" s="30" t="s">
        <v>1330</v>
      </c>
      <c r="D81" s="2"/>
      <c r="E81" s="23">
        <v>69.8</v>
      </c>
      <c r="F81" s="2">
        <f t="shared" si="0"/>
        <v>0</v>
      </c>
    </row>
    <row r="82" spans="2:6" x14ac:dyDescent="0.25">
      <c r="B82" s="20">
        <v>45506</v>
      </c>
      <c r="C82" s="2" t="s">
        <v>1343</v>
      </c>
      <c r="D82" s="2"/>
      <c r="E82" s="23">
        <v>70.599999999999994</v>
      </c>
      <c r="F82" s="2">
        <f t="shared" si="0"/>
        <v>0.79999999999999716</v>
      </c>
    </row>
    <row r="83" spans="2:6" x14ac:dyDescent="0.25">
      <c r="B83" s="20">
        <v>45507</v>
      </c>
      <c r="C83" s="2" t="s">
        <v>1355</v>
      </c>
      <c r="D83" s="2" t="s">
        <v>1356</v>
      </c>
      <c r="E83" s="23">
        <v>71.2</v>
      </c>
      <c r="F83" s="2">
        <f t="shared" si="0"/>
        <v>0.60000000000000853</v>
      </c>
    </row>
    <row r="84" spans="2:6" x14ac:dyDescent="0.25">
      <c r="B84" s="20">
        <v>45508</v>
      </c>
      <c r="C84" s="2" t="s">
        <v>1357</v>
      </c>
      <c r="D84" s="2"/>
      <c r="E84" s="23">
        <v>72.2</v>
      </c>
      <c r="F84" s="2">
        <f t="shared" si="0"/>
        <v>1</v>
      </c>
    </row>
    <row r="85" spans="2:6" x14ac:dyDescent="0.25">
      <c r="B85" s="20">
        <v>45509</v>
      </c>
      <c r="C85" s="2" t="s">
        <v>1379</v>
      </c>
      <c r="D85" s="2" t="s">
        <v>1380</v>
      </c>
      <c r="E85" s="23">
        <v>72.400000000000006</v>
      </c>
      <c r="F85" s="2">
        <f t="shared" si="0"/>
        <v>0.20000000000000284</v>
      </c>
    </row>
    <row r="86" spans="2:6" x14ac:dyDescent="0.25">
      <c r="B86" s="20">
        <v>45510</v>
      </c>
      <c r="C86" s="2" t="s">
        <v>1389</v>
      </c>
      <c r="D86" s="2" t="s">
        <v>1390</v>
      </c>
      <c r="E86" s="23">
        <v>72.400000000000006</v>
      </c>
      <c r="F86" s="2">
        <f t="shared" si="0"/>
        <v>0</v>
      </c>
    </row>
    <row r="87" spans="2:6" x14ac:dyDescent="0.25">
      <c r="B87" s="20">
        <v>45511</v>
      </c>
      <c r="C87" s="2" t="s">
        <v>1401</v>
      </c>
      <c r="D87" s="2"/>
      <c r="E87" s="23">
        <v>72.400000000000006</v>
      </c>
      <c r="F87" s="2">
        <f t="shared" si="0"/>
        <v>0</v>
      </c>
    </row>
    <row r="88" spans="2:6" x14ac:dyDescent="0.25">
      <c r="B88" s="20">
        <v>45512</v>
      </c>
      <c r="C88" s="2" t="s">
        <v>1411</v>
      </c>
      <c r="D88" s="2"/>
      <c r="E88" s="23">
        <v>72.7</v>
      </c>
      <c r="F88" s="2">
        <f t="shared" si="0"/>
        <v>0.29999999999999716</v>
      </c>
    </row>
    <row r="89" spans="2:6" x14ac:dyDescent="0.25">
      <c r="B89" s="20">
        <v>45513</v>
      </c>
      <c r="C89" s="2" t="s">
        <v>1422</v>
      </c>
      <c r="D89" s="2" t="s">
        <v>1423</v>
      </c>
      <c r="E89" s="23">
        <v>73.099999999999994</v>
      </c>
      <c r="F89" s="2">
        <f t="shared" si="0"/>
        <v>0.39999999999999147</v>
      </c>
    </row>
    <row r="90" spans="2:6" x14ac:dyDescent="0.25">
      <c r="B90" s="20">
        <v>45514</v>
      </c>
      <c r="C90" s="2" t="s">
        <v>1422</v>
      </c>
      <c r="D90" s="2" t="s">
        <v>1434</v>
      </c>
      <c r="E90" s="23">
        <v>73.5</v>
      </c>
      <c r="F90" s="2">
        <f t="shared" si="0"/>
        <v>0.40000000000000568</v>
      </c>
    </row>
    <row r="91" spans="2:6" x14ac:dyDescent="0.25">
      <c r="B91" s="20">
        <v>45515</v>
      </c>
      <c r="C91" s="2" t="s">
        <v>1435</v>
      </c>
      <c r="D91" s="2" t="s">
        <v>1446</v>
      </c>
      <c r="E91" s="23">
        <v>73.5</v>
      </c>
      <c r="F91" s="2">
        <f t="shared" si="0"/>
        <v>0</v>
      </c>
    </row>
    <row r="92" spans="2:6" x14ac:dyDescent="0.25">
      <c r="B92" s="20">
        <v>45516</v>
      </c>
      <c r="C92" s="2" t="s">
        <v>1457</v>
      </c>
      <c r="D92" s="2"/>
      <c r="E92" s="23">
        <v>73.5</v>
      </c>
      <c r="F92" s="2">
        <f t="shared" si="0"/>
        <v>0</v>
      </c>
    </row>
    <row r="93" spans="2:6" x14ac:dyDescent="0.25">
      <c r="B93" s="20">
        <v>45517</v>
      </c>
      <c r="C93" s="2" t="s">
        <v>1459</v>
      </c>
      <c r="D93" s="2"/>
      <c r="E93" s="23">
        <v>75</v>
      </c>
      <c r="F93" s="2">
        <f t="shared" ref="F93:F166" si="1">E93-E92</f>
        <v>1.5</v>
      </c>
    </row>
    <row r="94" spans="2:6" x14ac:dyDescent="0.25">
      <c r="B94" s="20">
        <v>45518</v>
      </c>
      <c r="C94" s="2" t="s">
        <v>1481</v>
      </c>
      <c r="D94" s="2"/>
      <c r="E94" s="23">
        <v>75</v>
      </c>
      <c r="F94" s="2">
        <f t="shared" si="1"/>
        <v>0</v>
      </c>
    </row>
    <row r="95" spans="2:6" x14ac:dyDescent="0.25">
      <c r="B95" s="20">
        <v>45519</v>
      </c>
      <c r="C95" s="2" t="s">
        <v>1495</v>
      </c>
      <c r="D95" s="2" t="s">
        <v>1496</v>
      </c>
      <c r="E95" s="23">
        <v>76</v>
      </c>
      <c r="F95" s="2">
        <f t="shared" si="1"/>
        <v>1</v>
      </c>
    </row>
    <row r="96" spans="2:6" x14ac:dyDescent="0.25">
      <c r="B96" s="20">
        <v>45522</v>
      </c>
      <c r="C96" s="2" t="s">
        <v>1510</v>
      </c>
      <c r="D96" s="2" t="s">
        <v>1498</v>
      </c>
      <c r="E96" s="23">
        <v>76</v>
      </c>
      <c r="F96" s="2">
        <f t="shared" si="1"/>
        <v>0</v>
      </c>
    </row>
    <row r="97" spans="2:6" x14ac:dyDescent="0.25">
      <c r="B97" s="20">
        <v>45522</v>
      </c>
      <c r="C97" s="2" t="s">
        <v>1511</v>
      </c>
      <c r="D97" s="2" t="s">
        <v>1512</v>
      </c>
      <c r="E97" s="23">
        <v>76</v>
      </c>
      <c r="F97" s="2">
        <f t="shared" si="1"/>
        <v>0</v>
      </c>
    </row>
    <row r="98" spans="2:6" x14ac:dyDescent="0.25">
      <c r="B98" s="20">
        <v>45523</v>
      </c>
      <c r="C98" s="2" t="s">
        <v>1539</v>
      </c>
      <c r="D98" s="2"/>
      <c r="E98" s="23">
        <v>76</v>
      </c>
      <c r="F98" s="2">
        <f t="shared" si="1"/>
        <v>0</v>
      </c>
    </row>
    <row r="99" spans="2:6" x14ac:dyDescent="0.25">
      <c r="B99" s="20">
        <v>45523</v>
      </c>
      <c r="C99" s="2" t="s">
        <v>1540</v>
      </c>
      <c r="D99" s="2"/>
      <c r="E99" s="23">
        <v>76</v>
      </c>
      <c r="F99" s="2">
        <f t="shared" si="1"/>
        <v>0</v>
      </c>
    </row>
    <row r="100" spans="2:6" x14ac:dyDescent="0.25">
      <c r="B100" s="20">
        <v>45523</v>
      </c>
      <c r="C100" s="2" t="s">
        <v>1541</v>
      </c>
      <c r="D100" s="2"/>
      <c r="E100" s="23">
        <v>76</v>
      </c>
      <c r="F100" s="2">
        <f t="shared" si="1"/>
        <v>0</v>
      </c>
    </row>
    <row r="101" spans="2:6" ht="60" x14ac:dyDescent="0.25">
      <c r="B101" s="20">
        <v>45524</v>
      </c>
      <c r="C101" s="30" t="s">
        <v>1586</v>
      </c>
      <c r="D101" s="2"/>
      <c r="E101" s="23">
        <v>76</v>
      </c>
      <c r="F101" s="2">
        <f t="shared" si="1"/>
        <v>0</v>
      </c>
    </row>
    <row r="102" spans="2:6" ht="60" x14ac:dyDescent="0.25">
      <c r="B102" s="20">
        <v>45525</v>
      </c>
      <c r="C102" s="30" t="s">
        <v>1578</v>
      </c>
      <c r="D102" s="2"/>
      <c r="E102" s="23">
        <v>76</v>
      </c>
      <c r="F102" s="2">
        <f t="shared" si="1"/>
        <v>0</v>
      </c>
    </row>
    <row r="103" spans="2:6" ht="45" x14ac:dyDescent="0.25">
      <c r="B103" s="20">
        <v>45526</v>
      </c>
      <c r="C103" s="30" t="s">
        <v>1577</v>
      </c>
      <c r="D103" s="2"/>
      <c r="E103" s="23">
        <v>76</v>
      </c>
      <c r="F103" s="2">
        <f t="shared" si="1"/>
        <v>0</v>
      </c>
    </row>
    <row r="104" spans="2:6" ht="30" x14ac:dyDescent="0.25">
      <c r="B104" s="20">
        <v>45527</v>
      </c>
      <c r="C104" s="30" t="s">
        <v>1585</v>
      </c>
      <c r="D104" s="2"/>
      <c r="E104" s="23">
        <v>76</v>
      </c>
      <c r="F104" s="2">
        <f t="shared" si="1"/>
        <v>0</v>
      </c>
    </row>
    <row r="105" spans="2:6" ht="45" x14ac:dyDescent="0.25">
      <c r="B105" s="20">
        <v>45528</v>
      </c>
      <c r="C105" s="30" t="s">
        <v>1597</v>
      </c>
      <c r="D105" s="2"/>
      <c r="E105" s="23">
        <v>75</v>
      </c>
      <c r="F105" s="2">
        <f t="shared" si="1"/>
        <v>-1</v>
      </c>
    </row>
    <row r="106" spans="2:6" ht="60" x14ac:dyDescent="0.25">
      <c r="B106" s="20">
        <v>45529</v>
      </c>
      <c r="C106" s="30" t="s">
        <v>1596</v>
      </c>
      <c r="D106" s="2"/>
      <c r="E106" s="23">
        <v>75</v>
      </c>
      <c r="F106" s="2">
        <f t="shared" si="1"/>
        <v>0</v>
      </c>
    </row>
    <row r="107" spans="2:6" ht="45" x14ac:dyDescent="0.25">
      <c r="B107" s="20">
        <v>45530</v>
      </c>
      <c r="C107" s="30" t="s">
        <v>1621</v>
      </c>
      <c r="D107" s="2"/>
      <c r="E107" s="23">
        <v>75</v>
      </c>
      <c r="F107" s="2">
        <f t="shared" si="1"/>
        <v>0</v>
      </c>
    </row>
    <row r="108" spans="2:6" ht="30" x14ac:dyDescent="0.25">
      <c r="B108" s="20">
        <v>45531</v>
      </c>
      <c r="C108" s="30" t="s">
        <v>1624</v>
      </c>
      <c r="D108" s="2" t="s">
        <v>1625</v>
      </c>
      <c r="E108" s="23">
        <v>80</v>
      </c>
      <c r="F108" s="2">
        <f t="shared" si="1"/>
        <v>5</v>
      </c>
    </row>
    <row r="109" spans="2:6" x14ac:dyDescent="0.25">
      <c r="B109" s="20">
        <v>45532</v>
      </c>
      <c r="C109" s="2" t="s">
        <v>1651</v>
      </c>
      <c r="D109" s="2" t="s">
        <v>1122</v>
      </c>
      <c r="E109" s="23">
        <v>82</v>
      </c>
      <c r="F109" s="2">
        <f t="shared" si="1"/>
        <v>2</v>
      </c>
    </row>
    <row r="110" spans="2:6" ht="30" x14ac:dyDescent="0.25">
      <c r="B110" s="20">
        <v>45533</v>
      </c>
      <c r="C110" s="30" t="s">
        <v>1660</v>
      </c>
      <c r="D110" s="2"/>
      <c r="E110" s="23">
        <v>84.5</v>
      </c>
      <c r="F110" s="2">
        <f t="shared" si="1"/>
        <v>2.5</v>
      </c>
    </row>
    <row r="111" spans="2:6" ht="45" x14ac:dyDescent="0.25">
      <c r="B111" s="20">
        <v>45534</v>
      </c>
      <c r="C111" s="30" t="s">
        <v>1677</v>
      </c>
      <c r="D111" s="2" t="s">
        <v>1683</v>
      </c>
      <c r="E111" s="33">
        <v>86.5</v>
      </c>
      <c r="F111" s="2">
        <f t="shared" si="1"/>
        <v>2</v>
      </c>
    </row>
    <row r="112" spans="2:6" x14ac:dyDescent="0.25">
      <c r="B112" s="20">
        <v>45535</v>
      </c>
      <c r="C112" s="30" t="s">
        <v>1686</v>
      </c>
      <c r="D112" s="2"/>
      <c r="E112" s="23">
        <v>74</v>
      </c>
      <c r="F112" s="2">
        <f t="shared" si="1"/>
        <v>-12.5</v>
      </c>
    </row>
    <row r="113" spans="2:6" ht="30" x14ac:dyDescent="0.25">
      <c r="B113" s="20">
        <v>45536</v>
      </c>
      <c r="C113" s="30" t="s">
        <v>1685</v>
      </c>
      <c r="D113" s="2" t="s">
        <v>1690</v>
      </c>
      <c r="E113" s="23">
        <v>74.75</v>
      </c>
      <c r="F113" s="2">
        <f t="shared" si="1"/>
        <v>0.75</v>
      </c>
    </row>
    <row r="114" spans="2:6" ht="45" x14ac:dyDescent="0.25">
      <c r="B114" s="20">
        <v>45537</v>
      </c>
      <c r="C114" s="30" t="s">
        <v>1715</v>
      </c>
      <c r="D114" s="2"/>
      <c r="E114" s="23">
        <v>75.349999999999994</v>
      </c>
      <c r="F114" s="2">
        <f t="shared" si="1"/>
        <v>0.59999999999999432</v>
      </c>
    </row>
    <row r="115" spans="2:6" x14ac:dyDescent="0.25">
      <c r="B115" s="20">
        <v>45538</v>
      </c>
      <c r="C115" s="30" t="s">
        <v>1723</v>
      </c>
      <c r="D115" s="2"/>
      <c r="E115" s="23">
        <v>76.349999999999994</v>
      </c>
      <c r="F115" s="2">
        <f t="shared" si="1"/>
        <v>1</v>
      </c>
    </row>
    <row r="116" spans="2:6" x14ac:dyDescent="0.25">
      <c r="B116" s="20">
        <v>45539</v>
      </c>
      <c r="C116" s="30" t="s">
        <v>1732</v>
      </c>
      <c r="D116" s="2" t="s">
        <v>1733</v>
      </c>
      <c r="E116" s="23">
        <v>77.7</v>
      </c>
      <c r="F116" s="2">
        <f t="shared" si="1"/>
        <v>1.3500000000000085</v>
      </c>
    </row>
    <row r="117" spans="2:6" x14ac:dyDescent="0.25">
      <c r="B117" s="20">
        <v>45540</v>
      </c>
      <c r="C117" s="2" t="s">
        <v>1771</v>
      </c>
      <c r="D117" s="2"/>
      <c r="E117" s="23">
        <v>77.7</v>
      </c>
      <c r="F117" s="2">
        <f t="shared" si="1"/>
        <v>0</v>
      </c>
    </row>
    <row r="118" spans="2:6" x14ac:dyDescent="0.25">
      <c r="B118" s="20">
        <v>45540</v>
      </c>
      <c r="C118" s="2" t="s">
        <v>1541</v>
      </c>
      <c r="D118" s="2"/>
      <c r="E118" s="23">
        <v>77.7</v>
      </c>
      <c r="F118" s="2">
        <f t="shared" si="1"/>
        <v>0</v>
      </c>
    </row>
    <row r="119" spans="2:6" x14ac:dyDescent="0.25">
      <c r="B119" s="20">
        <v>45540</v>
      </c>
      <c r="C119" s="2" t="s">
        <v>1772</v>
      </c>
      <c r="D119" s="2"/>
      <c r="E119" s="25">
        <v>78.7</v>
      </c>
      <c r="F119" s="2">
        <f t="shared" si="1"/>
        <v>1</v>
      </c>
    </row>
    <row r="120" spans="2:6" x14ac:dyDescent="0.25">
      <c r="B120" s="20">
        <v>45541</v>
      </c>
      <c r="C120" s="2" t="s">
        <v>1772</v>
      </c>
      <c r="D120" s="2"/>
      <c r="E120" s="23">
        <v>79.7</v>
      </c>
      <c r="F120" s="2">
        <f t="shared" si="1"/>
        <v>1</v>
      </c>
    </row>
    <row r="121" spans="2:6" x14ac:dyDescent="0.25">
      <c r="B121" s="20">
        <v>45542</v>
      </c>
      <c r="C121" s="2" t="s">
        <v>1810</v>
      </c>
      <c r="D121" s="2"/>
      <c r="E121" s="23">
        <v>80.5</v>
      </c>
      <c r="F121" s="2">
        <f t="shared" si="1"/>
        <v>0.79999999999999716</v>
      </c>
    </row>
    <row r="122" spans="2:6" x14ac:dyDescent="0.25">
      <c r="B122" s="20">
        <v>45543</v>
      </c>
      <c r="C122" s="2" t="s">
        <v>1811</v>
      </c>
      <c r="D122" s="2" t="s">
        <v>1812</v>
      </c>
      <c r="E122" s="23">
        <v>80.5</v>
      </c>
      <c r="F122" s="2">
        <f t="shared" si="1"/>
        <v>0</v>
      </c>
    </row>
    <row r="123" spans="2:6" x14ac:dyDescent="0.25">
      <c r="B123" s="20">
        <v>45544</v>
      </c>
      <c r="C123" s="2" t="s">
        <v>1813</v>
      </c>
      <c r="D123" s="2"/>
      <c r="E123" s="23">
        <v>80.849999999999994</v>
      </c>
      <c r="F123" s="2">
        <f t="shared" si="1"/>
        <v>0.34999999999999432</v>
      </c>
    </row>
    <row r="124" spans="2:6" x14ac:dyDescent="0.25">
      <c r="B124" s="20">
        <v>45545</v>
      </c>
      <c r="C124" s="2" t="s">
        <v>1814</v>
      </c>
      <c r="D124" s="2"/>
      <c r="E124" s="23">
        <v>81.45</v>
      </c>
      <c r="F124" s="2">
        <f t="shared" si="1"/>
        <v>0.60000000000000853</v>
      </c>
    </row>
    <row r="125" spans="2:6" x14ac:dyDescent="0.25">
      <c r="B125" s="20">
        <v>45546</v>
      </c>
      <c r="C125" s="2" t="s">
        <v>1814</v>
      </c>
      <c r="D125" s="2"/>
      <c r="E125" s="23">
        <v>82.05</v>
      </c>
      <c r="F125" s="2">
        <f t="shared" si="1"/>
        <v>0.59999999999999432</v>
      </c>
    </row>
    <row r="126" spans="2:6" x14ac:dyDescent="0.25">
      <c r="B126" s="20">
        <v>45547</v>
      </c>
      <c r="C126" s="2" t="s">
        <v>1833</v>
      </c>
      <c r="D126" s="2" t="s">
        <v>1834</v>
      </c>
      <c r="E126" s="23">
        <v>82.45</v>
      </c>
      <c r="F126" s="2">
        <f t="shared" si="1"/>
        <v>0.40000000000000568</v>
      </c>
    </row>
    <row r="127" spans="2:6" x14ac:dyDescent="0.25">
      <c r="B127" s="20">
        <v>45548</v>
      </c>
      <c r="C127" s="2" t="s">
        <v>1859</v>
      </c>
      <c r="D127" s="2"/>
      <c r="E127" s="23">
        <v>82.45</v>
      </c>
      <c r="F127" s="2">
        <f t="shared" si="1"/>
        <v>0</v>
      </c>
    </row>
    <row r="128" spans="2:6" x14ac:dyDescent="0.25">
      <c r="B128" s="20">
        <v>45548</v>
      </c>
      <c r="C128" s="2" t="s">
        <v>1860</v>
      </c>
      <c r="D128" s="2"/>
      <c r="E128" s="23">
        <v>82.45</v>
      </c>
      <c r="F128" s="2">
        <f t="shared" si="1"/>
        <v>0</v>
      </c>
    </row>
    <row r="129" spans="2:6" x14ac:dyDescent="0.25">
      <c r="B129" s="20">
        <v>45548</v>
      </c>
      <c r="C129" s="2" t="s">
        <v>265</v>
      </c>
      <c r="D129" s="2" t="s">
        <v>1861</v>
      </c>
      <c r="E129" s="23">
        <v>82.45</v>
      </c>
      <c r="F129" s="2">
        <f t="shared" si="1"/>
        <v>0</v>
      </c>
    </row>
    <row r="130" spans="2:6" x14ac:dyDescent="0.25">
      <c r="B130" s="20">
        <v>45549</v>
      </c>
      <c r="C130" s="2" t="s">
        <v>1882</v>
      </c>
      <c r="D130" s="2"/>
      <c r="E130" s="23">
        <v>82.45</v>
      </c>
      <c r="F130" s="2">
        <f t="shared" si="1"/>
        <v>0</v>
      </c>
    </row>
    <row r="131" spans="2:6" x14ac:dyDescent="0.25">
      <c r="B131" s="20">
        <v>45550</v>
      </c>
      <c r="C131" s="2" t="s">
        <v>1833</v>
      </c>
      <c r="D131" s="2"/>
      <c r="E131" s="23">
        <v>82.85</v>
      </c>
      <c r="F131" s="2">
        <f t="shared" si="1"/>
        <v>0.39999999999999147</v>
      </c>
    </row>
    <row r="132" spans="2:6" x14ac:dyDescent="0.25">
      <c r="B132" s="20">
        <v>45551</v>
      </c>
      <c r="C132" s="2" t="s">
        <v>1883</v>
      </c>
      <c r="D132" s="2"/>
      <c r="E132" s="23">
        <v>83</v>
      </c>
      <c r="F132" s="2">
        <f t="shared" si="1"/>
        <v>0.15000000000000568</v>
      </c>
    </row>
    <row r="133" spans="2:6" x14ac:dyDescent="0.25">
      <c r="B133" s="20">
        <v>45551</v>
      </c>
      <c r="C133" s="2" t="s">
        <v>1884</v>
      </c>
      <c r="D133" s="2"/>
      <c r="E133" s="23">
        <v>83</v>
      </c>
      <c r="F133" s="2">
        <f t="shared" si="1"/>
        <v>0</v>
      </c>
    </row>
    <row r="134" spans="2:6" x14ac:dyDescent="0.25">
      <c r="B134" s="20">
        <v>45552</v>
      </c>
      <c r="C134" s="2" t="s">
        <v>1909</v>
      </c>
      <c r="D134" s="2" t="s">
        <v>1910</v>
      </c>
      <c r="E134" s="23">
        <v>83</v>
      </c>
      <c r="F134" s="2">
        <f t="shared" si="1"/>
        <v>0</v>
      </c>
    </row>
    <row r="135" spans="2:6" x14ac:dyDescent="0.25">
      <c r="B135" s="20">
        <v>45553</v>
      </c>
      <c r="C135" s="2" t="s">
        <v>1927</v>
      </c>
      <c r="D135" s="2"/>
      <c r="E135" s="23">
        <v>83</v>
      </c>
      <c r="F135" s="2">
        <f t="shared" si="1"/>
        <v>0</v>
      </c>
    </row>
    <row r="136" spans="2:6" x14ac:dyDescent="0.25">
      <c r="B136" s="20">
        <v>45554</v>
      </c>
      <c r="C136" s="2" t="s">
        <v>1942</v>
      </c>
      <c r="D136" s="2" t="s">
        <v>1947</v>
      </c>
      <c r="E136" s="23">
        <v>82.8</v>
      </c>
      <c r="F136" s="2">
        <f t="shared" si="1"/>
        <v>-0.20000000000000284</v>
      </c>
    </row>
    <row r="137" spans="2:6" x14ac:dyDescent="0.25">
      <c r="B137" s="20">
        <v>45555</v>
      </c>
      <c r="C137" s="2" t="s">
        <v>1950</v>
      </c>
      <c r="D137" s="2"/>
      <c r="E137" s="23">
        <v>83.2</v>
      </c>
      <c r="F137" s="2">
        <f t="shared" si="1"/>
        <v>0.40000000000000568</v>
      </c>
    </row>
    <row r="138" spans="2:6" x14ac:dyDescent="0.25">
      <c r="B138" s="20">
        <v>45556</v>
      </c>
      <c r="C138" s="2" t="s">
        <v>1961</v>
      </c>
      <c r="D138" s="2"/>
      <c r="E138" s="23">
        <v>84</v>
      </c>
      <c r="F138" s="2">
        <f t="shared" si="1"/>
        <v>0.79999999999999716</v>
      </c>
    </row>
    <row r="139" spans="2:6" x14ac:dyDescent="0.25">
      <c r="B139" s="20">
        <v>45557</v>
      </c>
      <c r="C139" s="2" t="s">
        <v>1962</v>
      </c>
      <c r="D139" s="2"/>
      <c r="E139" s="23">
        <v>85</v>
      </c>
      <c r="F139" s="2">
        <f t="shared" si="1"/>
        <v>1</v>
      </c>
    </row>
    <row r="140" spans="2:6" x14ac:dyDescent="0.25">
      <c r="B140" s="20">
        <v>45558</v>
      </c>
      <c r="C140" s="2" t="s">
        <v>1981</v>
      </c>
      <c r="D140" s="2"/>
      <c r="E140" s="23">
        <v>85.5</v>
      </c>
      <c r="F140" s="2">
        <f t="shared" si="1"/>
        <v>0.5</v>
      </c>
    </row>
    <row r="141" spans="2:6" x14ac:dyDescent="0.25">
      <c r="B141" s="20">
        <v>45559</v>
      </c>
      <c r="C141" s="2" t="s">
        <v>1990</v>
      </c>
      <c r="D141" s="2"/>
      <c r="E141" s="23">
        <v>85.5</v>
      </c>
      <c r="F141" s="2">
        <f t="shared" si="1"/>
        <v>0</v>
      </c>
    </row>
    <row r="142" spans="2:6" x14ac:dyDescent="0.25">
      <c r="B142" s="20">
        <v>45560</v>
      </c>
      <c r="C142" s="2" t="s">
        <v>1993</v>
      </c>
      <c r="D142" s="2"/>
      <c r="E142" s="23">
        <v>86</v>
      </c>
      <c r="F142" s="2">
        <f t="shared" si="1"/>
        <v>0.5</v>
      </c>
    </row>
    <row r="143" spans="2:6" x14ac:dyDescent="0.25">
      <c r="B143" s="20">
        <v>45561</v>
      </c>
      <c r="C143" s="2" t="s">
        <v>2009</v>
      </c>
      <c r="D143" s="2" t="s">
        <v>1733</v>
      </c>
      <c r="E143" s="23">
        <v>86.2</v>
      </c>
      <c r="F143" s="2">
        <f t="shared" si="1"/>
        <v>0.20000000000000284</v>
      </c>
    </row>
    <row r="144" spans="2:6" x14ac:dyDescent="0.25">
      <c r="B144" s="20">
        <v>45562</v>
      </c>
      <c r="C144" s="2" t="s">
        <v>2021</v>
      </c>
      <c r="D144" s="2" t="s">
        <v>2022</v>
      </c>
      <c r="E144" s="23">
        <v>86.7</v>
      </c>
      <c r="F144" s="2">
        <f t="shared" si="1"/>
        <v>0.5</v>
      </c>
    </row>
    <row r="145" spans="2:6" x14ac:dyDescent="0.25">
      <c r="B145" s="20">
        <v>45563</v>
      </c>
      <c r="C145" s="2" t="s">
        <v>2042</v>
      </c>
      <c r="D145" s="2" t="s">
        <v>1947</v>
      </c>
      <c r="E145" s="23">
        <v>86.7</v>
      </c>
      <c r="F145" s="2">
        <f t="shared" si="1"/>
        <v>0</v>
      </c>
    </row>
    <row r="146" spans="2:6" x14ac:dyDescent="0.25">
      <c r="B146" s="20">
        <v>45564</v>
      </c>
      <c r="C146" s="2" t="s">
        <v>2043</v>
      </c>
      <c r="D146" s="2"/>
      <c r="E146" s="23">
        <v>86.7</v>
      </c>
      <c r="F146" s="2">
        <f t="shared" si="1"/>
        <v>0</v>
      </c>
    </row>
    <row r="147" spans="2:6" x14ac:dyDescent="0.25">
      <c r="B147" s="20">
        <v>45565</v>
      </c>
      <c r="C147" s="2" t="s">
        <v>2054</v>
      </c>
      <c r="D147" s="2"/>
      <c r="E147" s="23">
        <v>86.7</v>
      </c>
      <c r="F147" s="2">
        <f t="shared" si="1"/>
        <v>0</v>
      </c>
    </row>
    <row r="148" spans="2:6" x14ac:dyDescent="0.25">
      <c r="B148" s="20">
        <v>45566</v>
      </c>
      <c r="C148" s="2" t="s">
        <v>2064</v>
      </c>
      <c r="D148" s="2"/>
      <c r="E148" s="23">
        <v>86.7</v>
      </c>
      <c r="F148" s="2">
        <f t="shared" si="1"/>
        <v>0</v>
      </c>
    </row>
    <row r="149" spans="2:6" x14ac:dyDescent="0.25">
      <c r="B149" s="20">
        <v>45567</v>
      </c>
      <c r="C149" s="2" t="s">
        <v>2067</v>
      </c>
      <c r="D149" s="2" t="s">
        <v>2068</v>
      </c>
      <c r="E149" s="23">
        <v>86.7</v>
      </c>
      <c r="F149" s="2">
        <f t="shared" si="1"/>
        <v>0</v>
      </c>
    </row>
    <row r="150" spans="2:6" x14ac:dyDescent="0.25">
      <c r="B150" s="20">
        <v>45568</v>
      </c>
      <c r="C150" s="2" t="s">
        <v>2080</v>
      </c>
      <c r="D150" s="2"/>
      <c r="E150" s="23">
        <v>86.7</v>
      </c>
      <c r="F150" s="2">
        <f t="shared" si="1"/>
        <v>0</v>
      </c>
    </row>
    <row r="151" spans="2:6" x14ac:dyDescent="0.25">
      <c r="B151" s="20">
        <v>45569</v>
      </c>
      <c r="C151" s="2" t="s">
        <v>2103</v>
      </c>
      <c r="D151" s="2"/>
      <c r="E151" s="23">
        <v>86.7</v>
      </c>
      <c r="F151" s="2">
        <f t="shared" si="1"/>
        <v>0</v>
      </c>
    </row>
    <row r="152" spans="2:6" x14ac:dyDescent="0.25">
      <c r="B152" s="20">
        <v>45570</v>
      </c>
      <c r="C152" s="2" t="s">
        <v>2110</v>
      </c>
      <c r="D152" s="2"/>
      <c r="E152" s="23">
        <v>86.7</v>
      </c>
      <c r="F152" s="2">
        <f t="shared" si="1"/>
        <v>0</v>
      </c>
    </row>
    <row r="153" spans="2:6" x14ac:dyDescent="0.25">
      <c r="B153" s="20">
        <v>45571</v>
      </c>
      <c r="C153" s="2" t="s">
        <v>2111</v>
      </c>
      <c r="D153" s="2" t="s">
        <v>2112</v>
      </c>
      <c r="E153" s="23">
        <v>86.7</v>
      </c>
      <c r="F153" s="2">
        <f t="shared" si="1"/>
        <v>0</v>
      </c>
    </row>
    <row r="154" spans="2:6" ht="30" x14ac:dyDescent="0.25">
      <c r="B154" s="20">
        <v>45572</v>
      </c>
      <c r="C154" s="30" t="s">
        <v>2127</v>
      </c>
      <c r="D154" s="2"/>
      <c r="E154" s="23">
        <v>86.7</v>
      </c>
      <c r="F154" s="2">
        <f t="shared" si="1"/>
        <v>0</v>
      </c>
    </row>
    <row r="155" spans="2:6" ht="30" x14ac:dyDescent="0.25">
      <c r="B155" s="20">
        <v>45573</v>
      </c>
      <c r="C155" s="30" t="s">
        <v>2140</v>
      </c>
      <c r="D155" s="2"/>
      <c r="E155" s="23">
        <v>86.7</v>
      </c>
      <c r="F155" s="2">
        <f t="shared" si="1"/>
        <v>0</v>
      </c>
    </row>
    <row r="156" spans="2:6" x14ac:dyDescent="0.25">
      <c r="B156" s="20">
        <v>45574</v>
      </c>
      <c r="C156" s="2" t="s">
        <v>2162</v>
      </c>
      <c r="D156" s="2"/>
      <c r="E156" s="23">
        <v>86.7</v>
      </c>
      <c r="F156" s="2">
        <f t="shared" si="1"/>
        <v>0</v>
      </c>
    </row>
    <row r="157" spans="2:6" x14ac:dyDescent="0.25">
      <c r="B157" s="20">
        <v>45575</v>
      </c>
      <c r="C157" s="2" t="s">
        <v>2161</v>
      </c>
      <c r="D157" s="2"/>
      <c r="E157" s="23">
        <v>86.7</v>
      </c>
      <c r="F157" s="2">
        <f t="shared" si="1"/>
        <v>0</v>
      </c>
    </row>
    <row r="158" spans="2:6" x14ac:dyDescent="0.25">
      <c r="B158" s="20">
        <v>45576</v>
      </c>
      <c r="C158" s="2" t="s">
        <v>2176</v>
      </c>
      <c r="D158" s="2"/>
      <c r="E158" s="23">
        <v>86.7</v>
      </c>
      <c r="F158" s="2">
        <f t="shared" si="1"/>
        <v>0</v>
      </c>
    </row>
    <row r="159" spans="2:6" x14ac:dyDescent="0.25">
      <c r="B159" s="20">
        <v>45577</v>
      </c>
      <c r="C159" s="2" t="s">
        <v>2182</v>
      </c>
      <c r="D159" s="2"/>
      <c r="E159" s="23">
        <v>86.7</v>
      </c>
      <c r="F159" s="2">
        <f t="shared" si="1"/>
        <v>0</v>
      </c>
    </row>
    <row r="160" spans="2:6" x14ac:dyDescent="0.25">
      <c r="B160" s="20">
        <v>45578</v>
      </c>
      <c r="C160" s="2"/>
      <c r="D160" s="2"/>
      <c r="E160" s="23">
        <v>86.7</v>
      </c>
      <c r="F160" s="2">
        <f t="shared" si="1"/>
        <v>0</v>
      </c>
    </row>
    <row r="161" spans="2:6" x14ac:dyDescent="0.25">
      <c r="B161" s="20">
        <v>45579</v>
      </c>
      <c r="C161" s="2" t="s">
        <v>2181</v>
      </c>
      <c r="D161" s="2"/>
      <c r="E161" s="23">
        <v>86.7</v>
      </c>
      <c r="F161" s="2">
        <f t="shared" si="1"/>
        <v>0</v>
      </c>
    </row>
    <row r="162" spans="2:6" x14ac:dyDescent="0.25">
      <c r="B162" s="20">
        <v>45580</v>
      </c>
      <c r="C162" s="2" t="s">
        <v>2181</v>
      </c>
      <c r="D162" s="2"/>
      <c r="E162" s="23">
        <v>86.7</v>
      </c>
      <c r="F162" s="2">
        <f t="shared" si="1"/>
        <v>0</v>
      </c>
    </row>
    <row r="163" spans="2:6" x14ac:dyDescent="0.25">
      <c r="B163" s="20">
        <v>45581</v>
      </c>
      <c r="C163" s="2" t="s">
        <v>2217</v>
      </c>
      <c r="D163" s="2"/>
      <c r="E163" s="23">
        <v>86.7</v>
      </c>
      <c r="F163" s="2">
        <f t="shared" si="1"/>
        <v>0</v>
      </c>
    </row>
    <row r="164" spans="2:6" x14ac:dyDescent="0.25">
      <c r="B164" s="20">
        <v>45582</v>
      </c>
      <c r="C164" s="2" t="s">
        <v>2238</v>
      </c>
      <c r="D164" s="2"/>
      <c r="E164" s="23">
        <v>86.7</v>
      </c>
      <c r="F164" s="2">
        <f t="shared" si="1"/>
        <v>0</v>
      </c>
    </row>
    <row r="165" spans="2:6" x14ac:dyDescent="0.25">
      <c r="B165" s="20">
        <v>45583</v>
      </c>
      <c r="C165" s="2" t="s">
        <v>135</v>
      </c>
      <c r="D165" s="2"/>
      <c r="E165" s="23">
        <v>86.7</v>
      </c>
      <c r="F165" s="2">
        <f t="shared" si="1"/>
        <v>0</v>
      </c>
    </row>
    <row r="166" spans="2:6" x14ac:dyDescent="0.25">
      <c r="B166" s="20">
        <v>45584</v>
      </c>
      <c r="C166" s="2" t="s">
        <v>109</v>
      </c>
      <c r="D166" s="2"/>
      <c r="E166" s="2"/>
      <c r="F166" s="2">
        <f t="shared" si="1"/>
        <v>-86.7</v>
      </c>
    </row>
    <row r="167" spans="2:6" x14ac:dyDescent="0.25">
      <c r="B167" s="20">
        <v>45585</v>
      </c>
      <c r="C167" s="2" t="s">
        <v>2246</v>
      </c>
      <c r="D167" s="2"/>
      <c r="E167" s="2"/>
      <c r="F167" s="2"/>
    </row>
    <row r="168" spans="2:6" x14ac:dyDescent="0.25">
      <c r="B168" s="20">
        <v>45586</v>
      </c>
      <c r="C168" s="2" t="s">
        <v>2257</v>
      </c>
      <c r="D168" s="2"/>
      <c r="E168" s="2"/>
      <c r="F168" s="2"/>
    </row>
    <row r="169" spans="2:6" x14ac:dyDescent="0.25">
      <c r="B169" s="20">
        <v>45587</v>
      </c>
      <c r="C169" s="2" t="s">
        <v>2270</v>
      </c>
      <c r="D169" s="2"/>
      <c r="E169" s="2"/>
      <c r="F169" s="2"/>
    </row>
    <row r="170" spans="2:6" x14ac:dyDescent="0.25">
      <c r="B170" s="20">
        <v>45588</v>
      </c>
      <c r="C170" s="2" t="s">
        <v>2270</v>
      </c>
      <c r="D170" s="2"/>
      <c r="E170" s="2"/>
      <c r="F170" s="2"/>
    </row>
    <row r="171" spans="2:6" x14ac:dyDescent="0.25">
      <c r="B171" s="20">
        <v>45589</v>
      </c>
      <c r="C171" s="2" t="s">
        <v>2270</v>
      </c>
      <c r="D171" s="2"/>
      <c r="E171" s="2"/>
      <c r="F171" s="2"/>
    </row>
    <row r="172" spans="2:6" x14ac:dyDescent="0.25">
      <c r="B172" s="20">
        <v>45590</v>
      </c>
      <c r="C172" s="2" t="s">
        <v>2301</v>
      </c>
      <c r="D172" s="2"/>
      <c r="E172" s="2"/>
      <c r="F172" s="2"/>
    </row>
    <row r="173" spans="2:6" x14ac:dyDescent="0.25">
      <c r="B173" s="20">
        <v>45591</v>
      </c>
      <c r="C173" s="2" t="s">
        <v>2333</v>
      </c>
      <c r="D173" s="2"/>
      <c r="E173" s="2"/>
      <c r="F173" s="2"/>
    </row>
    <row r="174" spans="2:6" x14ac:dyDescent="0.25">
      <c r="B174" s="20">
        <v>45592</v>
      </c>
      <c r="C174" s="2" t="s">
        <v>2333</v>
      </c>
      <c r="D174" s="2"/>
      <c r="E174" s="2"/>
      <c r="F174" s="2"/>
    </row>
    <row r="175" spans="2:6" x14ac:dyDescent="0.25">
      <c r="B175" s="20">
        <v>45593</v>
      </c>
      <c r="C175" s="2"/>
      <c r="D175" s="2"/>
      <c r="E175" s="2"/>
      <c r="F175" s="2"/>
    </row>
    <row r="176" spans="2:6" x14ac:dyDescent="0.25">
      <c r="B176" s="20">
        <v>45594</v>
      </c>
      <c r="C176" s="2" t="s">
        <v>2355</v>
      </c>
      <c r="D176" s="2"/>
      <c r="E176" s="2"/>
      <c r="F176" s="2"/>
    </row>
    <row r="177" spans="2:6" x14ac:dyDescent="0.25">
      <c r="B177" s="20">
        <v>45595</v>
      </c>
      <c r="C177" s="2" t="s">
        <v>2356</v>
      </c>
      <c r="D177" s="2"/>
      <c r="E177" s="2"/>
      <c r="F177" s="2"/>
    </row>
    <row r="178" spans="2:6" x14ac:dyDescent="0.25">
      <c r="B178" s="2"/>
      <c r="C178" s="2"/>
      <c r="D178" s="2"/>
      <c r="E178" s="2"/>
      <c r="F178" s="2"/>
    </row>
    <row r="179" spans="2:6" x14ac:dyDescent="0.25">
      <c r="B179" s="2"/>
      <c r="C179" s="2"/>
      <c r="D179" s="2"/>
      <c r="E179" s="2"/>
      <c r="F179" s="2"/>
    </row>
    <row r="180" spans="2:6" x14ac:dyDescent="0.25">
      <c r="B180" s="2"/>
      <c r="C180" s="2"/>
      <c r="D180" s="2"/>
      <c r="E180" s="2"/>
      <c r="F180" s="2"/>
    </row>
    <row r="181" spans="2:6" x14ac:dyDescent="0.25">
      <c r="B181" s="2"/>
      <c r="C181" s="2"/>
      <c r="D181" s="2"/>
      <c r="E181" s="2"/>
      <c r="F181" s="2"/>
    </row>
    <row r="182" spans="2:6" x14ac:dyDescent="0.25">
      <c r="B182" s="2"/>
      <c r="C182" s="2"/>
      <c r="D182" s="2"/>
      <c r="E182" s="2"/>
      <c r="F182" s="2"/>
    </row>
    <row r="183" spans="2:6" x14ac:dyDescent="0.25">
      <c r="B183" s="2"/>
      <c r="C183" s="2"/>
      <c r="D183" s="2"/>
      <c r="E183" s="2"/>
      <c r="F183" s="2"/>
    </row>
    <row r="184" spans="2:6" x14ac:dyDescent="0.25">
      <c r="B184" s="2"/>
      <c r="C184" s="2"/>
      <c r="D184" s="2"/>
      <c r="E184" s="2"/>
      <c r="F184" s="2"/>
    </row>
    <row r="185" spans="2:6" x14ac:dyDescent="0.25">
      <c r="B185" s="2"/>
      <c r="C185" s="2"/>
      <c r="D185" s="2"/>
      <c r="E185" s="2"/>
      <c r="F185" s="2"/>
    </row>
    <row r="186" spans="2:6" x14ac:dyDescent="0.25">
      <c r="B186" s="2"/>
      <c r="C186" s="2"/>
      <c r="D186" s="2"/>
      <c r="E186" s="2"/>
      <c r="F186" s="2"/>
    </row>
    <row r="187" spans="2:6" x14ac:dyDescent="0.25">
      <c r="B187" s="2"/>
      <c r="C187" s="2"/>
      <c r="D187" s="2"/>
      <c r="E187" s="2"/>
      <c r="F187" s="2"/>
    </row>
    <row r="188" spans="2:6" x14ac:dyDescent="0.25">
      <c r="B188" s="2"/>
      <c r="C188" s="2"/>
      <c r="D188" s="2"/>
      <c r="E188" s="2"/>
      <c r="F188" s="2"/>
    </row>
    <row r="189" spans="2:6" x14ac:dyDescent="0.25">
      <c r="B189" s="2"/>
      <c r="C189" s="2"/>
      <c r="D189" s="2"/>
      <c r="E189" s="2"/>
      <c r="F189" s="2"/>
    </row>
    <row r="190" spans="2:6" x14ac:dyDescent="0.25">
      <c r="B190" s="2"/>
      <c r="C190" s="2"/>
      <c r="D190" s="2"/>
      <c r="E190" s="2"/>
      <c r="F190" s="2"/>
    </row>
    <row r="191" spans="2:6" x14ac:dyDescent="0.25">
      <c r="B191" s="2"/>
      <c r="C191" s="2"/>
      <c r="D191" s="2"/>
      <c r="E191" s="2"/>
      <c r="F191" s="2"/>
    </row>
    <row r="192" spans="2:6" x14ac:dyDescent="0.25">
      <c r="B192" s="2"/>
      <c r="C192" s="2"/>
      <c r="D192" s="2"/>
      <c r="E192" s="2"/>
      <c r="F192" s="2"/>
    </row>
    <row r="193" spans="2:6" x14ac:dyDescent="0.25">
      <c r="B193" s="2"/>
      <c r="C193" s="2"/>
      <c r="D193" s="2"/>
      <c r="E193" s="2"/>
      <c r="F193" s="2"/>
    </row>
    <row r="194" spans="2:6" x14ac:dyDescent="0.25">
      <c r="B194" s="2"/>
      <c r="C194" s="2"/>
      <c r="D194" s="2"/>
      <c r="E194" s="2"/>
      <c r="F194" s="2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4">
    <tabColor theme="5" tint="-0.249977111117893"/>
  </sheetPr>
  <dimension ref="B1:G307"/>
  <sheetViews>
    <sheetView showGridLines="0" topLeftCell="A292" workbookViewId="0">
      <selection activeCell="D304" sqref="D304"/>
    </sheetView>
  </sheetViews>
  <sheetFormatPr defaultRowHeight="15" x14ac:dyDescent="0.25"/>
  <cols>
    <col min="2" max="2" width="17" style="13" customWidth="1"/>
    <col min="3" max="3" width="72" bestFit="1" customWidth="1"/>
    <col min="4" max="4" width="45.42578125" customWidth="1"/>
    <col min="5" max="5" width="16.140625" bestFit="1" customWidth="1"/>
    <col min="6" max="6" width="10.42578125" bestFit="1" customWidth="1"/>
    <col min="7" max="7" width="11" bestFit="1" customWidth="1"/>
  </cols>
  <sheetData>
    <row r="1" spans="2:7" ht="30" customHeight="1" x14ac:dyDescent="0.25">
      <c r="B1" s="10" t="s">
        <v>0</v>
      </c>
      <c r="C1" s="11" t="s">
        <v>1</v>
      </c>
      <c r="D1" s="11" t="s">
        <v>2</v>
      </c>
      <c r="E1" s="11" t="s">
        <v>826</v>
      </c>
      <c r="F1" s="11" t="s">
        <v>1095</v>
      </c>
      <c r="G1" s="11" t="s">
        <v>1507</v>
      </c>
    </row>
    <row r="2" spans="2:7" ht="15.75" x14ac:dyDescent="0.25">
      <c r="B2" s="12" t="s">
        <v>106</v>
      </c>
      <c r="C2" s="2" t="s">
        <v>283</v>
      </c>
      <c r="D2" s="2" t="s">
        <v>284</v>
      </c>
      <c r="E2" s="2"/>
      <c r="F2" s="28"/>
      <c r="G2" s="2"/>
    </row>
    <row r="3" spans="2:7" ht="15.75" x14ac:dyDescent="0.25">
      <c r="B3" s="4">
        <v>45383</v>
      </c>
      <c r="C3" s="2" t="s">
        <v>285</v>
      </c>
      <c r="D3" s="2"/>
      <c r="E3" s="2"/>
      <c r="F3" s="28"/>
      <c r="G3" s="2"/>
    </row>
    <row r="4" spans="2:7" ht="15.75" x14ac:dyDescent="0.25">
      <c r="B4" s="4">
        <v>45383</v>
      </c>
      <c r="C4" s="2" t="s">
        <v>286</v>
      </c>
      <c r="D4" s="2" t="s">
        <v>287</v>
      </c>
      <c r="E4" s="2"/>
      <c r="F4" s="28"/>
      <c r="G4" s="2"/>
    </row>
    <row r="5" spans="2:7" ht="15.75" x14ac:dyDescent="0.25">
      <c r="B5" s="4">
        <v>45384</v>
      </c>
      <c r="C5" s="2" t="s">
        <v>287</v>
      </c>
      <c r="D5" s="2"/>
      <c r="E5" s="2"/>
      <c r="F5" s="28"/>
      <c r="G5" s="2"/>
    </row>
    <row r="6" spans="2:7" ht="15.75" x14ac:dyDescent="0.25">
      <c r="B6" s="4">
        <v>45384</v>
      </c>
      <c r="C6" s="2" t="s">
        <v>288</v>
      </c>
      <c r="D6" s="2" t="s">
        <v>289</v>
      </c>
      <c r="E6" s="2"/>
      <c r="F6" s="28"/>
      <c r="G6" s="2"/>
    </row>
    <row r="7" spans="2:7" ht="15.75" x14ac:dyDescent="0.25">
      <c r="B7" s="4">
        <v>45385</v>
      </c>
      <c r="C7" s="2" t="s">
        <v>289</v>
      </c>
      <c r="D7" s="2"/>
      <c r="E7" s="2"/>
      <c r="F7" s="28"/>
      <c r="G7" s="2"/>
    </row>
    <row r="8" spans="2:7" ht="15.75" x14ac:dyDescent="0.25">
      <c r="B8" s="4">
        <v>45385</v>
      </c>
      <c r="C8" s="2" t="s">
        <v>29</v>
      </c>
      <c r="D8" s="2" t="s">
        <v>290</v>
      </c>
      <c r="E8" s="2"/>
      <c r="F8" s="28"/>
      <c r="G8" s="2"/>
    </row>
    <row r="9" spans="2:7" ht="15.75" x14ac:dyDescent="0.25">
      <c r="B9" s="4">
        <v>45386</v>
      </c>
      <c r="C9" s="2" t="s">
        <v>290</v>
      </c>
      <c r="D9" s="2"/>
      <c r="E9" s="2"/>
      <c r="F9" s="28"/>
      <c r="G9" s="2"/>
    </row>
    <row r="10" spans="2:7" ht="15.75" x14ac:dyDescent="0.25">
      <c r="B10" s="4">
        <v>45386</v>
      </c>
      <c r="C10" s="2" t="s">
        <v>291</v>
      </c>
      <c r="D10" s="2" t="s">
        <v>292</v>
      </c>
      <c r="E10" s="2"/>
      <c r="F10" s="28"/>
      <c r="G10" s="2"/>
    </row>
    <row r="11" spans="2:7" ht="15.75" x14ac:dyDescent="0.25">
      <c r="B11" s="4">
        <v>45387</v>
      </c>
      <c r="C11" s="2" t="s">
        <v>292</v>
      </c>
      <c r="D11" s="2"/>
      <c r="E11" s="2"/>
      <c r="F11" s="28"/>
      <c r="G11" s="2"/>
    </row>
    <row r="12" spans="2:7" ht="15.75" x14ac:dyDescent="0.25">
      <c r="B12" s="4">
        <v>45387</v>
      </c>
      <c r="C12" s="2" t="s">
        <v>293</v>
      </c>
      <c r="D12" s="2" t="s">
        <v>19</v>
      </c>
      <c r="E12" s="2"/>
      <c r="F12" s="28"/>
      <c r="G12" s="2"/>
    </row>
    <row r="13" spans="2:7" ht="15.75" x14ac:dyDescent="0.25">
      <c r="B13" s="4">
        <v>45388</v>
      </c>
      <c r="C13" s="2" t="s">
        <v>19</v>
      </c>
      <c r="D13" s="2"/>
      <c r="E13" s="2"/>
      <c r="F13" s="28"/>
      <c r="G13" s="2"/>
    </row>
    <row r="14" spans="2:7" ht="15.75" x14ac:dyDescent="0.25">
      <c r="B14" s="4">
        <v>45388</v>
      </c>
      <c r="C14" s="2" t="s">
        <v>294</v>
      </c>
      <c r="D14" s="2"/>
      <c r="E14" s="2"/>
      <c r="F14" s="28"/>
      <c r="G14" s="2"/>
    </row>
    <row r="15" spans="2:7" ht="15.75" x14ac:dyDescent="0.25">
      <c r="B15" s="4">
        <v>45389</v>
      </c>
      <c r="C15" s="2" t="s">
        <v>131</v>
      </c>
      <c r="D15" s="2"/>
      <c r="E15" s="2"/>
      <c r="F15" s="28"/>
      <c r="G15" s="2"/>
    </row>
    <row r="16" spans="2:7" ht="15.75" x14ac:dyDescent="0.25">
      <c r="B16" s="4">
        <v>45390</v>
      </c>
      <c r="C16" s="2" t="s">
        <v>131</v>
      </c>
      <c r="D16" s="2"/>
      <c r="E16" s="2"/>
      <c r="F16" s="28"/>
      <c r="G16" s="2"/>
    </row>
    <row r="17" spans="2:7" ht="15.75" x14ac:dyDescent="0.25">
      <c r="B17" s="4">
        <v>45391</v>
      </c>
      <c r="C17" s="2" t="s">
        <v>131</v>
      </c>
      <c r="D17" s="2"/>
      <c r="E17" s="2"/>
      <c r="F17" s="28"/>
      <c r="G17" s="2"/>
    </row>
    <row r="18" spans="2:7" ht="15.75" x14ac:dyDescent="0.25">
      <c r="B18" s="4">
        <v>45392</v>
      </c>
      <c r="C18" s="2" t="s">
        <v>131</v>
      </c>
      <c r="D18" s="2"/>
      <c r="E18" s="2"/>
      <c r="F18" s="28"/>
      <c r="G18" s="2"/>
    </row>
    <row r="19" spans="2:7" ht="15.75" x14ac:dyDescent="0.25">
      <c r="B19" s="4">
        <v>45393</v>
      </c>
      <c r="C19" s="2" t="s">
        <v>131</v>
      </c>
      <c r="D19" s="2"/>
      <c r="E19" s="2"/>
      <c r="F19" s="28"/>
      <c r="G19" s="2"/>
    </row>
    <row r="20" spans="2:7" ht="15.75" x14ac:dyDescent="0.25">
      <c r="B20" s="4">
        <v>45394</v>
      </c>
      <c r="C20" s="2" t="s">
        <v>131</v>
      </c>
      <c r="D20" s="2"/>
      <c r="E20" s="2"/>
      <c r="F20" s="28"/>
      <c r="G20" s="2"/>
    </row>
    <row r="21" spans="2:7" ht="15.75" x14ac:dyDescent="0.25">
      <c r="B21" s="4">
        <v>45395</v>
      </c>
      <c r="C21" s="2" t="s">
        <v>131</v>
      </c>
      <c r="D21" s="2"/>
      <c r="E21" s="2"/>
      <c r="F21" s="28"/>
      <c r="G21" s="2"/>
    </row>
    <row r="22" spans="2:7" ht="15.75" x14ac:dyDescent="0.25">
      <c r="B22" s="4">
        <v>45396</v>
      </c>
      <c r="C22" s="2" t="s">
        <v>131</v>
      </c>
      <c r="D22" s="2"/>
      <c r="E22" s="2"/>
      <c r="F22" s="28"/>
      <c r="G22" s="2"/>
    </row>
    <row r="23" spans="2:7" ht="15.75" x14ac:dyDescent="0.25">
      <c r="B23" s="4">
        <v>45397</v>
      </c>
      <c r="C23" s="2" t="s">
        <v>131</v>
      </c>
      <c r="D23" s="2"/>
      <c r="E23" s="2"/>
      <c r="F23" s="28"/>
      <c r="G23" s="2"/>
    </row>
    <row r="24" spans="2:7" ht="15.75" x14ac:dyDescent="0.25">
      <c r="B24" s="4">
        <v>45398</v>
      </c>
      <c r="C24" s="2" t="s">
        <v>295</v>
      </c>
      <c r="D24" s="2" t="s">
        <v>296</v>
      </c>
      <c r="E24" s="2"/>
      <c r="F24" s="28"/>
      <c r="G24" s="2"/>
    </row>
    <row r="25" spans="2:7" ht="15.75" x14ac:dyDescent="0.25">
      <c r="B25" s="4">
        <v>45399</v>
      </c>
      <c r="C25" s="2" t="s">
        <v>296</v>
      </c>
      <c r="D25" s="2"/>
      <c r="E25" s="2"/>
      <c r="F25" s="28"/>
      <c r="G25" s="2"/>
    </row>
    <row r="26" spans="2:7" ht="15.75" x14ac:dyDescent="0.25">
      <c r="B26" s="4">
        <v>45400</v>
      </c>
      <c r="C26" s="2" t="s">
        <v>297</v>
      </c>
      <c r="D26" s="2"/>
      <c r="E26" s="2"/>
      <c r="F26" s="28"/>
      <c r="G26" s="2"/>
    </row>
    <row r="27" spans="2:7" ht="15.75" x14ac:dyDescent="0.25">
      <c r="B27" s="4">
        <v>45400</v>
      </c>
      <c r="C27" s="2" t="s">
        <v>298</v>
      </c>
      <c r="D27" s="2"/>
      <c r="E27" s="2"/>
      <c r="F27" s="28"/>
      <c r="G27" s="2"/>
    </row>
    <row r="28" spans="2:7" ht="15.75" x14ac:dyDescent="0.25">
      <c r="B28" s="4">
        <v>45401</v>
      </c>
      <c r="C28" s="2" t="s">
        <v>299</v>
      </c>
      <c r="D28" s="2" t="s">
        <v>48</v>
      </c>
      <c r="E28" s="2"/>
      <c r="F28" s="28"/>
      <c r="G28" s="2"/>
    </row>
    <row r="29" spans="2:7" ht="15.75" x14ac:dyDescent="0.25">
      <c r="B29" s="4">
        <v>45402</v>
      </c>
      <c r="C29" s="2" t="s">
        <v>48</v>
      </c>
      <c r="D29" s="2"/>
      <c r="E29" s="2"/>
      <c r="F29" s="28"/>
      <c r="G29" s="2"/>
    </row>
    <row r="30" spans="2:7" ht="15.75" x14ac:dyDescent="0.25">
      <c r="B30" s="4">
        <v>45402</v>
      </c>
      <c r="C30" s="2" t="s">
        <v>300</v>
      </c>
      <c r="D30" s="2"/>
      <c r="E30" s="2"/>
      <c r="F30" s="28"/>
      <c r="G30" s="2"/>
    </row>
    <row r="31" spans="2:7" ht="15.75" x14ac:dyDescent="0.25">
      <c r="B31" s="4">
        <v>45403</v>
      </c>
      <c r="C31" s="2" t="s">
        <v>301</v>
      </c>
      <c r="D31" s="2" t="s">
        <v>302</v>
      </c>
      <c r="E31" s="2"/>
      <c r="F31" s="28"/>
      <c r="G31" s="2"/>
    </row>
    <row r="32" spans="2:7" ht="15.75" x14ac:dyDescent="0.25">
      <c r="B32" s="4">
        <v>45404</v>
      </c>
      <c r="C32" s="2" t="s">
        <v>301</v>
      </c>
      <c r="D32" s="2" t="s">
        <v>39</v>
      </c>
      <c r="E32" s="2"/>
      <c r="F32" s="28"/>
      <c r="G32" s="2"/>
    </row>
    <row r="33" spans="2:7" ht="15.75" x14ac:dyDescent="0.25">
      <c r="B33" s="4">
        <v>45405</v>
      </c>
      <c r="C33" s="2" t="s">
        <v>39</v>
      </c>
      <c r="D33" s="2"/>
      <c r="E33" s="2"/>
      <c r="F33" s="28"/>
      <c r="G33" s="2"/>
    </row>
    <row r="34" spans="2:7" ht="15.75" x14ac:dyDescent="0.25">
      <c r="B34" s="4">
        <v>45405</v>
      </c>
      <c r="C34" s="2" t="s">
        <v>303</v>
      </c>
      <c r="D34" s="2"/>
      <c r="E34" s="2"/>
      <c r="F34" s="28"/>
      <c r="G34" s="2"/>
    </row>
    <row r="35" spans="2:7" ht="15.75" x14ac:dyDescent="0.25">
      <c r="B35" s="4">
        <v>45406</v>
      </c>
      <c r="C35" s="2" t="s">
        <v>304</v>
      </c>
      <c r="D35" s="2"/>
      <c r="E35" s="2"/>
      <c r="F35" s="28"/>
      <c r="G35" s="2"/>
    </row>
    <row r="36" spans="2:7" ht="15.75" x14ac:dyDescent="0.25">
      <c r="B36" s="4">
        <v>45407</v>
      </c>
      <c r="C36" s="2" t="s">
        <v>304</v>
      </c>
      <c r="D36" s="2"/>
      <c r="E36" s="2"/>
      <c r="F36" s="28"/>
      <c r="G36" s="2"/>
    </row>
    <row r="37" spans="2:7" ht="15.75" x14ac:dyDescent="0.25">
      <c r="B37" s="4">
        <v>45408</v>
      </c>
      <c r="C37" s="2" t="s">
        <v>39</v>
      </c>
      <c r="D37" s="2"/>
      <c r="E37" s="2"/>
      <c r="F37" s="28"/>
      <c r="G37" s="2"/>
    </row>
    <row r="38" spans="2:7" ht="15.75" x14ac:dyDescent="0.25">
      <c r="B38" s="4">
        <v>45409</v>
      </c>
      <c r="C38" s="2" t="s">
        <v>39</v>
      </c>
      <c r="D38" s="2"/>
      <c r="E38" s="2"/>
      <c r="F38" s="28"/>
      <c r="G38" s="2"/>
    </row>
    <row r="39" spans="2:7" ht="15.75" x14ac:dyDescent="0.25">
      <c r="B39" s="4">
        <v>45410</v>
      </c>
      <c r="C39" s="2" t="s">
        <v>305</v>
      </c>
      <c r="D39" s="2" t="s">
        <v>306</v>
      </c>
      <c r="E39" s="2"/>
      <c r="F39" s="28"/>
      <c r="G39" s="2"/>
    </row>
    <row r="40" spans="2:7" ht="15.75" x14ac:dyDescent="0.25">
      <c r="B40" s="4">
        <v>45411</v>
      </c>
      <c r="C40" s="2" t="s">
        <v>307</v>
      </c>
      <c r="D40" s="2" t="s">
        <v>308</v>
      </c>
      <c r="E40" s="2"/>
      <c r="F40" s="28"/>
      <c r="G40" s="2"/>
    </row>
    <row r="41" spans="2:7" ht="15.75" x14ac:dyDescent="0.25">
      <c r="B41" s="4">
        <v>45412</v>
      </c>
      <c r="C41" s="2" t="s">
        <v>309</v>
      </c>
      <c r="D41" s="2" t="s">
        <v>310</v>
      </c>
      <c r="E41" s="2"/>
      <c r="F41" s="28"/>
      <c r="G41" s="2"/>
    </row>
    <row r="42" spans="2:7" ht="15.75" x14ac:dyDescent="0.25">
      <c r="B42" s="12" t="s">
        <v>161</v>
      </c>
      <c r="C42" s="2" t="s">
        <v>311</v>
      </c>
      <c r="D42" s="2" t="s">
        <v>312</v>
      </c>
      <c r="E42" s="2"/>
      <c r="F42" s="28"/>
      <c r="G42" s="2"/>
    </row>
    <row r="43" spans="2:7" ht="15.75" x14ac:dyDescent="0.25">
      <c r="B43" s="12" t="s">
        <v>164</v>
      </c>
      <c r="C43" s="2"/>
      <c r="D43" s="2"/>
      <c r="E43" s="2"/>
      <c r="F43" s="28"/>
      <c r="G43" s="2"/>
    </row>
    <row r="44" spans="2:7" ht="15.75" x14ac:dyDescent="0.25">
      <c r="B44" s="12" t="s">
        <v>166</v>
      </c>
      <c r="C44" s="2" t="s">
        <v>313</v>
      </c>
      <c r="D44" s="2"/>
      <c r="E44" s="2"/>
      <c r="F44" s="28"/>
      <c r="G44" s="2"/>
    </row>
    <row r="45" spans="2:7" ht="15.75" x14ac:dyDescent="0.25">
      <c r="B45" s="12" t="s">
        <v>169</v>
      </c>
      <c r="C45" s="2" t="s">
        <v>314</v>
      </c>
      <c r="D45" s="2" t="s">
        <v>315</v>
      </c>
      <c r="E45" s="2"/>
      <c r="F45" s="28"/>
      <c r="G45" s="2"/>
    </row>
    <row r="46" spans="2:7" ht="15.75" x14ac:dyDescent="0.25">
      <c r="B46" s="12" t="s">
        <v>173</v>
      </c>
      <c r="C46" s="2" t="s">
        <v>316</v>
      </c>
      <c r="D46" s="2"/>
      <c r="E46" s="2"/>
      <c r="F46" s="28"/>
      <c r="G46" s="2"/>
    </row>
    <row r="47" spans="2:7" ht="15.75" x14ac:dyDescent="0.25">
      <c r="B47" s="12" t="s">
        <v>178</v>
      </c>
      <c r="C47" s="2" t="s">
        <v>317</v>
      </c>
      <c r="D47" s="2"/>
      <c r="E47" s="2"/>
      <c r="F47" s="28"/>
      <c r="G47" s="2"/>
    </row>
    <row r="48" spans="2:7" ht="15.75" x14ac:dyDescent="0.25">
      <c r="B48" s="12" t="s">
        <v>185</v>
      </c>
      <c r="C48" s="2" t="s">
        <v>318</v>
      </c>
      <c r="D48" s="2"/>
      <c r="E48" s="2"/>
      <c r="F48" s="28"/>
    </row>
    <row r="49" spans="2:6" ht="15.75" x14ac:dyDescent="0.25">
      <c r="B49" s="12" t="s">
        <v>187</v>
      </c>
      <c r="C49" s="2" t="s">
        <v>319</v>
      </c>
      <c r="D49" s="2"/>
      <c r="E49" s="2"/>
      <c r="F49" s="28"/>
    </row>
    <row r="50" spans="2:6" ht="15.75" x14ac:dyDescent="0.25">
      <c r="B50" s="12" t="s">
        <v>189</v>
      </c>
      <c r="C50" s="2" t="s">
        <v>320</v>
      </c>
      <c r="D50" s="2"/>
      <c r="E50" s="2"/>
      <c r="F50" s="28"/>
    </row>
    <row r="51" spans="2:6" ht="15.75" x14ac:dyDescent="0.25">
      <c r="B51" s="12" t="s">
        <v>191</v>
      </c>
      <c r="C51" s="2" t="s">
        <v>321</v>
      </c>
      <c r="D51" s="2"/>
      <c r="E51" s="2"/>
      <c r="F51" s="28"/>
    </row>
    <row r="52" spans="2:6" ht="15.75" x14ac:dyDescent="0.25">
      <c r="B52" s="12" t="s">
        <v>193</v>
      </c>
      <c r="C52" s="2" t="s">
        <v>322</v>
      </c>
      <c r="D52" s="2"/>
      <c r="E52" s="2"/>
      <c r="F52" s="28"/>
    </row>
    <row r="53" spans="2:6" ht="15.75" x14ac:dyDescent="0.25">
      <c r="B53" s="12" t="s">
        <v>194</v>
      </c>
      <c r="C53" s="2" t="s">
        <v>323</v>
      </c>
      <c r="D53" s="2"/>
      <c r="E53" s="2"/>
      <c r="F53" s="28"/>
    </row>
    <row r="54" spans="2:6" ht="15.75" x14ac:dyDescent="0.25">
      <c r="B54" s="12" t="s">
        <v>196</v>
      </c>
      <c r="C54" s="2" t="s">
        <v>323</v>
      </c>
      <c r="D54" s="2"/>
      <c r="E54" s="2"/>
      <c r="F54" s="28"/>
    </row>
    <row r="55" spans="2:6" ht="15.75" x14ac:dyDescent="0.25">
      <c r="B55" s="12" t="s">
        <v>200</v>
      </c>
      <c r="C55" s="2" t="s">
        <v>324</v>
      </c>
      <c r="D55" s="2"/>
      <c r="E55" s="2"/>
      <c r="F55" s="28"/>
    </row>
    <row r="56" spans="2:6" ht="15.75" x14ac:dyDescent="0.25">
      <c r="B56" s="12" t="s">
        <v>202</v>
      </c>
      <c r="C56" s="2" t="s">
        <v>325</v>
      </c>
      <c r="D56" s="2"/>
      <c r="E56" s="2"/>
      <c r="F56" s="28"/>
    </row>
    <row r="57" spans="2:6" ht="15.75" x14ac:dyDescent="0.25">
      <c r="B57" s="12" t="s">
        <v>206</v>
      </c>
      <c r="C57" s="2" t="s">
        <v>326</v>
      </c>
      <c r="D57" s="2"/>
      <c r="E57" s="2"/>
      <c r="F57" s="28"/>
    </row>
    <row r="58" spans="2:6" ht="15.75" x14ac:dyDescent="0.25">
      <c r="B58" s="12" t="s">
        <v>208</v>
      </c>
      <c r="C58" s="2" t="s">
        <v>326</v>
      </c>
      <c r="D58" s="2"/>
      <c r="E58" s="2"/>
      <c r="F58" s="28"/>
    </row>
    <row r="59" spans="2:6" ht="15.75" x14ac:dyDescent="0.25">
      <c r="B59" s="12" t="s">
        <v>210</v>
      </c>
      <c r="C59" s="2" t="s">
        <v>327</v>
      </c>
      <c r="D59" s="2"/>
      <c r="E59" s="2"/>
      <c r="F59" s="28"/>
    </row>
    <row r="60" spans="2:6" ht="15.75" x14ac:dyDescent="0.25">
      <c r="B60" s="12" t="s">
        <v>212</v>
      </c>
      <c r="C60" s="2" t="s">
        <v>328</v>
      </c>
      <c r="D60" s="2"/>
      <c r="E60" s="2"/>
      <c r="F60" s="28"/>
    </row>
    <row r="61" spans="2:6" ht="15.75" x14ac:dyDescent="0.25">
      <c r="B61" s="12" t="s">
        <v>214</v>
      </c>
      <c r="C61" s="2" t="s">
        <v>329</v>
      </c>
      <c r="D61" s="2"/>
      <c r="E61" s="2"/>
      <c r="F61" s="28"/>
    </row>
    <row r="62" spans="2:6" ht="15.75" x14ac:dyDescent="0.25">
      <c r="B62" s="12" t="s">
        <v>217</v>
      </c>
      <c r="C62" s="2" t="s">
        <v>330</v>
      </c>
      <c r="D62" s="2" t="s">
        <v>331</v>
      </c>
      <c r="E62" s="2"/>
      <c r="F62" s="28"/>
    </row>
    <row r="63" spans="2:6" ht="15.75" x14ac:dyDescent="0.25">
      <c r="B63" s="12" t="s">
        <v>219</v>
      </c>
      <c r="C63" s="2" t="s">
        <v>332</v>
      </c>
      <c r="D63" s="2"/>
      <c r="E63" s="2"/>
      <c r="F63" s="28"/>
    </row>
    <row r="64" spans="2:6" ht="15.75" x14ac:dyDescent="0.25">
      <c r="B64" s="12" t="s">
        <v>223</v>
      </c>
      <c r="C64" s="2" t="s">
        <v>333</v>
      </c>
      <c r="D64" s="2"/>
      <c r="E64" s="2"/>
      <c r="F64" s="28"/>
    </row>
    <row r="65" spans="2:6" ht="15.75" x14ac:dyDescent="0.25">
      <c r="B65" s="12" t="s">
        <v>228</v>
      </c>
      <c r="C65" s="2" t="s">
        <v>334</v>
      </c>
      <c r="D65" s="2"/>
      <c r="E65" s="2"/>
      <c r="F65" s="28"/>
    </row>
    <row r="66" spans="2:6" ht="15.75" x14ac:dyDescent="0.25">
      <c r="B66" s="12" t="s">
        <v>232</v>
      </c>
      <c r="C66" s="2" t="s">
        <v>335</v>
      </c>
      <c r="D66" s="2"/>
      <c r="E66" s="2"/>
      <c r="F66" s="28"/>
    </row>
    <row r="67" spans="2:6" ht="15.75" x14ac:dyDescent="0.25">
      <c r="B67" s="12" t="s">
        <v>237</v>
      </c>
      <c r="C67" s="2" t="s">
        <v>336</v>
      </c>
      <c r="D67" s="2" t="s">
        <v>337</v>
      </c>
      <c r="E67" s="2"/>
      <c r="F67" s="28"/>
    </row>
    <row r="68" spans="2:6" ht="15.75" x14ac:dyDescent="0.25">
      <c r="B68" s="12" t="s">
        <v>241</v>
      </c>
      <c r="C68" s="2" t="s">
        <v>338</v>
      </c>
      <c r="D68" s="2" t="s">
        <v>339</v>
      </c>
      <c r="E68" s="2"/>
      <c r="F68" s="28"/>
    </row>
    <row r="69" spans="2:6" ht="15.75" x14ac:dyDescent="0.25">
      <c r="B69" s="12" t="s">
        <v>241</v>
      </c>
      <c r="C69" s="2" t="s">
        <v>340</v>
      </c>
      <c r="D69" s="2"/>
      <c r="E69" s="2"/>
      <c r="F69" s="28"/>
    </row>
    <row r="70" spans="2:6" ht="15.75" x14ac:dyDescent="0.25">
      <c r="B70" s="12" t="s">
        <v>246</v>
      </c>
      <c r="C70" s="2" t="s">
        <v>341</v>
      </c>
      <c r="D70" s="2" t="s">
        <v>342</v>
      </c>
      <c r="E70" s="2"/>
      <c r="F70" s="28"/>
    </row>
    <row r="71" spans="2:6" ht="15.75" x14ac:dyDescent="0.25">
      <c r="B71" s="12" t="s">
        <v>251</v>
      </c>
      <c r="C71" s="2" t="s">
        <v>343</v>
      </c>
      <c r="D71" s="2"/>
      <c r="E71" s="2"/>
      <c r="F71" s="28"/>
    </row>
    <row r="72" spans="2:6" ht="15.75" x14ac:dyDescent="0.25">
      <c r="B72" s="12" t="s">
        <v>255</v>
      </c>
      <c r="C72" s="2" t="s">
        <v>344</v>
      </c>
      <c r="D72" s="2"/>
      <c r="E72" s="2"/>
      <c r="F72" s="28"/>
    </row>
    <row r="73" spans="2:6" ht="15.75" x14ac:dyDescent="0.25">
      <c r="B73" s="12" t="s">
        <v>258</v>
      </c>
      <c r="C73" s="2" t="s">
        <v>343</v>
      </c>
      <c r="D73" s="2"/>
      <c r="E73" s="2"/>
      <c r="F73" s="28"/>
    </row>
    <row r="74" spans="2:6" ht="15.75" x14ac:dyDescent="0.25">
      <c r="B74" s="12" t="s">
        <v>263</v>
      </c>
      <c r="C74" s="2" t="s">
        <v>345</v>
      </c>
      <c r="D74" s="2"/>
      <c r="E74" s="2"/>
      <c r="F74" s="28"/>
    </row>
    <row r="75" spans="2:6" ht="15.75" x14ac:dyDescent="0.25">
      <c r="B75" s="12" t="s">
        <v>269</v>
      </c>
      <c r="C75" s="2" t="s">
        <v>346</v>
      </c>
      <c r="D75" s="2"/>
      <c r="E75" s="2"/>
      <c r="F75" s="28"/>
    </row>
    <row r="76" spans="2:6" ht="15.75" x14ac:dyDescent="0.25">
      <c r="B76" s="12" t="s">
        <v>269</v>
      </c>
      <c r="C76" s="2" t="s">
        <v>347</v>
      </c>
      <c r="D76" s="2"/>
      <c r="E76" s="2"/>
      <c r="F76" s="28"/>
    </row>
    <row r="77" spans="2:6" ht="15.75" x14ac:dyDescent="0.25">
      <c r="B77" s="12" t="s">
        <v>275</v>
      </c>
      <c r="C77" s="2" t="s">
        <v>348</v>
      </c>
      <c r="D77" s="2"/>
      <c r="E77" s="2"/>
      <c r="F77" s="28"/>
    </row>
    <row r="78" spans="2:6" ht="15.75" x14ac:dyDescent="0.25">
      <c r="B78" s="12" t="s">
        <v>698</v>
      </c>
      <c r="C78" s="2" t="s">
        <v>702</v>
      </c>
      <c r="D78" s="2" t="s">
        <v>337</v>
      </c>
      <c r="E78" s="2"/>
      <c r="F78" s="28"/>
    </row>
    <row r="79" spans="2:6" ht="15.75" x14ac:dyDescent="0.25">
      <c r="B79" s="12" t="s">
        <v>710</v>
      </c>
      <c r="C79" s="2" t="s">
        <v>733</v>
      </c>
      <c r="D79" s="2"/>
      <c r="E79" s="2"/>
      <c r="F79" s="28"/>
    </row>
    <row r="80" spans="2:6" ht="15.75" x14ac:dyDescent="0.25">
      <c r="B80" s="12" t="s">
        <v>722</v>
      </c>
      <c r="C80" s="2" t="s">
        <v>732</v>
      </c>
      <c r="D80" s="2"/>
      <c r="E80" s="2"/>
      <c r="F80" s="28"/>
    </row>
    <row r="81" spans="2:6" ht="15.75" x14ac:dyDescent="0.25">
      <c r="B81" s="12" t="s">
        <v>723</v>
      </c>
      <c r="C81" s="2" t="s">
        <v>732</v>
      </c>
      <c r="D81" s="2"/>
      <c r="E81" s="2"/>
      <c r="F81" s="28"/>
    </row>
    <row r="82" spans="2:6" ht="15.75" x14ac:dyDescent="0.25">
      <c r="B82" s="12" t="s">
        <v>745</v>
      </c>
      <c r="C82" s="2" t="s">
        <v>732</v>
      </c>
      <c r="D82" s="2"/>
      <c r="E82" s="2"/>
      <c r="F82" s="28"/>
    </row>
    <row r="83" spans="2:6" ht="15.75" x14ac:dyDescent="0.25">
      <c r="B83" s="12" t="s">
        <v>754</v>
      </c>
      <c r="C83" s="2" t="s">
        <v>757</v>
      </c>
      <c r="D83" s="2"/>
      <c r="E83" s="2"/>
      <c r="F83" s="28"/>
    </row>
    <row r="84" spans="2:6" ht="15.75" x14ac:dyDescent="0.25">
      <c r="B84" s="12" t="s">
        <v>763</v>
      </c>
      <c r="C84" s="2" t="s">
        <v>765</v>
      </c>
      <c r="D84" s="2"/>
      <c r="E84" s="23"/>
      <c r="F84" s="28"/>
    </row>
    <row r="85" spans="2:6" ht="15.75" x14ac:dyDescent="0.25">
      <c r="B85" s="12" t="s">
        <v>775</v>
      </c>
      <c r="C85" s="2" t="s">
        <v>779</v>
      </c>
      <c r="D85" s="2"/>
      <c r="E85" s="23"/>
      <c r="F85" s="28"/>
    </row>
    <row r="86" spans="2:6" ht="15.75" x14ac:dyDescent="0.25">
      <c r="B86" s="12" t="s">
        <v>780</v>
      </c>
      <c r="C86" s="2" t="s">
        <v>789</v>
      </c>
      <c r="D86" s="2"/>
      <c r="E86" s="23"/>
      <c r="F86" s="28"/>
    </row>
    <row r="87" spans="2:6" ht="15.75" x14ac:dyDescent="0.25">
      <c r="B87" s="12" t="s">
        <v>792</v>
      </c>
      <c r="C87" s="2" t="s">
        <v>797</v>
      </c>
      <c r="D87" s="2"/>
      <c r="E87" s="23"/>
      <c r="F87" s="28"/>
    </row>
    <row r="88" spans="2:6" ht="15.75" x14ac:dyDescent="0.25">
      <c r="B88" s="12" t="s">
        <v>793</v>
      </c>
      <c r="C88" s="2" t="s">
        <v>797</v>
      </c>
      <c r="D88" s="2"/>
      <c r="E88" s="23"/>
      <c r="F88" s="28"/>
    </row>
    <row r="89" spans="2:6" ht="15.75" x14ac:dyDescent="0.25">
      <c r="B89" s="12" t="s">
        <v>794</v>
      </c>
      <c r="C89" s="2" t="s">
        <v>285</v>
      </c>
      <c r="D89" s="2"/>
      <c r="E89" s="23">
        <v>0</v>
      </c>
      <c r="F89" s="28"/>
    </row>
    <row r="90" spans="2:6" ht="15.75" x14ac:dyDescent="0.25">
      <c r="B90" s="12" t="s">
        <v>821</v>
      </c>
      <c r="C90" s="2" t="s">
        <v>732</v>
      </c>
      <c r="D90" s="2"/>
      <c r="E90" s="25">
        <v>28</v>
      </c>
      <c r="F90" s="29">
        <f>E90-E89</f>
        <v>28</v>
      </c>
    </row>
    <row r="91" spans="2:6" ht="15.75" x14ac:dyDescent="0.25">
      <c r="B91" s="12" t="s">
        <v>833</v>
      </c>
      <c r="C91" s="2" t="s">
        <v>732</v>
      </c>
      <c r="D91" s="2"/>
      <c r="E91" s="25">
        <v>28.5</v>
      </c>
      <c r="F91" s="29">
        <f t="shared" ref="F91:F113" si="0">E91-E90</f>
        <v>0.5</v>
      </c>
    </row>
    <row r="92" spans="2:6" ht="15.75" x14ac:dyDescent="0.25">
      <c r="B92" s="12" t="s">
        <v>838</v>
      </c>
      <c r="C92" s="2" t="s">
        <v>732</v>
      </c>
      <c r="D92" s="2"/>
      <c r="E92" s="25">
        <v>29</v>
      </c>
      <c r="F92" s="29">
        <f t="shared" si="0"/>
        <v>0.5</v>
      </c>
    </row>
    <row r="93" spans="2:6" ht="15.75" x14ac:dyDescent="0.25">
      <c r="B93" s="12" t="s">
        <v>839</v>
      </c>
      <c r="C93" s="2" t="s">
        <v>844</v>
      </c>
      <c r="D93" s="2"/>
      <c r="E93" s="25">
        <v>29</v>
      </c>
      <c r="F93" s="29">
        <f t="shared" si="0"/>
        <v>0</v>
      </c>
    </row>
    <row r="94" spans="2:6" ht="15.75" x14ac:dyDescent="0.25">
      <c r="B94" s="12" t="s">
        <v>861</v>
      </c>
      <c r="C94" s="2" t="s">
        <v>732</v>
      </c>
      <c r="D94" s="2"/>
      <c r="E94" s="25">
        <v>29.5</v>
      </c>
      <c r="F94" s="29">
        <f t="shared" si="0"/>
        <v>0.5</v>
      </c>
    </row>
    <row r="95" spans="2:6" ht="15.75" x14ac:dyDescent="0.25">
      <c r="B95" s="12" t="s">
        <v>871</v>
      </c>
      <c r="C95" s="2" t="s">
        <v>876</v>
      </c>
      <c r="D95" s="2"/>
      <c r="E95" s="25">
        <v>29.5</v>
      </c>
      <c r="F95" s="29">
        <f t="shared" si="0"/>
        <v>0</v>
      </c>
    </row>
    <row r="96" spans="2:6" ht="15.75" x14ac:dyDescent="0.25">
      <c r="B96" s="12" t="s">
        <v>871</v>
      </c>
      <c r="C96" s="2" t="s">
        <v>877</v>
      </c>
      <c r="D96" s="2"/>
      <c r="E96" s="25">
        <v>29.5</v>
      </c>
      <c r="F96" s="29">
        <f t="shared" si="0"/>
        <v>0</v>
      </c>
    </row>
    <row r="97" spans="2:6" ht="15.75" x14ac:dyDescent="0.25">
      <c r="B97" s="12" t="s">
        <v>895</v>
      </c>
      <c r="C97" s="2" t="s">
        <v>897</v>
      </c>
      <c r="D97" s="2"/>
      <c r="E97" s="25">
        <v>29.5</v>
      </c>
      <c r="F97" s="29">
        <f t="shared" si="0"/>
        <v>0</v>
      </c>
    </row>
    <row r="98" spans="2:6" ht="15.75" x14ac:dyDescent="0.25">
      <c r="B98" s="12" t="s">
        <v>902</v>
      </c>
      <c r="C98" s="2" t="s">
        <v>911</v>
      </c>
      <c r="D98" s="2"/>
      <c r="E98" s="25">
        <v>29.8</v>
      </c>
      <c r="F98" s="29">
        <f t="shared" si="0"/>
        <v>0.30000000000000071</v>
      </c>
    </row>
    <row r="99" spans="2:6" ht="15.75" x14ac:dyDescent="0.25">
      <c r="B99" s="12" t="s">
        <v>903</v>
      </c>
      <c r="C99" s="2" t="s">
        <v>912</v>
      </c>
      <c r="D99" s="2"/>
      <c r="E99" s="23">
        <v>30</v>
      </c>
      <c r="F99" s="29">
        <f t="shared" si="0"/>
        <v>0.19999999999999929</v>
      </c>
    </row>
    <row r="100" spans="2:6" ht="15.75" x14ac:dyDescent="0.25">
      <c r="B100" s="12" t="s">
        <v>943</v>
      </c>
      <c r="C100" s="2" t="s">
        <v>944</v>
      </c>
      <c r="D100" s="2" t="s">
        <v>945</v>
      </c>
      <c r="E100" s="23">
        <v>30.5</v>
      </c>
      <c r="F100" s="29">
        <f t="shared" si="0"/>
        <v>0.5</v>
      </c>
    </row>
    <row r="101" spans="2:6" ht="15.75" x14ac:dyDescent="0.25">
      <c r="B101" s="12" t="s">
        <v>961</v>
      </c>
      <c r="C101" s="2" t="s">
        <v>944</v>
      </c>
      <c r="D101" s="2"/>
      <c r="E101" s="23">
        <v>31</v>
      </c>
      <c r="F101" s="29">
        <f t="shared" si="0"/>
        <v>0.5</v>
      </c>
    </row>
    <row r="102" spans="2:6" ht="15.75" x14ac:dyDescent="0.25">
      <c r="B102" s="12" t="s">
        <v>968</v>
      </c>
      <c r="C102" s="2" t="s">
        <v>944</v>
      </c>
      <c r="D102" s="2"/>
      <c r="E102" s="23">
        <v>31.5</v>
      </c>
      <c r="F102" s="29">
        <f t="shared" si="0"/>
        <v>0.5</v>
      </c>
    </row>
    <row r="103" spans="2:6" ht="15.75" x14ac:dyDescent="0.25">
      <c r="B103" s="12" t="s">
        <v>981</v>
      </c>
      <c r="C103" s="2" t="s">
        <v>982</v>
      </c>
      <c r="D103" s="2"/>
      <c r="E103" s="23">
        <v>31.8</v>
      </c>
      <c r="F103" s="29">
        <f t="shared" si="0"/>
        <v>0.30000000000000071</v>
      </c>
    </row>
    <row r="104" spans="2:6" ht="15.75" x14ac:dyDescent="0.25">
      <c r="B104" s="12" t="s">
        <v>994</v>
      </c>
      <c r="C104" s="2" t="s">
        <v>997</v>
      </c>
      <c r="D104" s="2"/>
      <c r="E104" s="23">
        <v>32</v>
      </c>
      <c r="F104" s="29">
        <f t="shared" si="0"/>
        <v>0.19999999999999929</v>
      </c>
    </row>
    <row r="105" spans="2:6" ht="15.75" x14ac:dyDescent="0.25">
      <c r="B105" s="12" t="s">
        <v>1009</v>
      </c>
      <c r="C105" s="2" t="s">
        <v>997</v>
      </c>
      <c r="D105" s="2"/>
      <c r="E105" s="23">
        <v>32.200000000000003</v>
      </c>
      <c r="F105" s="29">
        <f t="shared" si="0"/>
        <v>0.20000000000000284</v>
      </c>
    </row>
    <row r="106" spans="2:6" ht="15.75" x14ac:dyDescent="0.25">
      <c r="B106" s="12" t="s">
        <v>1021</v>
      </c>
      <c r="C106" s="2" t="s">
        <v>944</v>
      </c>
      <c r="D106" s="2"/>
      <c r="E106" s="23">
        <v>32.700000000000003</v>
      </c>
      <c r="F106" s="29">
        <f t="shared" si="0"/>
        <v>0.5</v>
      </c>
    </row>
    <row r="107" spans="2:6" ht="15.75" x14ac:dyDescent="0.25">
      <c r="B107" s="12" t="s">
        <v>1022</v>
      </c>
      <c r="C107" s="2" t="s">
        <v>944</v>
      </c>
      <c r="D107" s="2"/>
      <c r="E107" s="23">
        <v>33.200000000000003</v>
      </c>
      <c r="F107" s="29">
        <f t="shared" si="0"/>
        <v>0.5</v>
      </c>
    </row>
    <row r="108" spans="2:6" ht="15.75" x14ac:dyDescent="0.25">
      <c r="B108" s="12" t="s">
        <v>1042</v>
      </c>
      <c r="C108" s="2" t="s">
        <v>1048</v>
      </c>
      <c r="D108" s="2"/>
      <c r="E108" s="23">
        <v>33.799999999999997</v>
      </c>
      <c r="F108" s="29">
        <f t="shared" si="0"/>
        <v>0.59999999999999432</v>
      </c>
    </row>
    <row r="109" spans="2:6" ht="15.75" x14ac:dyDescent="0.25">
      <c r="B109" s="12" t="s">
        <v>1051</v>
      </c>
      <c r="C109" s="2" t="s">
        <v>1058</v>
      </c>
      <c r="D109" s="2"/>
      <c r="E109" s="23">
        <v>34.200000000000003</v>
      </c>
      <c r="F109" s="29">
        <f t="shared" si="0"/>
        <v>0.40000000000000568</v>
      </c>
    </row>
    <row r="110" spans="2:6" ht="15.75" x14ac:dyDescent="0.25">
      <c r="B110" s="12" t="s">
        <v>1097</v>
      </c>
      <c r="C110" s="2" t="s">
        <v>1104</v>
      </c>
      <c r="D110" s="2"/>
      <c r="E110" s="23">
        <v>34.200000000000003</v>
      </c>
      <c r="F110" s="29">
        <f t="shared" si="0"/>
        <v>0</v>
      </c>
    </row>
    <row r="111" spans="2:6" ht="15.75" x14ac:dyDescent="0.25">
      <c r="B111" s="12" t="s">
        <v>1111</v>
      </c>
      <c r="C111" s="2" t="s">
        <v>1114</v>
      </c>
      <c r="D111" s="2" t="s">
        <v>1020</v>
      </c>
      <c r="E111" s="23">
        <v>32</v>
      </c>
      <c r="F111" s="29">
        <f t="shared" si="0"/>
        <v>-2.2000000000000028</v>
      </c>
    </row>
    <row r="112" spans="2:6" ht="15.75" x14ac:dyDescent="0.25">
      <c r="B112" s="12" t="s">
        <v>1112</v>
      </c>
      <c r="C112" s="2" t="s">
        <v>1113</v>
      </c>
      <c r="D112" s="2"/>
      <c r="E112" s="23">
        <v>33</v>
      </c>
      <c r="F112" s="29">
        <f t="shared" si="0"/>
        <v>1</v>
      </c>
    </row>
    <row r="113" spans="2:6" ht="15.75" x14ac:dyDescent="0.25">
      <c r="B113" s="12" t="s">
        <v>1128</v>
      </c>
      <c r="C113" s="2" t="s">
        <v>1113</v>
      </c>
      <c r="D113" s="2"/>
      <c r="E113" s="23">
        <v>34</v>
      </c>
      <c r="F113" s="29">
        <f t="shared" si="0"/>
        <v>1</v>
      </c>
    </row>
    <row r="114" spans="2:6" ht="15.75" x14ac:dyDescent="0.25">
      <c r="B114" s="12" t="s">
        <v>1138</v>
      </c>
      <c r="C114" s="2" t="s">
        <v>732</v>
      </c>
      <c r="D114" s="2"/>
      <c r="E114" s="23">
        <v>34.5</v>
      </c>
      <c r="F114" s="29">
        <f t="shared" ref="F114:F180" si="1">E114-E113</f>
        <v>0.5</v>
      </c>
    </row>
    <row r="115" spans="2:6" ht="15.75" x14ac:dyDescent="0.25">
      <c r="B115" s="12" t="s">
        <v>1151</v>
      </c>
      <c r="C115" s="2" t="s">
        <v>1156</v>
      </c>
      <c r="D115" s="2"/>
      <c r="E115" s="23">
        <v>34.9</v>
      </c>
      <c r="F115" s="29">
        <f t="shared" si="1"/>
        <v>0.39999999999999858</v>
      </c>
    </row>
    <row r="116" spans="2:6" ht="15.75" x14ac:dyDescent="0.25">
      <c r="B116" s="12" t="s">
        <v>1163</v>
      </c>
      <c r="C116" s="2" t="s">
        <v>732</v>
      </c>
      <c r="D116" s="2" t="s">
        <v>1020</v>
      </c>
      <c r="E116" s="23">
        <v>34.5</v>
      </c>
      <c r="F116" s="29">
        <f t="shared" si="1"/>
        <v>-0.39999999999999858</v>
      </c>
    </row>
    <row r="117" spans="2:6" ht="15.75" x14ac:dyDescent="0.25">
      <c r="B117" s="12" t="s">
        <v>1176</v>
      </c>
      <c r="C117" s="2" t="s">
        <v>732</v>
      </c>
      <c r="D117" s="2"/>
      <c r="E117" s="23">
        <v>35</v>
      </c>
      <c r="F117" s="29">
        <f t="shared" si="1"/>
        <v>0.5</v>
      </c>
    </row>
    <row r="118" spans="2:6" ht="15.75" x14ac:dyDescent="0.25">
      <c r="B118" s="12" t="s">
        <v>1191</v>
      </c>
      <c r="C118" s="2" t="s">
        <v>732</v>
      </c>
      <c r="D118" s="2"/>
      <c r="E118" s="23">
        <v>35.5</v>
      </c>
      <c r="F118" s="29">
        <f t="shared" si="1"/>
        <v>0.5</v>
      </c>
    </row>
    <row r="119" spans="2:6" ht="15.75" x14ac:dyDescent="0.25">
      <c r="B119" s="12" t="s">
        <v>1192</v>
      </c>
      <c r="C119" s="2" t="s">
        <v>1156</v>
      </c>
      <c r="D119" s="2"/>
      <c r="E119" s="23">
        <v>35.9</v>
      </c>
      <c r="F119" s="29">
        <f t="shared" si="1"/>
        <v>0.39999999999999858</v>
      </c>
    </row>
    <row r="120" spans="2:6" ht="15.75" x14ac:dyDescent="0.25">
      <c r="B120" s="12" t="s">
        <v>1200</v>
      </c>
      <c r="C120" s="2" t="s">
        <v>1033</v>
      </c>
      <c r="D120" s="2"/>
      <c r="E120" s="23">
        <v>0</v>
      </c>
      <c r="F120" s="29">
        <f t="shared" si="1"/>
        <v>-35.9</v>
      </c>
    </row>
    <row r="121" spans="2:6" ht="15.75" x14ac:dyDescent="0.25">
      <c r="B121" s="12" t="s">
        <v>1211</v>
      </c>
      <c r="C121" s="2" t="s">
        <v>1220</v>
      </c>
      <c r="D121" s="2" t="s">
        <v>1221</v>
      </c>
      <c r="E121" s="23">
        <v>2.5</v>
      </c>
      <c r="F121" s="29">
        <f t="shared" si="1"/>
        <v>2.5</v>
      </c>
    </row>
    <row r="122" spans="2:6" ht="15.75" x14ac:dyDescent="0.25">
      <c r="B122" s="12" t="s">
        <v>1245</v>
      </c>
      <c r="C122" s="2" t="s">
        <v>1246</v>
      </c>
      <c r="D122" s="2"/>
      <c r="E122" s="23">
        <v>4.5</v>
      </c>
      <c r="F122" s="29">
        <f t="shared" si="1"/>
        <v>2</v>
      </c>
    </row>
    <row r="123" spans="2:6" ht="15.75" x14ac:dyDescent="0.25">
      <c r="B123" s="12" t="s">
        <v>1256</v>
      </c>
      <c r="C123" s="2" t="s">
        <v>1255</v>
      </c>
      <c r="D123" s="2"/>
      <c r="E123" s="23">
        <v>5.5</v>
      </c>
      <c r="F123" s="29">
        <f t="shared" si="1"/>
        <v>1</v>
      </c>
    </row>
    <row r="124" spans="2:6" ht="15.75" x14ac:dyDescent="0.25">
      <c r="B124" s="12" t="s">
        <v>1266</v>
      </c>
      <c r="C124" s="2" t="s">
        <v>1267</v>
      </c>
      <c r="D124" s="2"/>
      <c r="E124" s="23">
        <v>6</v>
      </c>
      <c r="F124" s="29">
        <f t="shared" si="1"/>
        <v>0.5</v>
      </c>
    </row>
    <row r="125" spans="2:6" ht="15.75" x14ac:dyDescent="0.25">
      <c r="B125" s="12" t="s">
        <v>1279</v>
      </c>
      <c r="C125" s="2" t="s">
        <v>1282</v>
      </c>
      <c r="D125" s="2"/>
      <c r="E125" s="23">
        <v>7</v>
      </c>
      <c r="F125" s="29">
        <f t="shared" si="1"/>
        <v>1</v>
      </c>
    </row>
    <row r="126" spans="2:6" ht="15.75" x14ac:dyDescent="0.25">
      <c r="B126" s="12" t="s">
        <v>1280</v>
      </c>
      <c r="C126" s="2" t="s">
        <v>1283</v>
      </c>
      <c r="D126" s="2" t="s">
        <v>1281</v>
      </c>
      <c r="E126" s="23">
        <v>7</v>
      </c>
      <c r="F126" s="29">
        <f t="shared" si="1"/>
        <v>0</v>
      </c>
    </row>
    <row r="127" spans="2:6" ht="15.75" x14ac:dyDescent="0.25">
      <c r="B127" s="12" t="s">
        <v>1294</v>
      </c>
      <c r="C127" s="2" t="s">
        <v>1295</v>
      </c>
      <c r="D127" s="2"/>
      <c r="E127" s="23">
        <v>8</v>
      </c>
      <c r="F127" s="29">
        <f t="shared" si="1"/>
        <v>1</v>
      </c>
    </row>
    <row r="128" spans="2:6" ht="15.75" x14ac:dyDescent="0.25">
      <c r="B128" s="12" t="s">
        <v>1306</v>
      </c>
      <c r="C128" s="2" t="s">
        <v>1307</v>
      </c>
      <c r="D128" s="2"/>
      <c r="E128" s="23">
        <v>11</v>
      </c>
      <c r="F128" s="29">
        <f t="shared" si="1"/>
        <v>3</v>
      </c>
    </row>
    <row r="129" spans="2:6" ht="15.75" x14ac:dyDescent="0.25">
      <c r="B129" s="12" t="s">
        <v>1319</v>
      </c>
      <c r="C129" s="2" t="s">
        <v>1320</v>
      </c>
      <c r="D129" s="2"/>
      <c r="E129" s="23">
        <v>16</v>
      </c>
      <c r="F129" s="29">
        <f t="shared" si="1"/>
        <v>5</v>
      </c>
    </row>
    <row r="130" spans="2:6" ht="15.75" x14ac:dyDescent="0.25">
      <c r="B130" s="12" t="s">
        <v>1327</v>
      </c>
      <c r="C130" s="2" t="s">
        <v>1328</v>
      </c>
      <c r="D130" s="2"/>
      <c r="E130" s="23">
        <v>17.5</v>
      </c>
      <c r="F130" s="29">
        <f t="shared" si="1"/>
        <v>1.5</v>
      </c>
    </row>
    <row r="131" spans="2:6" ht="15.75" x14ac:dyDescent="0.25">
      <c r="B131" s="12" t="s">
        <v>1339</v>
      </c>
      <c r="C131" s="2" t="s">
        <v>1342</v>
      </c>
      <c r="D131" s="2"/>
      <c r="E131" s="23">
        <v>18.5</v>
      </c>
      <c r="F131" s="29">
        <f t="shared" si="1"/>
        <v>1</v>
      </c>
    </row>
    <row r="132" spans="2:6" ht="15.75" x14ac:dyDescent="0.25">
      <c r="B132" s="12" t="s">
        <v>1358</v>
      </c>
      <c r="C132" s="2" t="s">
        <v>1361</v>
      </c>
      <c r="D132" s="2"/>
      <c r="E132" s="23">
        <v>20</v>
      </c>
      <c r="F132" s="29">
        <f t="shared" si="1"/>
        <v>1.5</v>
      </c>
    </row>
    <row r="133" spans="2:6" ht="15.75" x14ac:dyDescent="0.25">
      <c r="B133" s="12" t="s">
        <v>1359</v>
      </c>
      <c r="C133" s="2" t="s">
        <v>1362</v>
      </c>
      <c r="E133" s="23">
        <v>21</v>
      </c>
      <c r="F133" s="29">
        <f t="shared" si="1"/>
        <v>1</v>
      </c>
    </row>
    <row r="134" spans="2:6" ht="15.75" x14ac:dyDescent="0.25">
      <c r="B134" s="12" t="s">
        <v>1360</v>
      </c>
      <c r="C134" s="2" t="s">
        <v>1381</v>
      </c>
      <c r="D134" s="2" t="s">
        <v>1375</v>
      </c>
      <c r="E134" s="23">
        <v>23</v>
      </c>
      <c r="F134" s="29">
        <f t="shared" si="1"/>
        <v>2</v>
      </c>
    </row>
    <row r="135" spans="2:6" ht="15.75" x14ac:dyDescent="0.25">
      <c r="B135" s="12" t="s">
        <v>1391</v>
      </c>
      <c r="C135" s="2" t="s">
        <v>1361</v>
      </c>
      <c r="D135" s="2" t="s">
        <v>1376</v>
      </c>
      <c r="E135" s="23">
        <v>24.5</v>
      </c>
      <c r="F135" s="29">
        <f t="shared" si="1"/>
        <v>1.5</v>
      </c>
    </row>
    <row r="136" spans="2:6" ht="15.75" x14ac:dyDescent="0.25">
      <c r="B136" s="12" t="s">
        <v>1393</v>
      </c>
      <c r="C136" s="2" t="s">
        <v>1362</v>
      </c>
      <c r="D136" s="2" t="s">
        <v>1392</v>
      </c>
      <c r="E136" s="23">
        <v>25.5</v>
      </c>
      <c r="F136" s="29">
        <f t="shared" si="1"/>
        <v>1</v>
      </c>
    </row>
    <row r="137" spans="2:6" ht="15.75" x14ac:dyDescent="0.25">
      <c r="B137" s="12" t="s">
        <v>1412</v>
      </c>
      <c r="C137" s="2" t="s">
        <v>732</v>
      </c>
      <c r="D137" s="2" t="s">
        <v>1413</v>
      </c>
      <c r="E137" s="23">
        <v>26</v>
      </c>
      <c r="F137" s="29">
        <f t="shared" si="1"/>
        <v>0.5</v>
      </c>
    </row>
    <row r="138" spans="2:6" ht="15.75" x14ac:dyDescent="0.25">
      <c r="B138" s="12" t="s">
        <v>1424</v>
      </c>
      <c r="C138" s="2" t="s">
        <v>1425</v>
      </c>
      <c r="D138" s="2" t="s">
        <v>1414</v>
      </c>
      <c r="E138" s="23">
        <v>26</v>
      </c>
      <c r="F138" s="29">
        <f t="shared" si="1"/>
        <v>0</v>
      </c>
    </row>
    <row r="139" spans="2:6" ht="15.75" x14ac:dyDescent="0.25">
      <c r="B139" s="12" t="s">
        <v>1436</v>
      </c>
      <c r="C139" s="2" t="s">
        <v>1438</v>
      </c>
      <c r="D139" s="2"/>
      <c r="E139" s="23">
        <v>30</v>
      </c>
      <c r="F139" s="29">
        <f t="shared" si="1"/>
        <v>4</v>
      </c>
    </row>
    <row r="140" spans="2:6" ht="15.75" x14ac:dyDescent="0.25">
      <c r="B140" s="12" t="s">
        <v>1437</v>
      </c>
      <c r="C140" s="2" t="s">
        <v>1439</v>
      </c>
      <c r="D140" s="2"/>
      <c r="E140" s="23">
        <v>31</v>
      </c>
      <c r="F140" s="29">
        <f t="shared" si="1"/>
        <v>1</v>
      </c>
    </row>
    <row r="141" spans="2:6" ht="15.75" x14ac:dyDescent="0.25">
      <c r="B141" s="12" t="s">
        <v>1454</v>
      </c>
      <c r="C141" s="2" t="s">
        <v>1439</v>
      </c>
      <c r="D141" s="2" t="s">
        <v>1380</v>
      </c>
      <c r="E141" s="23">
        <v>32</v>
      </c>
      <c r="F141" s="29">
        <f t="shared" si="1"/>
        <v>1</v>
      </c>
    </row>
    <row r="142" spans="2:6" ht="15.75" x14ac:dyDescent="0.25">
      <c r="B142" s="12" t="s">
        <v>1460</v>
      </c>
      <c r="C142" s="2" t="s">
        <v>1461</v>
      </c>
      <c r="D142" s="2" t="s">
        <v>1020</v>
      </c>
      <c r="E142" s="23">
        <v>5</v>
      </c>
      <c r="F142" s="29">
        <v>0</v>
      </c>
    </row>
    <row r="143" spans="2:6" ht="15.75" x14ac:dyDescent="0.25">
      <c r="B143" s="12" t="s">
        <v>1476</v>
      </c>
      <c r="C143" s="2" t="s">
        <v>1497</v>
      </c>
      <c r="D143" s="2" t="s">
        <v>1472</v>
      </c>
      <c r="E143" s="23">
        <v>5.5</v>
      </c>
      <c r="F143" s="29">
        <f t="shared" si="1"/>
        <v>0.5</v>
      </c>
    </row>
    <row r="144" spans="2:6" ht="15.75" x14ac:dyDescent="0.25">
      <c r="B144" s="12" t="s">
        <v>1477</v>
      </c>
      <c r="C144" s="2" t="s">
        <v>1497</v>
      </c>
      <c r="D144" s="2" t="s">
        <v>1502</v>
      </c>
      <c r="E144" s="23">
        <v>6</v>
      </c>
      <c r="F144" s="29">
        <f t="shared" si="1"/>
        <v>0.5</v>
      </c>
    </row>
    <row r="145" spans="2:6" ht="15.75" x14ac:dyDescent="0.25">
      <c r="B145" s="12" t="s">
        <v>1516</v>
      </c>
      <c r="C145" s="2" t="s">
        <v>1532</v>
      </c>
      <c r="D145" s="2"/>
      <c r="E145" s="23"/>
      <c r="F145" s="29"/>
    </row>
    <row r="146" spans="2:6" ht="15.75" x14ac:dyDescent="0.25">
      <c r="B146" s="12" t="s">
        <v>1531</v>
      </c>
      <c r="C146" s="2" t="s">
        <v>480</v>
      </c>
      <c r="D146" s="2"/>
      <c r="E146" s="23"/>
      <c r="F146" s="29"/>
    </row>
    <row r="147" spans="2:6" ht="15.75" x14ac:dyDescent="0.25">
      <c r="B147" s="12" t="s">
        <v>1515</v>
      </c>
      <c r="C147" s="2" t="s">
        <v>1535</v>
      </c>
      <c r="D147" s="2" t="s">
        <v>1513</v>
      </c>
      <c r="E147" s="23">
        <v>32</v>
      </c>
      <c r="F147" s="29">
        <f>E147-E144</f>
        <v>26</v>
      </c>
    </row>
    <row r="148" spans="2:6" ht="15.75" x14ac:dyDescent="0.25">
      <c r="B148" s="12" t="s">
        <v>1533</v>
      </c>
      <c r="C148" s="2" t="s">
        <v>1534</v>
      </c>
      <c r="D148" s="2"/>
      <c r="E148" s="23">
        <v>9</v>
      </c>
      <c r="F148" s="29">
        <f t="shared" si="1"/>
        <v>-23</v>
      </c>
    </row>
    <row r="149" spans="2:6" ht="15.75" x14ac:dyDescent="0.25">
      <c r="B149" s="12" t="s">
        <v>1547</v>
      </c>
      <c r="C149" s="2" t="s">
        <v>1546</v>
      </c>
      <c r="D149" s="2"/>
      <c r="E149" s="23">
        <v>9.5</v>
      </c>
      <c r="F149" s="29">
        <f t="shared" si="1"/>
        <v>0.5</v>
      </c>
    </row>
    <row r="150" spans="2:6" ht="15.75" x14ac:dyDescent="0.25">
      <c r="B150" s="12" t="s">
        <v>1570</v>
      </c>
      <c r="C150" s="2" t="s">
        <v>1546</v>
      </c>
      <c r="D150" s="2"/>
      <c r="E150" s="23">
        <v>9.5</v>
      </c>
      <c r="F150" s="29">
        <f t="shared" si="1"/>
        <v>0</v>
      </c>
    </row>
    <row r="151" spans="2:6" ht="15.75" x14ac:dyDescent="0.25">
      <c r="B151" s="12" t="s">
        <v>1571</v>
      </c>
      <c r="C151" s="2" t="s">
        <v>1546</v>
      </c>
      <c r="D151" s="2"/>
      <c r="E151" s="23">
        <v>10.5</v>
      </c>
      <c r="F151" s="29">
        <f t="shared" si="1"/>
        <v>1</v>
      </c>
    </row>
    <row r="152" spans="2:6" ht="15.75" x14ac:dyDescent="0.25">
      <c r="B152" s="12" t="s">
        <v>1572</v>
      </c>
      <c r="C152" s="2" t="s">
        <v>1584</v>
      </c>
      <c r="D152" s="2"/>
      <c r="E152" s="23">
        <v>18</v>
      </c>
      <c r="F152" s="29">
        <f t="shared" si="1"/>
        <v>7.5</v>
      </c>
    </row>
    <row r="153" spans="2:6" ht="15.75" x14ac:dyDescent="0.25">
      <c r="B153" s="12" t="s">
        <v>1573</v>
      </c>
      <c r="C153" s="2" t="s">
        <v>1598</v>
      </c>
      <c r="D153" s="2"/>
      <c r="E153" s="23">
        <v>21</v>
      </c>
      <c r="F153" s="29">
        <f t="shared" si="1"/>
        <v>3</v>
      </c>
    </row>
    <row r="154" spans="2:6" ht="15.75" x14ac:dyDescent="0.25">
      <c r="B154" s="12" t="s">
        <v>1574</v>
      </c>
      <c r="C154" s="2" t="s">
        <v>1599</v>
      </c>
      <c r="D154" s="2"/>
      <c r="E154" s="23">
        <v>21.5</v>
      </c>
      <c r="F154" s="29">
        <f t="shared" si="1"/>
        <v>0.5</v>
      </c>
    </row>
    <row r="155" spans="2:6" ht="15.75" x14ac:dyDescent="0.25">
      <c r="B155" s="12" t="s">
        <v>1618</v>
      </c>
      <c r="C155" s="2" t="s">
        <v>1620</v>
      </c>
      <c r="D155" s="2"/>
      <c r="E155" s="23">
        <v>23</v>
      </c>
      <c r="F155" s="29">
        <f t="shared" si="1"/>
        <v>1.5</v>
      </c>
    </row>
    <row r="156" spans="2:6" ht="15.75" x14ac:dyDescent="0.25">
      <c r="B156" s="12" t="s">
        <v>1627</v>
      </c>
      <c r="C156" s="2" t="s">
        <v>1626</v>
      </c>
      <c r="D156" s="2"/>
      <c r="E156" s="23">
        <v>24</v>
      </c>
      <c r="F156" s="29">
        <f t="shared" si="1"/>
        <v>1</v>
      </c>
    </row>
    <row r="157" spans="2:6" ht="15.75" x14ac:dyDescent="0.25">
      <c r="B157" s="12" t="s">
        <v>1649</v>
      </c>
      <c r="C157" s="2" t="s">
        <v>1650</v>
      </c>
      <c r="D157" s="2"/>
      <c r="E157" s="23">
        <v>25</v>
      </c>
      <c r="F157" s="29">
        <f t="shared" si="1"/>
        <v>1</v>
      </c>
    </row>
    <row r="158" spans="2:6" ht="15.75" x14ac:dyDescent="0.25">
      <c r="B158" s="12" t="s">
        <v>1658</v>
      </c>
      <c r="C158" s="2" t="s">
        <v>1681</v>
      </c>
      <c r="D158" s="2"/>
      <c r="E158" s="23">
        <v>26.5</v>
      </c>
      <c r="F158" s="29">
        <f t="shared" si="1"/>
        <v>1.5</v>
      </c>
    </row>
    <row r="159" spans="2:6" ht="15.75" x14ac:dyDescent="0.25">
      <c r="B159" s="12" t="s">
        <v>1675</v>
      </c>
      <c r="C159" s="2" t="s">
        <v>1682</v>
      </c>
      <c r="D159" s="2"/>
      <c r="E159" s="33">
        <v>28</v>
      </c>
      <c r="F159" s="29">
        <f t="shared" si="1"/>
        <v>1.5</v>
      </c>
    </row>
    <row r="160" spans="2:6" ht="15.75" x14ac:dyDescent="0.25">
      <c r="B160" s="12" t="s">
        <v>1687</v>
      </c>
      <c r="C160" s="2" t="s">
        <v>1688</v>
      </c>
      <c r="D160" s="2" t="s">
        <v>1020</v>
      </c>
      <c r="E160" s="23">
        <v>13</v>
      </c>
      <c r="F160" s="29">
        <v>13</v>
      </c>
    </row>
    <row r="161" spans="2:6" ht="15.75" x14ac:dyDescent="0.25">
      <c r="B161" s="14">
        <v>45536</v>
      </c>
      <c r="C161" s="2" t="s">
        <v>1689</v>
      </c>
      <c r="D161" s="2"/>
      <c r="E161" s="23">
        <v>16</v>
      </c>
      <c r="F161" s="29">
        <f t="shared" si="1"/>
        <v>3</v>
      </c>
    </row>
    <row r="162" spans="2:6" ht="15.75" x14ac:dyDescent="0.25">
      <c r="B162" s="14">
        <v>45537</v>
      </c>
      <c r="C162" s="2" t="s">
        <v>1716</v>
      </c>
      <c r="D162" s="2" t="s">
        <v>1721</v>
      </c>
      <c r="E162" s="23">
        <v>17</v>
      </c>
      <c r="F162" s="29">
        <f t="shared" si="1"/>
        <v>1</v>
      </c>
    </row>
    <row r="163" spans="2:6" ht="15.75" x14ac:dyDescent="0.25">
      <c r="B163" s="14">
        <v>45538</v>
      </c>
      <c r="C163" s="2" t="s">
        <v>1724</v>
      </c>
      <c r="D163" s="2"/>
      <c r="E163" s="23">
        <v>19</v>
      </c>
      <c r="F163" s="29">
        <f t="shared" si="1"/>
        <v>2</v>
      </c>
    </row>
    <row r="164" spans="2:6" ht="15.75" x14ac:dyDescent="0.25">
      <c r="B164" s="14">
        <v>45539</v>
      </c>
      <c r="C164" s="2" t="s">
        <v>1734</v>
      </c>
      <c r="D164" s="2" t="s">
        <v>1743</v>
      </c>
      <c r="E164" s="23">
        <v>21.5</v>
      </c>
      <c r="F164" s="29">
        <f t="shared" si="1"/>
        <v>2.5</v>
      </c>
    </row>
    <row r="165" spans="2:6" ht="15.75" x14ac:dyDescent="0.25">
      <c r="B165" s="14">
        <v>45540</v>
      </c>
      <c r="C165" s="2" t="s">
        <v>1773</v>
      </c>
      <c r="D165" s="2"/>
      <c r="E165" s="23">
        <v>22</v>
      </c>
      <c r="F165" s="29">
        <f t="shared" si="1"/>
        <v>0.5</v>
      </c>
    </row>
    <row r="166" spans="2:6" ht="15.75" x14ac:dyDescent="0.25">
      <c r="B166" s="14">
        <v>45541</v>
      </c>
      <c r="C166" s="2" t="s">
        <v>1773</v>
      </c>
      <c r="D166" s="2"/>
      <c r="E166" s="23">
        <v>22.5</v>
      </c>
      <c r="F166" s="29">
        <f t="shared" si="1"/>
        <v>0.5</v>
      </c>
    </row>
    <row r="167" spans="2:6" ht="15.75" x14ac:dyDescent="0.25">
      <c r="B167" s="14">
        <v>45542</v>
      </c>
      <c r="C167" s="2" t="s">
        <v>1808</v>
      </c>
      <c r="D167" s="2"/>
      <c r="E167" s="23">
        <v>20</v>
      </c>
      <c r="F167" s="29">
        <f t="shared" si="1"/>
        <v>-2.5</v>
      </c>
    </row>
    <row r="168" spans="2:6" ht="15.75" x14ac:dyDescent="0.25">
      <c r="B168" s="14">
        <v>45543</v>
      </c>
      <c r="C168" s="2" t="s">
        <v>1809</v>
      </c>
      <c r="D168" s="2"/>
      <c r="E168" s="23">
        <v>21.5</v>
      </c>
      <c r="F168" s="29">
        <f t="shared" si="1"/>
        <v>1.5</v>
      </c>
    </row>
    <row r="169" spans="2:6" ht="15.75" x14ac:dyDescent="0.25">
      <c r="B169" s="14">
        <v>45544</v>
      </c>
      <c r="C169" s="2" t="s">
        <v>1815</v>
      </c>
      <c r="D169" s="2"/>
      <c r="E169" s="23">
        <v>23</v>
      </c>
      <c r="F169" s="29">
        <f t="shared" si="1"/>
        <v>1.5</v>
      </c>
    </row>
    <row r="170" spans="2:6" ht="15.75" x14ac:dyDescent="0.25">
      <c r="B170" s="14">
        <v>45545</v>
      </c>
      <c r="C170" s="2" t="s">
        <v>1816</v>
      </c>
      <c r="D170" s="2"/>
      <c r="E170" s="23">
        <v>24</v>
      </c>
      <c r="F170" s="29">
        <f t="shared" si="1"/>
        <v>1</v>
      </c>
    </row>
    <row r="171" spans="2:6" ht="15.75" x14ac:dyDescent="0.25">
      <c r="B171" s="14">
        <v>45546</v>
      </c>
      <c r="C171" s="2" t="s">
        <v>1835</v>
      </c>
      <c r="D171" s="2"/>
      <c r="E171" s="23">
        <v>26</v>
      </c>
      <c r="F171" s="29">
        <f t="shared" si="1"/>
        <v>2</v>
      </c>
    </row>
    <row r="172" spans="2:6" ht="15.75" x14ac:dyDescent="0.25">
      <c r="B172" s="14">
        <v>45547</v>
      </c>
      <c r="C172" s="2" t="s">
        <v>1836</v>
      </c>
      <c r="D172" s="2"/>
      <c r="E172" s="23">
        <v>27</v>
      </c>
      <c r="F172" s="29">
        <f t="shared" si="1"/>
        <v>1</v>
      </c>
    </row>
    <row r="173" spans="2:6" ht="15.75" x14ac:dyDescent="0.25">
      <c r="B173" s="14">
        <v>45548</v>
      </c>
      <c r="C173" s="2" t="s">
        <v>1862</v>
      </c>
      <c r="D173" s="2"/>
      <c r="E173" s="23">
        <v>27.5</v>
      </c>
      <c r="F173" s="29">
        <f t="shared" si="1"/>
        <v>0.5</v>
      </c>
    </row>
    <row r="174" spans="2:6" ht="15.75" x14ac:dyDescent="0.25">
      <c r="B174" s="14">
        <v>45549</v>
      </c>
      <c r="C174" s="2" t="s">
        <v>1885</v>
      </c>
      <c r="D174" s="2"/>
      <c r="E174" s="23">
        <v>28.5</v>
      </c>
      <c r="F174" s="29">
        <f t="shared" si="1"/>
        <v>1</v>
      </c>
    </row>
    <row r="175" spans="2:6" ht="15.75" x14ac:dyDescent="0.25">
      <c r="B175" s="14">
        <v>45550</v>
      </c>
      <c r="C175" s="2" t="s">
        <v>1886</v>
      </c>
      <c r="D175" s="2"/>
      <c r="E175" s="23">
        <v>29.5</v>
      </c>
      <c r="F175" s="29">
        <f t="shared" si="1"/>
        <v>1</v>
      </c>
    </row>
    <row r="176" spans="2:6" ht="15.75" x14ac:dyDescent="0.25">
      <c r="B176" s="14">
        <v>45551</v>
      </c>
      <c r="C176" s="2" t="s">
        <v>1887</v>
      </c>
      <c r="D176" s="2"/>
      <c r="E176" s="23">
        <v>30</v>
      </c>
      <c r="F176" s="29">
        <f t="shared" si="1"/>
        <v>0.5</v>
      </c>
    </row>
    <row r="177" spans="2:6" ht="15.75" x14ac:dyDescent="0.25">
      <c r="B177" s="14">
        <v>45552</v>
      </c>
      <c r="C177" s="2" t="s">
        <v>1911</v>
      </c>
      <c r="D177" s="2" t="s">
        <v>1926</v>
      </c>
      <c r="E177" s="33">
        <v>32</v>
      </c>
      <c r="F177" s="29">
        <f t="shared" si="1"/>
        <v>2</v>
      </c>
    </row>
    <row r="178" spans="2:6" ht="15.75" x14ac:dyDescent="0.25">
      <c r="B178" s="14">
        <v>45553</v>
      </c>
      <c r="C178" s="2" t="s">
        <v>1931</v>
      </c>
      <c r="D178" s="2"/>
      <c r="E178" s="23">
        <v>33</v>
      </c>
      <c r="F178" s="29">
        <f t="shared" si="1"/>
        <v>1</v>
      </c>
    </row>
    <row r="179" spans="2:6" ht="15.75" x14ac:dyDescent="0.25">
      <c r="B179" s="14">
        <v>45554</v>
      </c>
      <c r="C179" s="2" t="s">
        <v>1941</v>
      </c>
      <c r="D179" s="2"/>
      <c r="E179" s="23">
        <v>33</v>
      </c>
      <c r="F179" s="29">
        <f t="shared" si="1"/>
        <v>0</v>
      </c>
    </row>
    <row r="180" spans="2:6" ht="15.75" x14ac:dyDescent="0.25">
      <c r="B180" s="14">
        <v>45555</v>
      </c>
      <c r="C180" s="2" t="s">
        <v>1951</v>
      </c>
      <c r="D180" s="2"/>
      <c r="E180" s="23">
        <v>33.5</v>
      </c>
      <c r="F180" s="29">
        <f t="shared" si="1"/>
        <v>0.5</v>
      </c>
    </row>
    <row r="181" spans="2:6" ht="15.75" x14ac:dyDescent="0.25">
      <c r="B181" s="14">
        <v>45556</v>
      </c>
      <c r="C181" s="2" t="s">
        <v>1951</v>
      </c>
      <c r="D181" s="2"/>
      <c r="E181" s="23">
        <v>34</v>
      </c>
      <c r="F181" s="29">
        <f t="shared" ref="F181:F227" si="2">E181-E180</f>
        <v>0.5</v>
      </c>
    </row>
    <row r="182" spans="2:6" ht="15.75" x14ac:dyDescent="0.25">
      <c r="B182" s="14">
        <v>45557</v>
      </c>
      <c r="C182" s="2" t="s">
        <v>1963</v>
      </c>
      <c r="D182" s="2" t="s">
        <v>1974</v>
      </c>
      <c r="E182" s="23">
        <v>34</v>
      </c>
      <c r="F182" s="29">
        <f t="shared" si="2"/>
        <v>0</v>
      </c>
    </row>
    <row r="183" spans="2:6" ht="15.75" x14ac:dyDescent="0.25">
      <c r="B183" s="14">
        <v>45558</v>
      </c>
      <c r="C183" s="2" t="s">
        <v>1979</v>
      </c>
      <c r="D183" s="2" t="s">
        <v>1980</v>
      </c>
      <c r="E183" s="23">
        <v>34</v>
      </c>
      <c r="F183" s="29">
        <f t="shared" si="2"/>
        <v>0</v>
      </c>
    </row>
    <row r="184" spans="2:6" ht="15.75" x14ac:dyDescent="0.25">
      <c r="B184" s="14">
        <v>45559</v>
      </c>
      <c r="C184" s="2" t="s">
        <v>1989</v>
      </c>
      <c r="D184" s="2"/>
      <c r="E184" s="23">
        <v>34.5</v>
      </c>
      <c r="F184" s="29">
        <f t="shared" si="2"/>
        <v>0.5</v>
      </c>
    </row>
    <row r="185" spans="2:6" ht="15.75" x14ac:dyDescent="0.25">
      <c r="B185" s="14">
        <v>45560</v>
      </c>
      <c r="C185" s="2" t="s">
        <v>1994</v>
      </c>
      <c r="D185" s="2"/>
      <c r="E185" s="23">
        <v>35</v>
      </c>
      <c r="F185" s="29">
        <f t="shared" si="2"/>
        <v>0.5</v>
      </c>
    </row>
    <row r="186" spans="2:6" ht="15.75" x14ac:dyDescent="0.25">
      <c r="B186" s="14">
        <v>45561</v>
      </c>
      <c r="C186" s="2" t="s">
        <v>2024</v>
      </c>
      <c r="D186" s="2"/>
      <c r="E186" s="23">
        <v>35.200000000000003</v>
      </c>
      <c r="F186" s="29">
        <f t="shared" si="2"/>
        <v>0.20000000000000284</v>
      </c>
    </row>
    <row r="187" spans="2:6" ht="15.75" x14ac:dyDescent="0.25">
      <c r="B187" s="14">
        <v>45562</v>
      </c>
      <c r="C187" s="2" t="s">
        <v>2023</v>
      </c>
      <c r="D187" s="2"/>
      <c r="E187" s="23">
        <v>35.299999999999997</v>
      </c>
      <c r="F187" s="29">
        <f t="shared" si="2"/>
        <v>9.9999999999994316E-2</v>
      </c>
    </row>
    <row r="188" spans="2:6" ht="15.75" x14ac:dyDescent="0.25">
      <c r="B188" s="14">
        <v>45563</v>
      </c>
      <c r="C188" s="2" t="s">
        <v>2040</v>
      </c>
      <c r="D188" s="2"/>
      <c r="E188" s="23">
        <v>35.5</v>
      </c>
      <c r="F188" s="29">
        <f t="shared" si="2"/>
        <v>0.20000000000000284</v>
      </c>
    </row>
    <row r="189" spans="2:6" ht="15.75" x14ac:dyDescent="0.25">
      <c r="B189" s="14">
        <v>45564</v>
      </c>
      <c r="C189" s="2" t="s">
        <v>2041</v>
      </c>
      <c r="D189" s="2"/>
      <c r="E189" s="23">
        <v>36</v>
      </c>
      <c r="F189" s="29">
        <f t="shared" si="2"/>
        <v>0.5</v>
      </c>
    </row>
    <row r="190" spans="2:6" ht="15.75" x14ac:dyDescent="0.25">
      <c r="B190" s="14">
        <v>45565</v>
      </c>
      <c r="C190" s="2" t="s">
        <v>2053</v>
      </c>
      <c r="D190" s="2"/>
      <c r="E190" s="23">
        <v>36.1</v>
      </c>
      <c r="F190" s="29">
        <f t="shared" si="2"/>
        <v>0.10000000000000142</v>
      </c>
    </row>
    <row r="191" spans="2:6" ht="15.75" x14ac:dyDescent="0.25">
      <c r="B191" s="14">
        <v>45566</v>
      </c>
      <c r="C191" s="2" t="s">
        <v>2062</v>
      </c>
      <c r="D191" s="2"/>
      <c r="E191" s="23">
        <v>36.5</v>
      </c>
      <c r="F191" s="29">
        <f t="shared" si="2"/>
        <v>0.39999999999999858</v>
      </c>
    </row>
    <row r="192" spans="2:6" ht="15.75" x14ac:dyDescent="0.25">
      <c r="B192" s="14">
        <v>45567</v>
      </c>
      <c r="C192" s="2" t="s">
        <v>2069</v>
      </c>
      <c r="D192" s="2"/>
      <c r="E192" s="23">
        <v>37</v>
      </c>
      <c r="F192" s="29">
        <f t="shared" si="2"/>
        <v>0.5</v>
      </c>
    </row>
    <row r="193" spans="2:6" ht="15.75" x14ac:dyDescent="0.25">
      <c r="B193" s="14">
        <v>45568</v>
      </c>
      <c r="C193" s="2" t="s">
        <v>2081</v>
      </c>
      <c r="D193" s="2"/>
      <c r="E193" s="23">
        <v>37.5</v>
      </c>
      <c r="F193" s="29">
        <f t="shared" si="2"/>
        <v>0.5</v>
      </c>
    </row>
    <row r="194" spans="2:6" ht="15.75" x14ac:dyDescent="0.25">
      <c r="B194" s="14">
        <v>45569</v>
      </c>
      <c r="C194" s="2" t="s">
        <v>2102</v>
      </c>
      <c r="D194" s="2"/>
      <c r="E194" s="23">
        <v>37.799999999999997</v>
      </c>
      <c r="F194" s="29">
        <f t="shared" si="2"/>
        <v>0.29999999999999716</v>
      </c>
    </row>
    <row r="195" spans="2:6" ht="15.75" x14ac:dyDescent="0.25">
      <c r="B195" s="14">
        <v>45570</v>
      </c>
      <c r="C195" s="2" t="s">
        <v>2113</v>
      </c>
      <c r="D195" s="2" t="s">
        <v>2025</v>
      </c>
      <c r="E195" s="23">
        <v>38.200000000000003</v>
      </c>
      <c r="F195" s="29">
        <f t="shared" si="2"/>
        <v>0.40000000000000568</v>
      </c>
    </row>
    <row r="196" spans="2:6" ht="15.75" x14ac:dyDescent="0.25">
      <c r="B196" s="14">
        <v>45571</v>
      </c>
      <c r="C196" s="2" t="s">
        <v>2114</v>
      </c>
      <c r="D196" s="2"/>
      <c r="E196" s="23">
        <v>38.799999999999997</v>
      </c>
      <c r="F196" s="29">
        <f t="shared" si="2"/>
        <v>0.59999999999999432</v>
      </c>
    </row>
    <row r="197" spans="2:6" ht="15.75" x14ac:dyDescent="0.25">
      <c r="B197" s="14">
        <v>45572</v>
      </c>
      <c r="C197" s="2" t="s">
        <v>2128</v>
      </c>
      <c r="D197" s="2"/>
      <c r="E197" s="23">
        <v>39.299999999999997</v>
      </c>
      <c r="F197" s="29">
        <f t="shared" si="2"/>
        <v>0.5</v>
      </c>
    </row>
    <row r="198" spans="2:6" ht="15.75" x14ac:dyDescent="0.25">
      <c r="B198" s="14">
        <v>45573</v>
      </c>
      <c r="C198" s="2" t="s">
        <v>2141</v>
      </c>
      <c r="D198" s="2"/>
      <c r="E198" s="23">
        <v>40.5</v>
      </c>
      <c r="F198" s="29">
        <f t="shared" si="2"/>
        <v>1.2000000000000028</v>
      </c>
    </row>
    <row r="199" spans="2:6" ht="15.75" x14ac:dyDescent="0.25">
      <c r="B199" s="14">
        <v>45574</v>
      </c>
      <c r="C199" s="2" t="s">
        <v>2164</v>
      </c>
      <c r="D199" s="2"/>
      <c r="E199" s="23">
        <v>41.5</v>
      </c>
      <c r="F199" s="29">
        <f t="shared" si="2"/>
        <v>1</v>
      </c>
    </row>
    <row r="200" spans="2:6" ht="15.75" x14ac:dyDescent="0.25">
      <c r="B200" s="14">
        <v>45575</v>
      </c>
      <c r="C200" s="2" t="s">
        <v>2163</v>
      </c>
      <c r="D200" s="2"/>
      <c r="E200" s="33">
        <v>42.5</v>
      </c>
      <c r="F200" s="29">
        <f t="shared" si="2"/>
        <v>1</v>
      </c>
    </row>
    <row r="201" spans="2:6" ht="15.75" x14ac:dyDescent="0.25">
      <c r="B201" s="14">
        <v>45576</v>
      </c>
      <c r="C201" s="2" t="s">
        <v>2175</v>
      </c>
      <c r="D201" s="2"/>
      <c r="E201" s="23">
        <v>36.5</v>
      </c>
      <c r="F201" s="29">
        <f t="shared" si="2"/>
        <v>-6</v>
      </c>
    </row>
    <row r="202" spans="2:6" ht="15.75" x14ac:dyDescent="0.25">
      <c r="B202" s="14">
        <v>45577</v>
      </c>
      <c r="C202" s="2" t="s">
        <v>2185</v>
      </c>
      <c r="D202" s="2"/>
      <c r="E202" s="23">
        <v>38</v>
      </c>
      <c r="F202" s="29">
        <f t="shared" si="2"/>
        <v>1.5</v>
      </c>
    </row>
    <row r="203" spans="2:6" ht="15.75" x14ac:dyDescent="0.25">
      <c r="B203" s="14">
        <v>45578</v>
      </c>
      <c r="C203" s="2" t="s">
        <v>2184</v>
      </c>
      <c r="D203" s="2"/>
      <c r="E203" s="23">
        <v>39</v>
      </c>
      <c r="F203" s="29">
        <f t="shared" si="2"/>
        <v>1</v>
      </c>
    </row>
    <row r="204" spans="2:6" ht="15.75" x14ac:dyDescent="0.25">
      <c r="B204" s="14">
        <v>45579</v>
      </c>
      <c r="C204" s="2" t="s">
        <v>2183</v>
      </c>
      <c r="D204" s="2"/>
      <c r="E204" s="23">
        <v>40</v>
      </c>
      <c r="F204" s="29">
        <f t="shared" si="2"/>
        <v>1</v>
      </c>
    </row>
    <row r="205" spans="2:6" ht="15.75" x14ac:dyDescent="0.25">
      <c r="B205" s="14">
        <v>45580</v>
      </c>
      <c r="C205" s="2" t="s">
        <v>2206</v>
      </c>
      <c r="D205" s="2"/>
      <c r="E205" s="23">
        <v>40.5</v>
      </c>
      <c r="F205" s="29">
        <f t="shared" si="2"/>
        <v>0.5</v>
      </c>
    </row>
    <row r="206" spans="2:6" ht="15.75" x14ac:dyDescent="0.25">
      <c r="B206" s="14">
        <v>45581</v>
      </c>
      <c r="C206" s="2" t="s">
        <v>2208</v>
      </c>
      <c r="D206" s="2"/>
      <c r="E206" s="23">
        <v>42.5</v>
      </c>
      <c r="F206" s="29">
        <f t="shared" si="2"/>
        <v>2</v>
      </c>
    </row>
    <row r="207" spans="2:6" ht="15.75" x14ac:dyDescent="0.25">
      <c r="B207" s="14">
        <v>45582</v>
      </c>
      <c r="C207" s="2" t="s">
        <v>2229</v>
      </c>
      <c r="D207" s="2"/>
      <c r="E207" s="23">
        <v>42.5</v>
      </c>
      <c r="F207" s="29">
        <f t="shared" si="2"/>
        <v>0</v>
      </c>
    </row>
    <row r="208" spans="2:6" ht="15.75" x14ac:dyDescent="0.25">
      <c r="B208" s="14">
        <v>45583</v>
      </c>
      <c r="C208" s="2" t="s">
        <v>2229</v>
      </c>
      <c r="D208" s="2"/>
      <c r="E208" s="23">
        <v>42.5</v>
      </c>
      <c r="F208" s="29">
        <f t="shared" si="2"/>
        <v>0</v>
      </c>
    </row>
    <row r="209" spans="2:6" ht="15.75" x14ac:dyDescent="0.25">
      <c r="B209" s="14">
        <v>45584</v>
      </c>
      <c r="C209" s="2" t="s">
        <v>2229</v>
      </c>
      <c r="D209" s="2"/>
      <c r="E209" s="23">
        <v>42.5</v>
      </c>
      <c r="F209" s="29">
        <f t="shared" si="2"/>
        <v>0</v>
      </c>
    </row>
    <row r="210" spans="2:6" ht="15.75" x14ac:dyDescent="0.25">
      <c r="B210" s="14">
        <v>45585</v>
      </c>
      <c r="C210" s="2" t="s">
        <v>2229</v>
      </c>
      <c r="D210" s="2"/>
      <c r="E210" s="23">
        <v>42.5</v>
      </c>
      <c r="F210" s="29">
        <f t="shared" si="2"/>
        <v>0</v>
      </c>
    </row>
    <row r="211" spans="2:6" ht="15.75" x14ac:dyDescent="0.25">
      <c r="B211" s="14">
        <v>45586</v>
      </c>
      <c r="C211" s="2" t="s">
        <v>2229</v>
      </c>
      <c r="D211" s="2"/>
      <c r="E211" s="23">
        <v>42.5</v>
      </c>
      <c r="F211" s="29">
        <f t="shared" si="2"/>
        <v>0</v>
      </c>
    </row>
    <row r="212" spans="2:6" ht="15.75" x14ac:dyDescent="0.25">
      <c r="B212" s="14">
        <v>45587</v>
      </c>
      <c r="C212" s="2" t="s">
        <v>2271</v>
      </c>
      <c r="D212" s="2"/>
      <c r="E212" s="23">
        <v>43</v>
      </c>
      <c r="F212" s="29">
        <f t="shared" si="2"/>
        <v>0.5</v>
      </c>
    </row>
    <row r="213" spans="2:6" ht="15.75" x14ac:dyDescent="0.25">
      <c r="B213" s="14">
        <v>45588</v>
      </c>
      <c r="C213" s="2" t="s">
        <v>2285</v>
      </c>
      <c r="D213" s="2"/>
      <c r="E213" s="23">
        <v>44</v>
      </c>
      <c r="F213" s="29">
        <f t="shared" si="2"/>
        <v>1</v>
      </c>
    </row>
    <row r="214" spans="2:6" ht="15.75" x14ac:dyDescent="0.25">
      <c r="B214" s="14">
        <v>45589</v>
      </c>
      <c r="C214" s="2" t="s">
        <v>2298</v>
      </c>
      <c r="D214" s="2"/>
      <c r="E214" s="23">
        <v>45</v>
      </c>
      <c r="F214" s="29">
        <f t="shared" si="2"/>
        <v>1</v>
      </c>
    </row>
    <row r="215" spans="2:6" ht="15.75" x14ac:dyDescent="0.25">
      <c r="B215" s="14">
        <v>45590</v>
      </c>
      <c r="C215" s="2" t="s">
        <v>2302</v>
      </c>
      <c r="D215" s="2"/>
      <c r="E215" s="23">
        <v>46</v>
      </c>
      <c r="F215" s="29">
        <f t="shared" si="2"/>
        <v>1</v>
      </c>
    </row>
    <row r="216" spans="2:6" ht="15.75" x14ac:dyDescent="0.25">
      <c r="B216" s="14">
        <v>45591</v>
      </c>
      <c r="C216" s="2" t="s">
        <v>2318</v>
      </c>
      <c r="D216" s="2"/>
      <c r="E216" s="23">
        <v>46.5</v>
      </c>
      <c r="F216" s="29">
        <f t="shared" si="2"/>
        <v>0.5</v>
      </c>
    </row>
    <row r="217" spans="2:6" ht="15.75" x14ac:dyDescent="0.25">
      <c r="B217" s="14">
        <v>45592</v>
      </c>
      <c r="C217" s="2" t="s">
        <v>2319</v>
      </c>
      <c r="D217" s="2"/>
      <c r="E217" s="23">
        <v>48</v>
      </c>
      <c r="F217" s="29">
        <f t="shared" si="2"/>
        <v>1.5</v>
      </c>
    </row>
    <row r="218" spans="2:6" ht="15.75" x14ac:dyDescent="0.25">
      <c r="B218" s="14">
        <v>45593</v>
      </c>
      <c r="C218" s="2" t="s">
        <v>2335</v>
      </c>
      <c r="D218" s="2"/>
      <c r="E218" s="23">
        <v>49</v>
      </c>
      <c r="F218" s="29">
        <f t="shared" si="2"/>
        <v>1</v>
      </c>
    </row>
    <row r="219" spans="2:6" ht="15.75" x14ac:dyDescent="0.25">
      <c r="B219" s="14">
        <v>45594</v>
      </c>
      <c r="C219" s="2" t="s">
        <v>2352</v>
      </c>
      <c r="D219" s="2" t="s">
        <v>2353</v>
      </c>
      <c r="E219" s="23">
        <v>49.5</v>
      </c>
      <c r="F219" s="29">
        <f t="shared" si="2"/>
        <v>0.5</v>
      </c>
    </row>
    <row r="220" spans="2:6" ht="15.75" x14ac:dyDescent="0.25">
      <c r="B220" s="14">
        <v>45595</v>
      </c>
      <c r="C220" s="2" t="s">
        <v>2358</v>
      </c>
      <c r="D220" s="2" t="s">
        <v>1705</v>
      </c>
      <c r="E220" s="23">
        <v>49.5</v>
      </c>
      <c r="F220" s="29">
        <f t="shared" si="2"/>
        <v>0</v>
      </c>
    </row>
    <row r="221" spans="2:6" ht="15.75" x14ac:dyDescent="0.25">
      <c r="B221" s="14">
        <v>45596</v>
      </c>
      <c r="C221" s="2" t="s">
        <v>2373</v>
      </c>
      <c r="D221" s="2"/>
      <c r="E221" s="33">
        <v>49.5</v>
      </c>
      <c r="F221" s="29">
        <f t="shared" si="2"/>
        <v>0</v>
      </c>
    </row>
    <row r="222" spans="2:6" ht="15.75" x14ac:dyDescent="0.25">
      <c r="B222" s="14">
        <v>45597</v>
      </c>
      <c r="C222" s="2" t="s">
        <v>2184</v>
      </c>
      <c r="D222" s="2"/>
      <c r="E222" s="23">
        <v>39</v>
      </c>
      <c r="F222" s="29">
        <f t="shared" si="2"/>
        <v>-10.5</v>
      </c>
    </row>
    <row r="223" spans="2:6" ht="15.75" x14ac:dyDescent="0.25">
      <c r="B223" s="14">
        <v>45598</v>
      </c>
      <c r="C223" s="2" t="s">
        <v>2183</v>
      </c>
      <c r="D223" s="2"/>
      <c r="E223" s="23">
        <v>40</v>
      </c>
      <c r="F223" s="29">
        <f t="shared" si="2"/>
        <v>1</v>
      </c>
    </row>
    <row r="224" spans="2:6" ht="15.75" x14ac:dyDescent="0.25">
      <c r="B224" s="14">
        <v>45599</v>
      </c>
      <c r="C224" s="2" t="s">
        <v>2386</v>
      </c>
      <c r="D224" s="2" t="s">
        <v>2395</v>
      </c>
      <c r="E224" s="23">
        <v>40</v>
      </c>
      <c r="F224" s="29">
        <f t="shared" si="2"/>
        <v>0</v>
      </c>
    </row>
    <row r="225" spans="2:6" ht="15.75" x14ac:dyDescent="0.25">
      <c r="B225" s="14">
        <v>45600</v>
      </c>
      <c r="C225" s="2" t="s">
        <v>2041</v>
      </c>
      <c r="D225" s="2"/>
      <c r="E225" s="23">
        <v>36</v>
      </c>
      <c r="F225" s="29">
        <f t="shared" si="2"/>
        <v>-4</v>
      </c>
    </row>
    <row r="226" spans="2:6" ht="15.75" x14ac:dyDescent="0.25">
      <c r="B226" s="14">
        <v>45601</v>
      </c>
      <c r="C226" s="2" t="s">
        <v>2184</v>
      </c>
      <c r="D226" s="2"/>
      <c r="E226" s="23">
        <v>38</v>
      </c>
      <c r="F226" s="29">
        <f t="shared" si="2"/>
        <v>2</v>
      </c>
    </row>
    <row r="227" spans="2:6" ht="15.75" x14ac:dyDescent="0.25">
      <c r="B227" s="14">
        <v>45602</v>
      </c>
      <c r="C227" s="2" t="s">
        <v>2184</v>
      </c>
      <c r="D227" s="2"/>
      <c r="E227" s="23">
        <v>39</v>
      </c>
      <c r="F227" s="29">
        <f t="shared" si="2"/>
        <v>1</v>
      </c>
    </row>
    <row r="228" spans="2:6" ht="15.75" x14ac:dyDescent="0.25">
      <c r="B228" s="14">
        <v>45603</v>
      </c>
      <c r="C228" s="2" t="s">
        <v>2206</v>
      </c>
      <c r="D228" s="2"/>
      <c r="E228" s="23">
        <v>40.5</v>
      </c>
      <c r="F228" s="29">
        <f>E228-E226</f>
        <v>2.5</v>
      </c>
    </row>
    <row r="229" spans="2:6" ht="15.75" x14ac:dyDescent="0.25">
      <c r="B229" s="14">
        <v>45604</v>
      </c>
      <c r="C229" s="2" t="s">
        <v>2431</v>
      </c>
      <c r="D229" s="2"/>
      <c r="E229" s="23">
        <v>41.5</v>
      </c>
      <c r="F229" s="29">
        <f t="shared" ref="F229:F234" si="3">E229-E227</f>
        <v>2.5</v>
      </c>
    </row>
    <row r="230" spans="2:6" ht="15.75" x14ac:dyDescent="0.25">
      <c r="B230" s="14">
        <v>45605</v>
      </c>
      <c r="C230" s="2" t="s">
        <v>2208</v>
      </c>
      <c r="D230" s="2"/>
      <c r="E230" s="23">
        <v>42.5</v>
      </c>
      <c r="F230" s="29">
        <f t="shared" si="3"/>
        <v>2</v>
      </c>
    </row>
    <row r="231" spans="2:6" ht="15.75" x14ac:dyDescent="0.25">
      <c r="B231" s="14">
        <v>45606</v>
      </c>
      <c r="C231" s="2" t="s">
        <v>2445</v>
      </c>
      <c r="D231" s="2"/>
      <c r="E231" s="23">
        <v>43</v>
      </c>
      <c r="F231" s="29">
        <f t="shared" si="3"/>
        <v>1.5</v>
      </c>
    </row>
    <row r="232" spans="2:6" ht="15.75" x14ac:dyDescent="0.25">
      <c r="B232" s="14">
        <v>45607</v>
      </c>
      <c r="C232" s="2" t="s">
        <v>2470</v>
      </c>
      <c r="D232" s="2" t="s">
        <v>2471</v>
      </c>
      <c r="E232" s="23">
        <v>44</v>
      </c>
      <c r="F232" s="29">
        <f t="shared" si="3"/>
        <v>1.5</v>
      </c>
    </row>
    <row r="233" spans="2:6" ht="15.75" x14ac:dyDescent="0.25">
      <c r="B233" s="14">
        <v>45608</v>
      </c>
      <c r="C233" s="2" t="s">
        <v>2476</v>
      </c>
      <c r="D233" s="2"/>
      <c r="E233" s="23">
        <v>45</v>
      </c>
      <c r="F233" s="29">
        <f t="shared" si="3"/>
        <v>2</v>
      </c>
    </row>
    <row r="234" spans="2:6" ht="15.75" x14ac:dyDescent="0.25">
      <c r="B234" s="14">
        <v>45609</v>
      </c>
      <c r="C234" s="2" t="s">
        <v>2492</v>
      </c>
      <c r="D234" s="2"/>
      <c r="E234" s="33">
        <v>45.5</v>
      </c>
      <c r="F234" s="29">
        <f t="shared" si="3"/>
        <v>1.5</v>
      </c>
    </row>
    <row r="235" spans="2:6" ht="15.75" x14ac:dyDescent="0.25">
      <c r="B235" s="14">
        <v>45610</v>
      </c>
      <c r="C235" s="2" t="s">
        <v>2514</v>
      </c>
      <c r="D235" s="2"/>
      <c r="E235" s="23">
        <v>24</v>
      </c>
      <c r="F235" s="29">
        <f t="shared" ref="F235:F238" si="4">E235-E234</f>
        <v>-21.5</v>
      </c>
    </row>
    <row r="236" spans="2:6" ht="15.75" x14ac:dyDescent="0.25">
      <c r="B236" s="14">
        <v>45611</v>
      </c>
      <c r="C236" s="2" t="s">
        <v>2522</v>
      </c>
      <c r="D236" s="2"/>
      <c r="E236" s="23">
        <v>28</v>
      </c>
      <c r="F236" s="29">
        <f t="shared" si="4"/>
        <v>4</v>
      </c>
    </row>
    <row r="237" spans="2:6" ht="15.75" x14ac:dyDescent="0.25">
      <c r="B237" s="14">
        <v>45612</v>
      </c>
      <c r="C237" s="2" t="s">
        <v>2541</v>
      </c>
      <c r="D237" s="2"/>
      <c r="E237" s="23">
        <v>31</v>
      </c>
      <c r="F237" s="29">
        <f t="shared" si="4"/>
        <v>3</v>
      </c>
    </row>
    <row r="238" spans="2:6" ht="15.75" x14ac:dyDescent="0.25">
      <c r="B238" s="14">
        <v>45613</v>
      </c>
      <c r="C238" s="2" t="s">
        <v>2540</v>
      </c>
      <c r="D238" s="2"/>
      <c r="E238" s="23">
        <v>34</v>
      </c>
      <c r="F238" s="29">
        <f t="shared" si="4"/>
        <v>3</v>
      </c>
    </row>
    <row r="239" spans="2:6" ht="15.75" x14ac:dyDescent="0.25">
      <c r="B239" s="14">
        <v>45614</v>
      </c>
      <c r="C239" s="2" t="s">
        <v>2543</v>
      </c>
      <c r="D239" s="2"/>
      <c r="E239" s="23">
        <v>36</v>
      </c>
      <c r="F239" s="29">
        <f>E239-E238</f>
        <v>2</v>
      </c>
    </row>
    <row r="240" spans="2:6" ht="15.75" x14ac:dyDescent="0.25">
      <c r="B240" s="14">
        <v>45615</v>
      </c>
      <c r="C240" s="2" t="s">
        <v>2551</v>
      </c>
      <c r="D240" s="2" t="s">
        <v>2552</v>
      </c>
      <c r="E240" s="23">
        <v>36</v>
      </c>
      <c r="F240" s="29">
        <f t="shared" ref="F240:F286" si="5">E240-E239</f>
        <v>0</v>
      </c>
    </row>
    <row r="241" spans="2:6" ht="15.75" x14ac:dyDescent="0.25">
      <c r="B241" s="14">
        <v>45616</v>
      </c>
      <c r="C241" s="2" t="s">
        <v>2565</v>
      </c>
      <c r="D241" s="2"/>
      <c r="E241" s="23">
        <v>38</v>
      </c>
      <c r="F241" s="29">
        <f t="shared" si="5"/>
        <v>2</v>
      </c>
    </row>
    <row r="242" spans="2:6" ht="15.75" x14ac:dyDescent="0.25">
      <c r="B242" s="14">
        <v>45617</v>
      </c>
      <c r="C242" s="2" t="s">
        <v>2575</v>
      </c>
      <c r="D242" s="2"/>
      <c r="E242" s="23">
        <v>40</v>
      </c>
      <c r="F242" s="29">
        <f t="shared" si="5"/>
        <v>2</v>
      </c>
    </row>
    <row r="243" spans="2:6" ht="15.75" x14ac:dyDescent="0.25">
      <c r="B243" s="14">
        <v>45618</v>
      </c>
      <c r="C243" s="2" t="s">
        <v>2585</v>
      </c>
      <c r="D243" s="2" t="s">
        <v>2586</v>
      </c>
      <c r="E243" s="23">
        <v>41</v>
      </c>
      <c r="F243" s="29">
        <f t="shared" si="5"/>
        <v>1</v>
      </c>
    </row>
    <row r="244" spans="2:6" ht="15.75" x14ac:dyDescent="0.25">
      <c r="B244" s="14">
        <v>45619</v>
      </c>
      <c r="C244" s="2" t="s">
        <v>2596</v>
      </c>
      <c r="D244" s="2"/>
      <c r="E244" s="23">
        <v>42</v>
      </c>
      <c r="F244" s="29">
        <f t="shared" si="5"/>
        <v>1</v>
      </c>
    </row>
    <row r="245" spans="2:6" ht="15.75" x14ac:dyDescent="0.25">
      <c r="B245" s="14">
        <v>45620</v>
      </c>
      <c r="C245" s="2" t="s">
        <v>2597</v>
      </c>
      <c r="D245" s="2"/>
      <c r="E245" s="23">
        <v>43.5</v>
      </c>
      <c r="F245" s="29">
        <f t="shared" si="5"/>
        <v>1.5</v>
      </c>
    </row>
    <row r="246" spans="2:6" ht="15.75" x14ac:dyDescent="0.25">
      <c r="B246" s="14">
        <v>45621</v>
      </c>
      <c r="C246" s="2" t="s">
        <v>2608</v>
      </c>
      <c r="D246" s="2"/>
      <c r="E246" s="23">
        <v>44.5</v>
      </c>
      <c r="F246" s="29">
        <f t="shared" si="5"/>
        <v>1</v>
      </c>
    </row>
    <row r="247" spans="2:6" ht="15.75" x14ac:dyDescent="0.25">
      <c r="B247" s="14">
        <v>45622</v>
      </c>
      <c r="C247" s="2" t="s">
        <v>2619</v>
      </c>
      <c r="D247" s="2"/>
      <c r="E247" s="23">
        <v>46</v>
      </c>
      <c r="F247" s="29">
        <f t="shared" si="5"/>
        <v>1.5</v>
      </c>
    </row>
    <row r="248" spans="2:6" ht="15.75" x14ac:dyDescent="0.25">
      <c r="B248" s="14">
        <v>45623</v>
      </c>
      <c r="C248" s="2"/>
      <c r="D248" s="2"/>
      <c r="E248" s="23">
        <v>46</v>
      </c>
      <c r="F248" s="29">
        <f t="shared" si="5"/>
        <v>0</v>
      </c>
    </row>
    <row r="249" spans="2:6" ht="15.75" x14ac:dyDescent="0.25">
      <c r="B249" s="14">
        <v>45624</v>
      </c>
      <c r="C249" s="2" t="s">
        <v>2633</v>
      </c>
      <c r="D249" s="2"/>
      <c r="E249" s="23">
        <v>47.5</v>
      </c>
      <c r="F249" s="29">
        <f t="shared" si="5"/>
        <v>1.5</v>
      </c>
    </row>
    <row r="250" spans="2:6" ht="15.75" x14ac:dyDescent="0.25">
      <c r="B250" s="14">
        <v>45625</v>
      </c>
      <c r="C250" s="2" t="s">
        <v>2640</v>
      </c>
      <c r="D250" s="2"/>
      <c r="E250" s="23">
        <v>48</v>
      </c>
      <c r="F250" s="29">
        <f t="shared" si="5"/>
        <v>0.5</v>
      </c>
    </row>
    <row r="251" spans="2:6" ht="15.75" x14ac:dyDescent="0.25">
      <c r="B251" s="14">
        <v>45626</v>
      </c>
      <c r="C251" s="2" t="s">
        <v>2656</v>
      </c>
      <c r="D251" s="2"/>
      <c r="E251" s="23">
        <v>48.5</v>
      </c>
      <c r="F251" s="29">
        <f t="shared" si="5"/>
        <v>0.5</v>
      </c>
    </row>
    <row r="252" spans="2:6" ht="15.75" x14ac:dyDescent="0.25">
      <c r="B252" s="14">
        <v>45627</v>
      </c>
      <c r="C252" s="2" t="s">
        <v>2655</v>
      </c>
      <c r="D252" s="2"/>
      <c r="E252" s="23">
        <v>49</v>
      </c>
      <c r="F252" s="29">
        <f t="shared" si="5"/>
        <v>0.5</v>
      </c>
    </row>
    <row r="253" spans="2:6" ht="15.75" x14ac:dyDescent="0.25">
      <c r="B253" s="14">
        <v>45628</v>
      </c>
      <c r="C253" s="2" t="s">
        <v>2654</v>
      </c>
      <c r="D253" s="2"/>
      <c r="E253" s="23">
        <v>49.5</v>
      </c>
      <c r="F253" s="29">
        <f t="shared" si="5"/>
        <v>0.5</v>
      </c>
    </row>
    <row r="254" spans="2:6" ht="15.75" x14ac:dyDescent="0.25">
      <c r="B254" s="14">
        <v>45629</v>
      </c>
      <c r="C254" s="2" t="s">
        <v>2672</v>
      </c>
      <c r="D254" s="2"/>
      <c r="E254" s="23">
        <v>50</v>
      </c>
      <c r="F254" s="29">
        <f t="shared" si="5"/>
        <v>0.5</v>
      </c>
    </row>
    <row r="255" spans="2:6" ht="15.75" x14ac:dyDescent="0.25">
      <c r="B255" s="14">
        <v>45630</v>
      </c>
      <c r="C255" s="2" t="s">
        <v>2685</v>
      </c>
      <c r="D255" s="2" t="s">
        <v>2683</v>
      </c>
      <c r="E255" s="23">
        <v>50.5</v>
      </c>
      <c r="F255" s="29">
        <f t="shared" si="5"/>
        <v>0.5</v>
      </c>
    </row>
    <row r="256" spans="2:6" ht="15.75" x14ac:dyDescent="0.25">
      <c r="B256" s="14">
        <v>45631</v>
      </c>
      <c r="C256" s="2" t="s">
        <v>2685</v>
      </c>
      <c r="D256" s="2"/>
      <c r="E256" s="23">
        <v>50.5</v>
      </c>
      <c r="F256" s="29">
        <f t="shared" si="5"/>
        <v>0</v>
      </c>
    </row>
    <row r="257" spans="2:6" ht="15.75" x14ac:dyDescent="0.25">
      <c r="B257" s="14">
        <v>45632</v>
      </c>
      <c r="C257" s="2" t="s">
        <v>2685</v>
      </c>
      <c r="D257" s="2"/>
      <c r="E257" s="23">
        <v>50.5</v>
      </c>
      <c r="F257" s="29">
        <f t="shared" si="5"/>
        <v>0</v>
      </c>
    </row>
    <row r="258" spans="2:6" ht="15.75" x14ac:dyDescent="0.25">
      <c r="B258" s="14">
        <v>45633</v>
      </c>
      <c r="C258" s="2" t="s">
        <v>2703</v>
      </c>
      <c r="D258" s="2"/>
      <c r="E258" s="23">
        <v>50.65</v>
      </c>
      <c r="F258" s="29">
        <f t="shared" si="5"/>
        <v>0.14999999999999858</v>
      </c>
    </row>
    <row r="259" spans="2:6" ht="15.75" x14ac:dyDescent="0.25">
      <c r="B259" s="14">
        <v>45634</v>
      </c>
      <c r="C259" s="2" t="s">
        <v>2703</v>
      </c>
      <c r="D259" s="2"/>
      <c r="E259" s="23">
        <v>50.65</v>
      </c>
      <c r="F259" s="29">
        <f t="shared" si="5"/>
        <v>0</v>
      </c>
    </row>
    <row r="260" spans="2:6" ht="15.75" x14ac:dyDescent="0.25">
      <c r="B260" s="14">
        <v>45635</v>
      </c>
      <c r="C260" s="2" t="s">
        <v>2744</v>
      </c>
      <c r="D260" s="2"/>
      <c r="E260" s="23">
        <v>50.65</v>
      </c>
      <c r="F260" s="29">
        <f t="shared" si="5"/>
        <v>0</v>
      </c>
    </row>
    <row r="261" spans="2:6" ht="15.75" x14ac:dyDescent="0.25">
      <c r="B261" s="14">
        <v>45636</v>
      </c>
      <c r="C261" s="2" t="s">
        <v>2782</v>
      </c>
      <c r="D261" s="2"/>
      <c r="E261" s="23">
        <v>51.5</v>
      </c>
      <c r="F261" s="29">
        <f t="shared" si="5"/>
        <v>0.85000000000000142</v>
      </c>
    </row>
    <row r="262" spans="2:6" ht="15.75" x14ac:dyDescent="0.25">
      <c r="B262" s="14">
        <v>45637</v>
      </c>
      <c r="C262" s="2" t="s">
        <v>2783</v>
      </c>
      <c r="D262" s="2"/>
      <c r="E262" s="23">
        <v>52.5</v>
      </c>
      <c r="F262" s="29">
        <f t="shared" si="5"/>
        <v>1</v>
      </c>
    </row>
    <row r="263" spans="2:6" ht="15.75" x14ac:dyDescent="0.25">
      <c r="B263" s="14">
        <v>45638</v>
      </c>
      <c r="C263" s="2" t="s">
        <v>2784</v>
      </c>
      <c r="D263" s="2"/>
      <c r="E263" s="23">
        <v>54</v>
      </c>
      <c r="F263" s="29">
        <f t="shared" si="5"/>
        <v>1.5</v>
      </c>
    </row>
    <row r="264" spans="2:6" ht="15.75" x14ac:dyDescent="0.25">
      <c r="B264" s="14">
        <v>45639</v>
      </c>
      <c r="C264" s="2" t="s">
        <v>2785</v>
      </c>
      <c r="D264" s="2"/>
      <c r="E264" s="23">
        <v>55</v>
      </c>
      <c r="F264" s="29">
        <f t="shared" si="5"/>
        <v>1</v>
      </c>
    </row>
    <row r="265" spans="2:6" ht="15.75" x14ac:dyDescent="0.25">
      <c r="B265" s="14">
        <v>45640</v>
      </c>
      <c r="C265" s="2" t="s">
        <v>2780</v>
      </c>
      <c r="D265" s="2"/>
      <c r="E265" s="23">
        <v>58</v>
      </c>
      <c r="F265" s="29">
        <f t="shared" si="5"/>
        <v>3</v>
      </c>
    </row>
    <row r="266" spans="2:6" ht="15.75" x14ac:dyDescent="0.25">
      <c r="B266" s="14">
        <v>45641</v>
      </c>
      <c r="C266" s="2" t="s">
        <v>2781</v>
      </c>
      <c r="D266" s="2"/>
      <c r="E266" s="23">
        <v>51</v>
      </c>
      <c r="F266" s="29">
        <f t="shared" si="5"/>
        <v>-7</v>
      </c>
    </row>
    <row r="267" spans="2:6" ht="15.75" x14ac:dyDescent="0.25">
      <c r="B267" s="14">
        <v>45642</v>
      </c>
      <c r="C267" s="2" t="s">
        <v>2795</v>
      </c>
      <c r="D267" s="2"/>
      <c r="E267" s="23">
        <v>51.5</v>
      </c>
      <c r="F267" s="29">
        <f t="shared" si="5"/>
        <v>0.5</v>
      </c>
    </row>
    <row r="268" spans="2:6" ht="15.75" x14ac:dyDescent="0.25">
      <c r="B268" s="14">
        <v>45643</v>
      </c>
      <c r="C268" s="2" t="s">
        <v>2799</v>
      </c>
      <c r="D268" s="2" t="s">
        <v>2810</v>
      </c>
      <c r="E268" s="23">
        <v>51.8</v>
      </c>
      <c r="F268" s="29">
        <f t="shared" si="5"/>
        <v>0.29999999999999716</v>
      </c>
    </row>
    <row r="269" spans="2:6" ht="15.75" x14ac:dyDescent="0.25">
      <c r="B269" s="14">
        <v>45644</v>
      </c>
      <c r="C269" s="2" t="s">
        <v>2812</v>
      </c>
      <c r="D269" s="2"/>
      <c r="E269" s="23">
        <v>52.5</v>
      </c>
      <c r="F269" s="29">
        <f t="shared" si="5"/>
        <v>0.70000000000000284</v>
      </c>
    </row>
    <row r="270" spans="2:6" ht="15.75" x14ac:dyDescent="0.25">
      <c r="B270" s="14">
        <v>45645</v>
      </c>
      <c r="C270" s="2" t="s">
        <v>2822</v>
      </c>
      <c r="D270" s="2"/>
      <c r="E270" s="23">
        <v>53</v>
      </c>
      <c r="F270" s="29">
        <f t="shared" si="5"/>
        <v>0.5</v>
      </c>
    </row>
    <row r="271" spans="2:6" ht="15.75" x14ac:dyDescent="0.25">
      <c r="B271" s="14">
        <v>45646</v>
      </c>
      <c r="C271" s="2" t="s">
        <v>2831</v>
      </c>
      <c r="D271" s="2"/>
      <c r="E271" s="23">
        <v>53</v>
      </c>
      <c r="F271" s="29">
        <f t="shared" si="5"/>
        <v>0</v>
      </c>
    </row>
    <row r="272" spans="2:6" ht="15.75" x14ac:dyDescent="0.25">
      <c r="B272" s="14">
        <v>45647</v>
      </c>
      <c r="C272" s="2" t="s">
        <v>2843</v>
      </c>
      <c r="D272" s="2"/>
      <c r="E272" s="23">
        <v>53.5</v>
      </c>
      <c r="F272" s="29">
        <f t="shared" si="5"/>
        <v>0.5</v>
      </c>
    </row>
    <row r="273" spans="2:6" ht="15.75" x14ac:dyDescent="0.25">
      <c r="B273" s="14">
        <v>45648</v>
      </c>
      <c r="C273" s="2" t="s">
        <v>2842</v>
      </c>
      <c r="D273" s="2"/>
      <c r="E273" s="23">
        <v>53.5</v>
      </c>
      <c r="F273" s="29">
        <f t="shared" si="5"/>
        <v>0</v>
      </c>
    </row>
    <row r="274" spans="2:6" ht="15.75" x14ac:dyDescent="0.25">
      <c r="B274" s="14">
        <v>45649</v>
      </c>
      <c r="C274" s="2" t="s">
        <v>2871</v>
      </c>
      <c r="D274" s="2"/>
      <c r="E274" s="23">
        <v>56</v>
      </c>
      <c r="F274" s="29">
        <f t="shared" si="5"/>
        <v>2.5</v>
      </c>
    </row>
    <row r="275" spans="2:6" ht="15.75" x14ac:dyDescent="0.25">
      <c r="B275" s="14">
        <v>45650</v>
      </c>
      <c r="C275" s="2" t="s">
        <v>1166</v>
      </c>
      <c r="D275" s="2"/>
      <c r="E275" s="23">
        <v>56</v>
      </c>
      <c r="F275" s="29">
        <f t="shared" si="5"/>
        <v>0</v>
      </c>
    </row>
    <row r="276" spans="2:6" ht="15.75" x14ac:dyDescent="0.25">
      <c r="B276" s="14">
        <v>45651</v>
      </c>
      <c r="C276" s="2" t="s">
        <v>2903</v>
      </c>
      <c r="D276" s="2"/>
      <c r="E276" s="23">
        <v>54</v>
      </c>
      <c r="F276" s="29">
        <f t="shared" si="5"/>
        <v>-2</v>
      </c>
    </row>
    <row r="277" spans="2:6" ht="15.75" x14ac:dyDescent="0.25">
      <c r="B277" s="14">
        <v>45652</v>
      </c>
      <c r="C277" s="2" t="s">
        <v>2911</v>
      </c>
      <c r="D277" s="2"/>
      <c r="E277" s="23">
        <v>59.5</v>
      </c>
      <c r="F277" s="29">
        <f t="shared" si="5"/>
        <v>5.5</v>
      </c>
    </row>
    <row r="278" spans="2:6" ht="15.75" x14ac:dyDescent="0.25">
      <c r="B278" s="14">
        <v>45653</v>
      </c>
      <c r="C278" s="2" t="s">
        <v>2922</v>
      </c>
      <c r="D278" s="2"/>
      <c r="E278" s="23">
        <v>60.5</v>
      </c>
      <c r="F278" s="29">
        <f t="shared" si="5"/>
        <v>1</v>
      </c>
    </row>
    <row r="279" spans="2:6" ht="15.75" x14ac:dyDescent="0.25">
      <c r="B279" s="14">
        <v>45654</v>
      </c>
      <c r="C279" s="2" t="s">
        <v>2935</v>
      </c>
      <c r="D279" s="2"/>
      <c r="E279" s="23">
        <v>61.5</v>
      </c>
      <c r="F279" s="29">
        <f t="shared" si="5"/>
        <v>1</v>
      </c>
    </row>
    <row r="280" spans="2:6" ht="15.75" x14ac:dyDescent="0.25">
      <c r="B280" s="14">
        <v>45655</v>
      </c>
      <c r="C280" s="2" t="s">
        <v>2936</v>
      </c>
      <c r="D280" s="2"/>
      <c r="E280" s="23">
        <v>63</v>
      </c>
      <c r="F280" s="29">
        <f t="shared" si="5"/>
        <v>1.5</v>
      </c>
    </row>
    <row r="281" spans="2:6" ht="15.75" x14ac:dyDescent="0.25">
      <c r="B281" s="14">
        <v>45656</v>
      </c>
      <c r="C281" s="2" t="s">
        <v>2968</v>
      </c>
      <c r="D281" s="2" t="s">
        <v>2969</v>
      </c>
      <c r="E281" s="23">
        <v>63</v>
      </c>
      <c r="F281" s="29">
        <f t="shared" si="5"/>
        <v>0</v>
      </c>
    </row>
    <row r="282" spans="2:6" ht="15.75" x14ac:dyDescent="0.25">
      <c r="B282" s="14">
        <v>45657</v>
      </c>
      <c r="C282" s="2"/>
      <c r="D282" s="2"/>
      <c r="E282" s="23">
        <v>63</v>
      </c>
      <c r="F282" s="29">
        <f t="shared" si="5"/>
        <v>0</v>
      </c>
    </row>
    <row r="283" spans="2:6" ht="15.75" x14ac:dyDescent="0.25">
      <c r="B283" s="14">
        <v>45658</v>
      </c>
      <c r="C283" s="2" t="s">
        <v>2975</v>
      </c>
      <c r="D283" s="2" t="s">
        <v>2982</v>
      </c>
      <c r="E283" s="23">
        <v>57.5</v>
      </c>
      <c r="F283" s="29">
        <f t="shared" si="5"/>
        <v>-5.5</v>
      </c>
    </row>
    <row r="284" spans="2:6" ht="15.75" x14ac:dyDescent="0.25">
      <c r="B284" s="14">
        <v>45659</v>
      </c>
      <c r="C284" s="2" t="s">
        <v>2989</v>
      </c>
      <c r="D284" s="2"/>
      <c r="E284" s="23">
        <v>59</v>
      </c>
      <c r="F284" s="29">
        <f t="shared" si="5"/>
        <v>1.5</v>
      </c>
    </row>
    <row r="285" spans="2:6" ht="15.75" x14ac:dyDescent="0.25">
      <c r="B285" s="14">
        <v>45660</v>
      </c>
      <c r="C285" s="2" t="s">
        <v>2999</v>
      </c>
      <c r="D285" s="2"/>
      <c r="E285" s="23">
        <v>60.5</v>
      </c>
      <c r="F285" s="29">
        <f t="shared" si="5"/>
        <v>1.5</v>
      </c>
    </row>
    <row r="286" spans="2:6" ht="15.75" x14ac:dyDescent="0.25">
      <c r="B286" s="14">
        <v>45661</v>
      </c>
      <c r="C286" s="2" t="s">
        <v>3042</v>
      </c>
      <c r="D286" s="2"/>
      <c r="E286" s="23">
        <v>61.5</v>
      </c>
      <c r="F286" s="29">
        <f t="shared" si="5"/>
        <v>1</v>
      </c>
    </row>
    <row r="287" spans="2:6" x14ac:dyDescent="0.25">
      <c r="B287" s="14">
        <v>45662</v>
      </c>
      <c r="C287" s="2" t="s">
        <v>3043</v>
      </c>
      <c r="D287" s="2"/>
      <c r="E287" s="23">
        <v>62.5</v>
      </c>
      <c r="F287" s="23">
        <f>E287-E286</f>
        <v>1</v>
      </c>
    </row>
    <row r="288" spans="2:6" x14ac:dyDescent="0.25">
      <c r="B288" s="14">
        <v>45663</v>
      </c>
      <c r="C288" s="2" t="s">
        <v>1166</v>
      </c>
      <c r="D288" s="2" t="s">
        <v>3057</v>
      </c>
      <c r="E288" s="23">
        <v>62.5</v>
      </c>
      <c r="F288" s="23">
        <f>E288-E287</f>
        <v>0</v>
      </c>
    </row>
    <row r="289" spans="2:6" x14ac:dyDescent="0.25">
      <c r="B289" s="14">
        <v>45664</v>
      </c>
      <c r="C289" s="2" t="s">
        <v>1166</v>
      </c>
      <c r="D289" s="2"/>
      <c r="E289" s="23">
        <v>62.5</v>
      </c>
      <c r="F289" s="23">
        <f>E289-E288</f>
        <v>0</v>
      </c>
    </row>
    <row r="290" spans="2:6" x14ac:dyDescent="0.25">
      <c r="B290" s="14">
        <v>45665</v>
      </c>
      <c r="C290" s="2" t="s">
        <v>3071</v>
      </c>
      <c r="D290" s="2" t="s">
        <v>3088</v>
      </c>
      <c r="E290" s="23">
        <v>62.5</v>
      </c>
      <c r="F290" s="2">
        <f>E290-E289</f>
        <v>0</v>
      </c>
    </row>
    <row r="291" spans="2:6" x14ac:dyDescent="0.25">
      <c r="B291" s="14">
        <v>45666</v>
      </c>
      <c r="C291" s="2" t="s">
        <v>3081</v>
      </c>
      <c r="D291" s="2"/>
      <c r="E291" s="23">
        <v>62.5</v>
      </c>
      <c r="F291" s="2">
        <f t="shared" ref="F291:F294" si="6">E291-E290</f>
        <v>0</v>
      </c>
    </row>
    <row r="292" spans="2:6" x14ac:dyDescent="0.25">
      <c r="B292" s="14">
        <v>45667</v>
      </c>
      <c r="C292" s="2" t="s">
        <v>1166</v>
      </c>
      <c r="D292" s="2"/>
      <c r="E292" s="23">
        <v>62.5</v>
      </c>
      <c r="F292" s="2">
        <f t="shared" si="6"/>
        <v>0</v>
      </c>
    </row>
    <row r="293" spans="2:6" x14ac:dyDescent="0.25">
      <c r="B293" s="14">
        <v>45668</v>
      </c>
      <c r="C293" s="2" t="s">
        <v>1166</v>
      </c>
      <c r="D293" s="2"/>
      <c r="E293" s="23">
        <v>62.5</v>
      </c>
      <c r="F293" s="2">
        <f t="shared" si="6"/>
        <v>0</v>
      </c>
    </row>
    <row r="294" spans="2:6" x14ac:dyDescent="0.25">
      <c r="B294" s="14">
        <v>45669</v>
      </c>
      <c r="C294" s="2" t="s">
        <v>1166</v>
      </c>
      <c r="D294" s="2" t="s">
        <v>3101</v>
      </c>
      <c r="E294" s="23">
        <v>62.5</v>
      </c>
      <c r="F294" s="2">
        <f t="shared" si="6"/>
        <v>0</v>
      </c>
    </row>
    <row r="295" spans="2:6" x14ac:dyDescent="0.25">
      <c r="B295" s="14">
        <v>45670</v>
      </c>
      <c r="C295" s="2" t="s">
        <v>3117</v>
      </c>
      <c r="D295" s="2"/>
      <c r="E295" s="2"/>
      <c r="F295" s="2"/>
    </row>
    <row r="296" spans="2:6" x14ac:dyDescent="0.25">
      <c r="B296" s="14">
        <v>45671</v>
      </c>
      <c r="C296" s="2" t="s">
        <v>1528</v>
      </c>
      <c r="D296" s="2"/>
      <c r="E296" s="2"/>
      <c r="F296" s="2"/>
    </row>
    <row r="297" spans="2:6" x14ac:dyDescent="0.25">
      <c r="B297" s="14">
        <v>45672</v>
      </c>
      <c r="C297" s="2" t="s">
        <v>3143</v>
      </c>
      <c r="D297" s="2"/>
      <c r="E297" s="2"/>
      <c r="F297" s="2"/>
    </row>
    <row r="298" spans="2:6" ht="18.75" x14ac:dyDescent="0.4">
      <c r="B298" s="14">
        <v>45673</v>
      </c>
      <c r="C298" s="2" t="s">
        <v>3153</v>
      </c>
      <c r="D298" s="56"/>
      <c r="E298" s="2"/>
      <c r="F298" s="2"/>
    </row>
    <row r="299" spans="2:6" x14ac:dyDescent="0.25">
      <c r="B299" s="12"/>
      <c r="C299" s="2"/>
      <c r="D299" s="2"/>
      <c r="E299" s="2"/>
      <c r="F299" s="2"/>
    </row>
    <row r="300" spans="2:6" x14ac:dyDescent="0.25">
      <c r="B300" s="12"/>
      <c r="C300" s="2"/>
      <c r="D300" s="2"/>
      <c r="E300" s="2"/>
      <c r="F300" s="2"/>
    </row>
    <row r="301" spans="2:6" x14ac:dyDescent="0.25">
      <c r="B301" s="12"/>
      <c r="C301" s="2"/>
      <c r="D301" s="2"/>
      <c r="E301" s="2"/>
      <c r="F301" s="2"/>
    </row>
    <row r="302" spans="2:6" x14ac:dyDescent="0.25">
      <c r="B302" s="12"/>
      <c r="C302" s="2"/>
      <c r="D302" s="2"/>
      <c r="E302" s="2"/>
      <c r="F302" s="2"/>
    </row>
    <row r="303" spans="2:6" x14ac:dyDescent="0.25">
      <c r="B303" s="12"/>
      <c r="C303" s="2"/>
      <c r="D303" s="2"/>
      <c r="E303" s="2"/>
      <c r="F303" s="2"/>
    </row>
    <row r="304" spans="2:6" x14ac:dyDescent="0.25">
      <c r="B304" s="12"/>
      <c r="C304" s="2"/>
      <c r="D304" s="2"/>
      <c r="E304" s="2"/>
      <c r="F304" s="2"/>
    </row>
    <row r="305" spans="2:6" x14ac:dyDescent="0.25">
      <c r="B305" s="12"/>
      <c r="C305" s="2"/>
      <c r="D305" s="2"/>
      <c r="E305" s="2"/>
      <c r="F305" s="2"/>
    </row>
    <row r="306" spans="2:6" x14ac:dyDescent="0.25">
      <c r="B306" s="12"/>
      <c r="C306" s="2"/>
      <c r="D306" s="2"/>
      <c r="E306" s="2"/>
      <c r="F306" s="2"/>
    </row>
    <row r="307" spans="2:6" x14ac:dyDescent="0.25">
      <c r="B307" s="12"/>
      <c r="C307" s="2"/>
      <c r="D307" s="2"/>
      <c r="E307" s="2"/>
      <c r="F307" s="2"/>
    </row>
  </sheetData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5">
    <tabColor rgb="FF92D050"/>
  </sheetPr>
  <dimension ref="B1:E184"/>
  <sheetViews>
    <sheetView topLeftCell="A166" zoomScaleNormal="100" workbookViewId="0">
      <selection activeCell="D172" sqref="D172"/>
    </sheetView>
  </sheetViews>
  <sheetFormatPr defaultRowHeight="15" x14ac:dyDescent="0.25"/>
  <cols>
    <col min="2" max="2" width="17.42578125" customWidth="1"/>
    <col min="3" max="3" width="72" bestFit="1" customWidth="1"/>
    <col min="4" max="4" width="46" customWidth="1"/>
    <col min="5" max="5" width="18.5703125" bestFit="1" customWidth="1"/>
  </cols>
  <sheetData>
    <row r="1" spans="2:5" ht="30.75" customHeight="1" x14ac:dyDescent="0.25">
      <c r="B1" s="10" t="s">
        <v>0</v>
      </c>
      <c r="C1" s="11" t="s">
        <v>1</v>
      </c>
      <c r="D1" s="11" t="s">
        <v>2</v>
      </c>
      <c r="E1" s="22" t="s">
        <v>810</v>
      </c>
    </row>
    <row r="2" spans="2:5" x14ac:dyDescent="0.25">
      <c r="B2" s="2" t="s">
        <v>106</v>
      </c>
      <c r="C2" s="2" t="s">
        <v>349</v>
      </c>
      <c r="D2" s="2" t="s">
        <v>350</v>
      </c>
      <c r="E2" s="2"/>
    </row>
    <row r="3" spans="2:5" x14ac:dyDescent="0.25">
      <c r="B3" s="4">
        <v>45383</v>
      </c>
      <c r="C3" s="2" t="s">
        <v>351</v>
      </c>
      <c r="D3" s="2"/>
      <c r="E3" s="2"/>
    </row>
    <row r="4" spans="2:5" x14ac:dyDescent="0.25">
      <c r="B4" s="4">
        <v>45383</v>
      </c>
      <c r="C4" s="2" t="s">
        <v>352</v>
      </c>
      <c r="D4" s="2"/>
      <c r="E4" s="2"/>
    </row>
    <row r="5" spans="2:5" x14ac:dyDescent="0.25">
      <c r="B5" s="4">
        <v>45383</v>
      </c>
      <c r="C5" s="2" t="s">
        <v>353</v>
      </c>
      <c r="D5" s="2" t="s">
        <v>354</v>
      </c>
      <c r="E5" s="2"/>
    </row>
    <row r="6" spans="2:5" x14ac:dyDescent="0.25">
      <c r="B6" s="4">
        <v>45384</v>
      </c>
      <c r="C6" s="2" t="s">
        <v>354</v>
      </c>
      <c r="D6" s="2"/>
      <c r="E6" s="2"/>
    </row>
    <row r="7" spans="2:5" x14ac:dyDescent="0.25">
      <c r="B7" s="4">
        <v>45384</v>
      </c>
      <c r="C7" s="2" t="s">
        <v>355</v>
      </c>
      <c r="D7" s="2"/>
      <c r="E7" s="2"/>
    </row>
    <row r="8" spans="2:5" x14ac:dyDescent="0.25">
      <c r="B8" s="4">
        <v>45385</v>
      </c>
      <c r="C8" s="2" t="s">
        <v>356</v>
      </c>
      <c r="D8" s="2"/>
      <c r="E8" s="2"/>
    </row>
    <row r="9" spans="2:5" x14ac:dyDescent="0.25">
      <c r="B9" s="4">
        <v>45385</v>
      </c>
      <c r="C9" s="2" t="s">
        <v>349</v>
      </c>
      <c r="D9" s="2" t="s">
        <v>357</v>
      </c>
      <c r="E9" s="2"/>
    </row>
    <row r="10" spans="2:5" x14ac:dyDescent="0.25">
      <c r="B10" s="4">
        <v>45386</v>
      </c>
      <c r="C10" s="2" t="s">
        <v>357</v>
      </c>
      <c r="D10" s="2"/>
      <c r="E10" s="2"/>
    </row>
    <row r="11" spans="2:5" x14ac:dyDescent="0.25">
      <c r="B11" s="4">
        <v>45386</v>
      </c>
      <c r="C11" s="2" t="s">
        <v>349</v>
      </c>
      <c r="D11" s="2" t="s">
        <v>358</v>
      </c>
      <c r="E11" s="2"/>
    </row>
    <row r="12" spans="2:5" x14ac:dyDescent="0.25">
      <c r="B12" s="4">
        <v>45387</v>
      </c>
      <c r="C12" s="2" t="s">
        <v>359</v>
      </c>
      <c r="D12" s="2" t="s">
        <v>359</v>
      </c>
      <c r="E12" s="2"/>
    </row>
    <row r="13" spans="2:5" x14ac:dyDescent="0.25">
      <c r="B13" s="4">
        <v>45387</v>
      </c>
      <c r="C13" s="2" t="s">
        <v>360</v>
      </c>
      <c r="D13" s="2"/>
      <c r="E13" s="2"/>
    </row>
    <row r="14" spans="2:5" x14ac:dyDescent="0.25">
      <c r="B14" s="4">
        <v>45387</v>
      </c>
      <c r="C14" s="2" t="s">
        <v>361</v>
      </c>
      <c r="D14" s="2" t="s">
        <v>362</v>
      </c>
      <c r="E14" s="2"/>
    </row>
    <row r="15" spans="2:5" x14ac:dyDescent="0.25">
      <c r="B15" s="4">
        <v>45388</v>
      </c>
      <c r="C15" s="2" t="s">
        <v>362</v>
      </c>
      <c r="D15" s="2"/>
      <c r="E15" s="2"/>
    </row>
    <row r="16" spans="2:5" x14ac:dyDescent="0.25">
      <c r="B16" s="4">
        <v>45388</v>
      </c>
      <c r="C16" s="2" t="s">
        <v>363</v>
      </c>
      <c r="D16" s="2"/>
      <c r="E16" s="2"/>
    </row>
    <row r="17" spans="2:5" x14ac:dyDescent="0.25">
      <c r="B17" s="4">
        <v>45388</v>
      </c>
      <c r="C17" s="2" t="s">
        <v>364</v>
      </c>
      <c r="D17" s="2"/>
      <c r="E17" s="2"/>
    </row>
    <row r="18" spans="2:5" x14ac:dyDescent="0.25">
      <c r="B18" s="4">
        <v>45388</v>
      </c>
      <c r="C18" s="2" t="s">
        <v>365</v>
      </c>
      <c r="D18" s="2"/>
      <c r="E18" s="2"/>
    </row>
    <row r="19" spans="2:5" x14ac:dyDescent="0.25">
      <c r="B19" s="4">
        <v>45389</v>
      </c>
      <c r="C19" s="2" t="s">
        <v>131</v>
      </c>
      <c r="D19" s="2"/>
      <c r="E19" s="2"/>
    </row>
    <row r="20" spans="2:5" x14ac:dyDescent="0.25">
      <c r="B20" s="4">
        <v>45390</v>
      </c>
      <c r="C20" s="2" t="s">
        <v>131</v>
      </c>
      <c r="D20" s="2"/>
      <c r="E20" s="2"/>
    </row>
    <row r="21" spans="2:5" x14ac:dyDescent="0.25">
      <c r="B21" s="4">
        <v>45391</v>
      </c>
      <c r="C21" s="2" t="s">
        <v>131</v>
      </c>
      <c r="D21" s="2"/>
      <c r="E21" s="2"/>
    </row>
    <row r="22" spans="2:5" x14ac:dyDescent="0.25">
      <c r="B22" s="4">
        <v>45392</v>
      </c>
      <c r="C22" s="2" t="s">
        <v>131</v>
      </c>
      <c r="D22" s="2"/>
      <c r="E22" s="2"/>
    </row>
    <row r="23" spans="2:5" x14ac:dyDescent="0.25">
      <c r="B23" s="4">
        <v>45393</v>
      </c>
      <c r="C23" s="2" t="s">
        <v>131</v>
      </c>
      <c r="D23" s="2"/>
      <c r="E23" s="2"/>
    </row>
    <row r="24" spans="2:5" x14ac:dyDescent="0.25">
      <c r="B24" s="4">
        <v>45394</v>
      </c>
      <c r="C24" s="2" t="s">
        <v>131</v>
      </c>
      <c r="D24" s="2"/>
      <c r="E24" s="2"/>
    </row>
    <row r="25" spans="2:5" x14ac:dyDescent="0.25">
      <c r="B25" s="4">
        <v>45395</v>
      </c>
      <c r="C25" s="2" t="s">
        <v>131</v>
      </c>
      <c r="D25" s="2"/>
      <c r="E25" s="2"/>
    </row>
    <row r="26" spans="2:5" x14ac:dyDescent="0.25">
      <c r="B26" s="4">
        <v>45396</v>
      </c>
      <c r="C26" s="2" t="s">
        <v>131</v>
      </c>
      <c r="D26" s="2"/>
      <c r="E26" s="2"/>
    </row>
    <row r="27" spans="2:5" x14ac:dyDescent="0.25">
      <c r="B27" s="4">
        <v>45397</v>
      </c>
      <c r="C27" s="2" t="s">
        <v>131</v>
      </c>
      <c r="D27" s="2"/>
      <c r="E27" s="2"/>
    </row>
    <row r="28" spans="2:5" x14ac:dyDescent="0.25">
      <c r="B28" s="4">
        <v>45398</v>
      </c>
      <c r="C28" s="2" t="s">
        <v>366</v>
      </c>
      <c r="D28" s="2"/>
      <c r="E28" s="2"/>
    </row>
    <row r="29" spans="2:5" x14ac:dyDescent="0.25">
      <c r="B29" s="4">
        <v>45398</v>
      </c>
      <c r="C29" s="2" t="s">
        <v>367</v>
      </c>
      <c r="D29" s="2"/>
      <c r="E29" s="2"/>
    </row>
    <row r="30" spans="2:5" x14ac:dyDescent="0.25">
      <c r="B30" s="4">
        <v>45398</v>
      </c>
      <c r="C30" s="2" t="s">
        <v>368</v>
      </c>
      <c r="D30" s="2" t="s">
        <v>369</v>
      </c>
      <c r="E30" s="2"/>
    </row>
    <row r="31" spans="2:5" x14ac:dyDescent="0.25">
      <c r="B31" s="4">
        <v>45399</v>
      </c>
      <c r="C31" s="2" t="s">
        <v>370</v>
      </c>
      <c r="D31" s="2"/>
      <c r="E31" s="2"/>
    </row>
    <row r="32" spans="2:5" x14ac:dyDescent="0.25">
      <c r="B32" s="4">
        <v>45400</v>
      </c>
      <c r="C32" s="2" t="s">
        <v>371</v>
      </c>
      <c r="D32" s="2"/>
      <c r="E32" s="2"/>
    </row>
    <row r="33" spans="2:5" x14ac:dyDescent="0.25">
      <c r="B33" s="4">
        <v>45400</v>
      </c>
      <c r="C33" s="2" t="s">
        <v>372</v>
      </c>
      <c r="D33" s="2" t="s">
        <v>373</v>
      </c>
      <c r="E33" s="2"/>
    </row>
    <row r="34" spans="2:5" x14ac:dyDescent="0.25">
      <c r="B34" s="4">
        <v>45401</v>
      </c>
      <c r="C34" s="2" t="s">
        <v>373</v>
      </c>
      <c r="D34" s="2"/>
      <c r="E34" s="2"/>
    </row>
    <row r="35" spans="2:5" x14ac:dyDescent="0.25">
      <c r="B35" s="4">
        <v>45401</v>
      </c>
      <c r="C35" s="2" t="s">
        <v>374</v>
      </c>
      <c r="D35" s="2"/>
      <c r="E35" s="2"/>
    </row>
    <row r="36" spans="2:5" x14ac:dyDescent="0.25">
      <c r="B36" s="4">
        <v>45401</v>
      </c>
      <c r="C36" s="2" t="s">
        <v>375</v>
      </c>
      <c r="D36" s="2"/>
      <c r="E36" s="2"/>
    </row>
    <row r="37" spans="2:5" x14ac:dyDescent="0.25">
      <c r="B37" s="4">
        <v>45401</v>
      </c>
      <c r="C37" s="2" t="s">
        <v>376</v>
      </c>
      <c r="D37" s="2" t="s">
        <v>377</v>
      </c>
      <c r="E37" s="2"/>
    </row>
    <row r="38" spans="2:5" x14ac:dyDescent="0.25">
      <c r="B38" s="4">
        <v>45402</v>
      </c>
      <c r="C38" s="2" t="s">
        <v>378</v>
      </c>
      <c r="D38" s="2"/>
      <c r="E38" s="2"/>
    </row>
    <row r="39" spans="2:5" x14ac:dyDescent="0.25">
      <c r="B39" s="4">
        <v>45402</v>
      </c>
      <c r="C39" s="2" t="s">
        <v>379</v>
      </c>
      <c r="D39" s="2"/>
      <c r="E39" s="2"/>
    </row>
    <row r="40" spans="2:5" x14ac:dyDescent="0.25">
      <c r="B40" s="4">
        <v>45402</v>
      </c>
      <c r="C40" s="2" t="s">
        <v>367</v>
      </c>
      <c r="D40" s="2"/>
      <c r="E40" s="2"/>
    </row>
    <row r="41" spans="2:5" x14ac:dyDescent="0.25">
      <c r="B41" s="4">
        <v>45403</v>
      </c>
      <c r="C41" s="2" t="s">
        <v>380</v>
      </c>
      <c r="D41" s="2"/>
      <c r="E41" s="2"/>
    </row>
    <row r="42" spans="2:5" x14ac:dyDescent="0.25">
      <c r="B42" s="4">
        <v>45403</v>
      </c>
      <c r="C42" s="2" t="s">
        <v>381</v>
      </c>
      <c r="D42" s="2"/>
      <c r="E42" s="2"/>
    </row>
    <row r="43" spans="2:5" x14ac:dyDescent="0.25">
      <c r="B43" s="4">
        <v>45404</v>
      </c>
      <c r="C43" s="2" t="s">
        <v>382</v>
      </c>
      <c r="D43" s="2" t="s">
        <v>357</v>
      </c>
      <c r="E43" s="2"/>
    </row>
    <row r="44" spans="2:5" x14ac:dyDescent="0.25">
      <c r="B44" s="4">
        <v>45405</v>
      </c>
      <c r="C44" s="2" t="s">
        <v>357</v>
      </c>
      <c r="D44" s="2"/>
      <c r="E44" s="2"/>
    </row>
    <row r="45" spans="2:5" x14ac:dyDescent="0.25">
      <c r="B45" s="4">
        <v>45405</v>
      </c>
      <c r="C45" s="2" t="s">
        <v>41</v>
      </c>
      <c r="D45" s="2"/>
      <c r="E45" s="2"/>
    </row>
    <row r="46" spans="2:5" x14ac:dyDescent="0.25">
      <c r="B46" s="4">
        <v>45405</v>
      </c>
      <c r="C46" s="2" t="s">
        <v>376</v>
      </c>
      <c r="D46" s="2"/>
      <c r="E46" s="2"/>
    </row>
    <row r="47" spans="2:5" x14ac:dyDescent="0.25">
      <c r="B47" s="4">
        <v>45406</v>
      </c>
      <c r="C47" s="2" t="s">
        <v>383</v>
      </c>
      <c r="D47" s="2" t="s">
        <v>384</v>
      </c>
      <c r="E47" s="2"/>
    </row>
    <row r="48" spans="2:5" x14ac:dyDescent="0.25">
      <c r="B48" s="4">
        <v>45407</v>
      </c>
      <c r="C48" s="2" t="s">
        <v>385</v>
      </c>
      <c r="D48" s="2"/>
      <c r="E48" s="2"/>
    </row>
    <row r="49" spans="2:5" x14ac:dyDescent="0.25">
      <c r="B49" s="4">
        <v>45408</v>
      </c>
      <c r="C49" s="2" t="s">
        <v>41</v>
      </c>
      <c r="D49" s="2"/>
      <c r="E49" s="2"/>
    </row>
    <row r="50" spans="2:5" x14ac:dyDescent="0.25">
      <c r="B50" s="4">
        <v>45409</v>
      </c>
      <c r="C50" s="2" t="s">
        <v>386</v>
      </c>
      <c r="D50" s="2"/>
      <c r="E50" s="2"/>
    </row>
    <row r="51" spans="2:5" x14ac:dyDescent="0.25">
      <c r="B51" s="4">
        <v>45410</v>
      </c>
      <c r="C51" s="2" t="s">
        <v>387</v>
      </c>
      <c r="D51" s="2"/>
      <c r="E51" s="2"/>
    </row>
    <row r="52" spans="2:5" x14ac:dyDescent="0.25">
      <c r="B52" s="4">
        <v>45411</v>
      </c>
      <c r="C52" s="2" t="s">
        <v>388</v>
      </c>
      <c r="D52" s="2"/>
      <c r="E52" s="2"/>
    </row>
    <row r="53" spans="2:5" x14ac:dyDescent="0.25">
      <c r="B53" s="4">
        <v>45412</v>
      </c>
      <c r="C53" s="2" t="s">
        <v>389</v>
      </c>
      <c r="D53" s="2"/>
      <c r="E53" s="2"/>
    </row>
    <row r="54" spans="2:5" x14ac:dyDescent="0.25">
      <c r="B54" s="4">
        <v>45413</v>
      </c>
      <c r="C54" s="2" t="s">
        <v>390</v>
      </c>
      <c r="D54" s="2"/>
      <c r="E54" s="2"/>
    </row>
    <row r="55" spans="2:5" x14ac:dyDescent="0.25">
      <c r="B55" s="4">
        <v>45414</v>
      </c>
      <c r="C55" s="2" t="s">
        <v>391</v>
      </c>
      <c r="D55" s="2" t="s">
        <v>392</v>
      </c>
      <c r="E55" s="2"/>
    </row>
    <row r="56" spans="2:5" x14ac:dyDescent="0.25">
      <c r="B56" s="4">
        <v>45415</v>
      </c>
      <c r="C56" s="2" t="s">
        <v>393</v>
      </c>
      <c r="D56" s="2" t="s">
        <v>393</v>
      </c>
      <c r="E56" s="2"/>
    </row>
    <row r="57" spans="2:5" x14ac:dyDescent="0.25">
      <c r="B57" s="4">
        <v>45416</v>
      </c>
      <c r="C57" s="2" t="s">
        <v>394</v>
      </c>
      <c r="D57" s="2"/>
      <c r="E57" s="2"/>
    </row>
    <row r="58" spans="2:5" x14ac:dyDescent="0.25">
      <c r="B58" s="4">
        <v>45416</v>
      </c>
      <c r="C58" s="2" t="s">
        <v>395</v>
      </c>
      <c r="D58" s="2"/>
      <c r="E58" s="2"/>
    </row>
    <row r="59" spans="2:5" x14ac:dyDescent="0.25">
      <c r="B59" s="4">
        <v>45416</v>
      </c>
      <c r="C59" s="2" t="s">
        <v>396</v>
      </c>
      <c r="D59" s="2"/>
      <c r="E59" s="2"/>
    </row>
    <row r="60" spans="2:5" x14ac:dyDescent="0.25">
      <c r="B60" s="4">
        <v>45417</v>
      </c>
      <c r="C60" s="2" t="s">
        <v>397</v>
      </c>
      <c r="D60" s="2"/>
      <c r="E60" s="2"/>
    </row>
    <row r="61" spans="2:5" x14ac:dyDescent="0.25">
      <c r="B61" s="4">
        <v>45417</v>
      </c>
      <c r="C61" s="2" t="s">
        <v>398</v>
      </c>
      <c r="D61" s="2"/>
      <c r="E61" s="2"/>
    </row>
    <row r="62" spans="2:5" x14ac:dyDescent="0.25">
      <c r="B62" s="4">
        <v>45418</v>
      </c>
      <c r="C62" s="2" t="s">
        <v>399</v>
      </c>
      <c r="D62" s="2"/>
      <c r="E62" s="2"/>
    </row>
    <row r="63" spans="2:5" x14ac:dyDescent="0.25">
      <c r="B63" s="4">
        <v>45419</v>
      </c>
      <c r="C63" s="2" t="s">
        <v>400</v>
      </c>
      <c r="D63" s="2" t="s">
        <v>401</v>
      </c>
      <c r="E63" s="2"/>
    </row>
    <row r="64" spans="2:5" x14ac:dyDescent="0.25">
      <c r="B64" s="4">
        <v>45420</v>
      </c>
      <c r="C64" s="2" t="s">
        <v>402</v>
      </c>
      <c r="D64" s="2" t="s">
        <v>403</v>
      </c>
      <c r="E64" s="2"/>
    </row>
    <row r="65" spans="2:5" x14ac:dyDescent="0.25">
      <c r="B65" s="4">
        <v>45421</v>
      </c>
      <c r="C65" s="2" t="s">
        <v>404</v>
      </c>
      <c r="D65" s="2"/>
      <c r="E65" s="2"/>
    </row>
    <row r="66" spans="2:5" x14ac:dyDescent="0.25">
      <c r="B66" s="4">
        <v>45422</v>
      </c>
      <c r="C66" s="2" t="s">
        <v>405</v>
      </c>
      <c r="D66" s="2"/>
      <c r="E66" s="2"/>
    </row>
    <row r="67" spans="2:5" x14ac:dyDescent="0.25">
      <c r="B67" s="4">
        <v>45423</v>
      </c>
      <c r="C67" s="2" t="s">
        <v>406</v>
      </c>
      <c r="D67" s="2"/>
      <c r="E67" s="2"/>
    </row>
    <row r="68" spans="2:5" x14ac:dyDescent="0.25">
      <c r="B68" s="4">
        <v>45424</v>
      </c>
      <c r="C68" s="2" t="s">
        <v>407</v>
      </c>
      <c r="D68" s="2" t="s">
        <v>408</v>
      </c>
      <c r="E68" s="2"/>
    </row>
    <row r="69" spans="2:5" x14ac:dyDescent="0.25">
      <c r="B69" s="4">
        <v>45425</v>
      </c>
      <c r="C69" s="2" t="s">
        <v>409</v>
      </c>
      <c r="D69" s="2" t="s">
        <v>410</v>
      </c>
      <c r="E69" s="2"/>
    </row>
    <row r="70" spans="2:5" x14ac:dyDescent="0.25">
      <c r="B70" s="4">
        <v>45426</v>
      </c>
      <c r="C70" s="2" t="s">
        <v>411</v>
      </c>
      <c r="D70" s="2"/>
      <c r="E70" s="2"/>
    </row>
    <row r="71" spans="2:5" x14ac:dyDescent="0.25">
      <c r="B71" s="4">
        <v>45427</v>
      </c>
      <c r="C71" s="2" t="s">
        <v>412</v>
      </c>
      <c r="D71" s="2"/>
      <c r="E71" s="2"/>
    </row>
    <row r="72" spans="2:5" x14ac:dyDescent="0.25">
      <c r="B72" s="4">
        <v>45428</v>
      </c>
      <c r="C72" s="2" t="s">
        <v>413</v>
      </c>
      <c r="D72" s="2"/>
      <c r="E72" s="2"/>
    </row>
    <row r="73" spans="2:5" x14ac:dyDescent="0.25">
      <c r="B73" s="4">
        <v>45429</v>
      </c>
      <c r="C73" s="2" t="s">
        <v>414</v>
      </c>
      <c r="D73" s="2"/>
      <c r="E73" s="2"/>
    </row>
    <row r="74" spans="2:5" x14ac:dyDescent="0.25">
      <c r="B74" s="4">
        <v>45430</v>
      </c>
      <c r="C74" s="2" t="s">
        <v>415</v>
      </c>
      <c r="D74" s="2"/>
      <c r="E74" s="2"/>
    </row>
    <row r="75" spans="2:5" x14ac:dyDescent="0.25">
      <c r="B75" s="4">
        <v>45431</v>
      </c>
      <c r="C75" s="2" t="s">
        <v>416</v>
      </c>
      <c r="D75" s="2" t="s">
        <v>417</v>
      </c>
      <c r="E75" s="2"/>
    </row>
    <row r="76" spans="2:5" x14ac:dyDescent="0.25">
      <c r="B76" s="4">
        <v>45432</v>
      </c>
      <c r="C76" s="2" t="s">
        <v>418</v>
      </c>
      <c r="D76" s="2"/>
      <c r="E76" s="2"/>
    </row>
    <row r="77" spans="2:5" x14ac:dyDescent="0.25">
      <c r="B77" s="4">
        <v>45433</v>
      </c>
      <c r="C77" s="2" t="s">
        <v>419</v>
      </c>
      <c r="D77" s="2"/>
      <c r="E77" s="2"/>
    </row>
    <row r="78" spans="2:5" x14ac:dyDescent="0.25">
      <c r="B78" s="4">
        <v>45434</v>
      </c>
      <c r="C78" s="2" t="s">
        <v>420</v>
      </c>
      <c r="D78" s="2"/>
      <c r="E78" s="2"/>
    </row>
    <row r="79" spans="2:5" x14ac:dyDescent="0.25">
      <c r="B79" s="4">
        <v>45435</v>
      </c>
      <c r="C79" s="2" t="s">
        <v>421</v>
      </c>
      <c r="D79" s="2" t="s">
        <v>422</v>
      </c>
      <c r="E79" s="2"/>
    </row>
    <row r="80" spans="2:5" x14ac:dyDescent="0.25">
      <c r="B80" s="4">
        <v>45436</v>
      </c>
      <c r="C80" s="2" t="s">
        <v>423</v>
      </c>
      <c r="D80" s="2"/>
      <c r="E80" s="2"/>
    </row>
    <row r="81" spans="2:5" x14ac:dyDescent="0.25">
      <c r="B81" s="4">
        <v>45436</v>
      </c>
      <c r="C81" s="2" t="s">
        <v>424</v>
      </c>
      <c r="D81" s="2"/>
      <c r="E81" s="2"/>
    </row>
    <row r="82" spans="2:5" x14ac:dyDescent="0.25">
      <c r="B82" s="4">
        <v>45437</v>
      </c>
      <c r="C82" s="2" t="s">
        <v>425</v>
      </c>
      <c r="D82" s="2"/>
      <c r="E82" s="2"/>
    </row>
    <row r="83" spans="2:5" x14ac:dyDescent="0.25">
      <c r="B83" s="4">
        <v>45437</v>
      </c>
      <c r="C83" s="2" t="s">
        <v>426</v>
      </c>
      <c r="D83" s="2"/>
      <c r="E83" s="2"/>
    </row>
    <row r="84" spans="2:5" x14ac:dyDescent="0.25">
      <c r="B84" s="4">
        <v>45438</v>
      </c>
      <c r="C84" s="2" t="s">
        <v>427</v>
      </c>
      <c r="D84" s="2"/>
      <c r="E84" s="2"/>
    </row>
    <row r="85" spans="2:5" x14ac:dyDescent="0.25">
      <c r="B85" s="4">
        <v>45438</v>
      </c>
      <c r="C85" s="2" t="s">
        <v>428</v>
      </c>
      <c r="D85" s="2"/>
      <c r="E85" s="2"/>
    </row>
    <row r="86" spans="2:5" x14ac:dyDescent="0.25">
      <c r="B86" s="4">
        <v>45438</v>
      </c>
      <c r="C86" s="2" t="s">
        <v>429</v>
      </c>
      <c r="D86" s="2"/>
      <c r="E86" s="2"/>
    </row>
    <row r="87" spans="2:5" x14ac:dyDescent="0.25">
      <c r="B87" s="4">
        <v>45438</v>
      </c>
      <c r="C87" s="2" t="s">
        <v>430</v>
      </c>
      <c r="D87" s="2"/>
      <c r="E87" s="2"/>
    </row>
    <row r="88" spans="2:5" x14ac:dyDescent="0.25">
      <c r="B88" s="4">
        <v>45439</v>
      </c>
      <c r="C88" s="2" t="s">
        <v>431</v>
      </c>
      <c r="D88" s="2"/>
      <c r="E88" s="2"/>
    </row>
    <row r="89" spans="2:5" x14ac:dyDescent="0.25">
      <c r="B89" s="4">
        <v>45440</v>
      </c>
      <c r="C89" s="2" t="s">
        <v>432</v>
      </c>
      <c r="D89" s="2"/>
      <c r="E89" s="2"/>
    </row>
    <row r="90" spans="2:5" x14ac:dyDescent="0.25">
      <c r="B90" s="4">
        <v>45441</v>
      </c>
      <c r="C90" s="2" t="s">
        <v>433</v>
      </c>
      <c r="D90" s="2"/>
      <c r="E90" s="2"/>
    </row>
    <row r="91" spans="2:5" x14ac:dyDescent="0.25">
      <c r="B91" s="4">
        <v>45441</v>
      </c>
      <c r="C91" s="2" t="s">
        <v>434</v>
      </c>
      <c r="D91" s="2"/>
      <c r="E91" s="2"/>
    </row>
    <row r="92" spans="2:5" x14ac:dyDescent="0.25">
      <c r="B92" s="4">
        <v>45442</v>
      </c>
      <c r="C92" s="2" t="s">
        <v>435</v>
      </c>
      <c r="D92" s="2"/>
      <c r="E92" s="2"/>
    </row>
    <row r="93" spans="2:5" x14ac:dyDescent="0.25">
      <c r="B93" s="4">
        <v>45442</v>
      </c>
      <c r="C93" s="2" t="s">
        <v>436</v>
      </c>
      <c r="D93" s="2"/>
      <c r="E93" s="2"/>
    </row>
    <row r="94" spans="2:5" x14ac:dyDescent="0.25">
      <c r="B94" s="4">
        <v>45442</v>
      </c>
      <c r="C94" s="2" t="s">
        <v>437</v>
      </c>
      <c r="D94" s="2"/>
      <c r="E94" s="2"/>
    </row>
    <row r="95" spans="2:5" x14ac:dyDescent="0.25">
      <c r="B95" s="4">
        <v>45443</v>
      </c>
      <c r="C95" s="2" t="s">
        <v>438</v>
      </c>
      <c r="D95" s="2"/>
      <c r="E95" s="2"/>
    </row>
    <row r="96" spans="2:5" x14ac:dyDescent="0.25">
      <c r="B96" s="2" t="s">
        <v>255</v>
      </c>
      <c r="C96" s="2" t="s">
        <v>439</v>
      </c>
      <c r="D96" s="2"/>
      <c r="E96" s="2"/>
    </row>
    <row r="97" spans="2:5" x14ac:dyDescent="0.25">
      <c r="B97" s="2" t="s">
        <v>258</v>
      </c>
      <c r="C97" s="2" t="s">
        <v>440</v>
      </c>
      <c r="D97" s="2"/>
      <c r="E97" s="2"/>
    </row>
    <row r="98" spans="2:5" x14ac:dyDescent="0.25">
      <c r="B98" s="2" t="s">
        <v>258</v>
      </c>
      <c r="C98" s="2" t="s">
        <v>441</v>
      </c>
      <c r="D98" s="2"/>
      <c r="E98" s="2"/>
    </row>
    <row r="99" spans="2:5" x14ac:dyDescent="0.25">
      <c r="B99" s="2" t="s">
        <v>263</v>
      </c>
      <c r="C99" s="2" t="s">
        <v>442</v>
      </c>
      <c r="D99" s="2"/>
      <c r="E99" s="2"/>
    </row>
    <row r="100" spans="2:5" x14ac:dyDescent="0.25">
      <c r="B100" s="2" t="s">
        <v>263</v>
      </c>
      <c r="C100" s="2" t="s">
        <v>443</v>
      </c>
      <c r="D100" s="2" t="s">
        <v>444</v>
      </c>
      <c r="E100" s="2"/>
    </row>
    <row r="101" spans="2:5" x14ac:dyDescent="0.25">
      <c r="B101" s="2" t="s">
        <v>269</v>
      </c>
      <c r="C101" s="2" t="s">
        <v>445</v>
      </c>
      <c r="D101" s="2"/>
      <c r="E101" s="2"/>
    </row>
    <row r="102" spans="2:5" x14ac:dyDescent="0.25">
      <c r="B102" s="2" t="s">
        <v>275</v>
      </c>
      <c r="C102" s="2" t="s">
        <v>446</v>
      </c>
      <c r="D102" s="2"/>
      <c r="E102" s="2"/>
    </row>
    <row r="103" spans="2:5" x14ac:dyDescent="0.25">
      <c r="B103" s="2" t="s">
        <v>275</v>
      </c>
      <c r="C103" s="2" t="s">
        <v>447</v>
      </c>
      <c r="D103" s="2"/>
      <c r="E103" s="2"/>
    </row>
    <row r="104" spans="2:5" x14ac:dyDescent="0.25">
      <c r="B104" s="2" t="s">
        <v>275</v>
      </c>
      <c r="C104" s="2" t="s">
        <v>448</v>
      </c>
      <c r="D104" s="2"/>
      <c r="E104" s="2"/>
    </row>
    <row r="105" spans="2:5" x14ac:dyDescent="0.25">
      <c r="B105" s="2" t="s">
        <v>275</v>
      </c>
      <c r="C105" s="2" t="s">
        <v>449</v>
      </c>
      <c r="D105" s="2"/>
      <c r="E105" s="2"/>
    </row>
    <row r="106" spans="2:5" x14ac:dyDescent="0.25">
      <c r="B106" s="2" t="s">
        <v>698</v>
      </c>
      <c r="C106" s="2" t="s">
        <v>700</v>
      </c>
      <c r="D106" s="2"/>
      <c r="E106" s="2"/>
    </row>
    <row r="107" spans="2:5" x14ac:dyDescent="0.25">
      <c r="B107" s="2" t="s">
        <v>698</v>
      </c>
      <c r="C107" s="2" t="s">
        <v>701</v>
      </c>
      <c r="D107" s="2"/>
      <c r="E107" s="2"/>
    </row>
    <row r="108" spans="2:5" x14ac:dyDescent="0.25">
      <c r="B108" s="2" t="s">
        <v>710</v>
      </c>
      <c r="C108" s="2" t="s">
        <v>712</v>
      </c>
      <c r="D108" s="2"/>
      <c r="E108" s="2"/>
    </row>
    <row r="109" spans="2:5" x14ac:dyDescent="0.25">
      <c r="B109" s="2" t="s">
        <v>710</v>
      </c>
      <c r="C109" s="2" t="s">
        <v>713</v>
      </c>
      <c r="D109" s="2"/>
      <c r="E109" s="2"/>
    </row>
    <row r="110" spans="2:5" x14ac:dyDescent="0.25">
      <c r="B110" s="2" t="s">
        <v>710</v>
      </c>
      <c r="C110" s="2" t="s">
        <v>714</v>
      </c>
      <c r="D110" s="2" t="s">
        <v>719</v>
      </c>
      <c r="E110" s="2"/>
    </row>
    <row r="111" spans="2:5" x14ac:dyDescent="0.25">
      <c r="B111" s="2" t="s">
        <v>722</v>
      </c>
      <c r="C111" s="2" t="s">
        <v>728</v>
      </c>
      <c r="D111" s="2"/>
      <c r="E111" s="2"/>
    </row>
    <row r="112" spans="2:5" x14ac:dyDescent="0.25">
      <c r="B112" s="2" t="s">
        <v>754</v>
      </c>
      <c r="C112" s="2" t="s">
        <v>756</v>
      </c>
      <c r="D112" s="2"/>
      <c r="E112" s="2"/>
    </row>
    <row r="113" spans="2:5" x14ac:dyDescent="0.25">
      <c r="B113" s="2" t="s">
        <v>763</v>
      </c>
      <c r="C113" s="2" t="s">
        <v>769</v>
      </c>
      <c r="D113" s="2"/>
      <c r="E113" s="2"/>
    </row>
    <row r="114" spans="2:5" x14ac:dyDescent="0.25">
      <c r="B114" s="2" t="s">
        <v>775</v>
      </c>
      <c r="C114" s="2" t="s">
        <v>790</v>
      </c>
      <c r="D114" s="2"/>
      <c r="E114" s="2"/>
    </row>
    <row r="115" spans="2:5" x14ac:dyDescent="0.25">
      <c r="B115" s="2" t="s">
        <v>780</v>
      </c>
      <c r="C115" s="2" t="s">
        <v>791</v>
      </c>
      <c r="D115" s="2"/>
      <c r="E115" s="2"/>
    </row>
    <row r="116" spans="2:5" x14ac:dyDescent="0.25">
      <c r="B116" s="2" t="s">
        <v>792</v>
      </c>
      <c r="C116" s="2" t="s">
        <v>799</v>
      </c>
      <c r="D116" s="2"/>
      <c r="E116" s="2"/>
    </row>
    <row r="117" spans="2:5" x14ac:dyDescent="0.25">
      <c r="B117" s="2" t="s">
        <v>792</v>
      </c>
      <c r="C117" s="2" t="s">
        <v>800</v>
      </c>
      <c r="D117" s="2"/>
      <c r="E117" s="2"/>
    </row>
    <row r="118" spans="2:5" x14ac:dyDescent="0.25">
      <c r="B118" s="2" t="s">
        <v>792</v>
      </c>
      <c r="C118" s="2" t="s">
        <v>798</v>
      </c>
      <c r="D118" s="2"/>
      <c r="E118" s="2"/>
    </row>
    <row r="119" spans="2:5" x14ac:dyDescent="0.25">
      <c r="B119" s="2" t="s">
        <v>793</v>
      </c>
      <c r="C119" s="2" t="s">
        <v>801</v>
      </c>
      <c r="D119" s="2"/>
      <c r="E119" s="23" t="s">
        <v>811</v>
      </c>
    </row>
    <row r="120" spans="2:5" x14ac:dyDescent="0.25">
      <c r="B120" s="2" t="s">
        <v>806</v>
      </c>
      <c r="C120" s="2" t="s">
        <v>808</v>
      </c>
      <c r="D120" s="2"/>
      <c r="E120" s="23" t="s">
        <v>812</v>
      </c>
    </row>
    <row r="121" spans="2:5" x14ac:dyDescent="0.25">
      <c r="B121" s="2" t="s">
        <v>814</v>
      </c>
      <c r="C121" s="2" t="s">
        <v>824</v>
      </c>
      <c r="D121" s="2"/>
      <c r="E121" s="2"/>
    </row>
    <row r="122" spans="2:5" x14ac:dyDescent="0.25">
      <c r="B122" s="2" t="s">
        <v>821</v>
      </c>
      <c r="C122" s="2" t="s">
        <v>423</v>
      </c>
      <c r="D122" s="2"/>
      <c r="E122" s="2" t="s">
        <v>813</v>
      </c>
    </row>
    <row r="123" spans="2:5" x14ac:dyDescent="0.25">
      <c r="B123" s="2" t="s">
        <v>833</v>
      </c>
      <c r="C123" s="2" t="s">
        <v>423</v>
      </c>
      <c r="D123" s="2"/>
      <c r="E123" s="2"/>
    </row>
    <row r="124" spans="2:5" x14ac:dyDescent="0.25">
      <c r="B124" s="2" t="s">
        <v>838</v>
      </c>
      <c r="C124" s="2" t="s">
        <v>845</v>
      </c>
      <c r="D124" s="2"/>
      <c r="E124" s="23" t="s">
        <v>846</v>
      </c>
    </row>
    <row r="125" spans="2:5" x14ac:dyDescent="0.25">
      <c r="B125" s="2" t="s">
        <v>839</v>
      </c>
      <c r="C125" s="2" t="s">
        <v>880</v>
      </c>
      <c r="D125" s="2"/>
      <c r="E125" s="23" t="s">
        <v>881</v>
      </c>
    </row>
    <row r="126" spans="2:5" x14ac:dyDescent="0.25">
      <c r="B126" s="2" t="s">
        <v>871</v>
      </c>
      <c r="C126" s="2" t="s">
        <v>880</v>
      </c>
      <c r="D126" s="2"/>
      <c r="E126" s="23" t="s">
        <v>882</v>
      </c>
    </row>
    <row r="127" spans="2:5" x14ac:dyDescent="0.25">
      <c r="B127" s="2" t="s">
        <v>895</v>
      </c>
      <c r="C127" s="2" t="s">
        <v>898</v>
      </c>
      <c r="D127" s="2" t="s">
        <v>899</v>
      </c>
      <c r="E127" s="23" t="s">
        <v>882</v>
      </c>
    </row>
    <row r="128" spans="2:5" x14ac:dyDescent="0.25">
      <c r="B128" s="2" t="s">
        <v>922</v>
      </c>
      <c r="C128" s="2" t="s">
        <v>947</v>
      </c>
      <c r="D128" s="2"/>
      <c r="E128" s="2"/>
    </row>
    <row r="129" spans="2:5" x14ac:dyDescent="0.25">
      <c r="B129" s="2" t="s">
        <v>943</v>
      </c>
      <c r="C129" s="2" t="s">
        <v>946</v>
      </c>
      <c r="D129" s="2" t="s">
        <v>957</v>
      </c>
      <c r="E129" s="2"/>
    </row>
    <row r="130" spans="2:5" x14ac:dyDescent="0.25">
      <c r="B130" s="2" t="s">
        <v>961</v>
      </c>
      <c r="C130" s="2" t="s">
        <v>1143</v>
      </c>
      <c r="D130" s="2"/>
      <c r="E130" s="2"/>
    </row>
    <row r="131" spans="2:5" x14ac:dyDescent="0.25">
      <c r="B131" s="2" t="s">
        <v>968</v>
      </c>
      <c r="C131" s="2" t="s">
        <v>1143</v>
      </c>
      <c r="D131" s="2" t="s">
        <v>1144</v>
      </c>
      <c r="E131" s="2"/>
    </row>
    <row r="132" spans="2:5" x14ac:dyDescent="0.25">
      <c r="B132" s="2" t="s">
        <v>981</v>
      </c>
      <c r="C132" s="2" t="s">
        <v>1002</v>
      </c>
      <c r="D132" s="2"/>
      <c r="E132" s="2"/>
    </row>
    <row r="133" spans="2:5" x14ac:dyDescent="0.25">
      <c r="B133" s="2" t="s">
        <v>1009</v>
      </c>
      <c r="C133" s="2" t="s">
        <v>1010</v>
      </c>
      <c r="D133" s="2"/>
      <c r="E133" s="25">
        <v>77</v>
      </c>
    </row>
    <row r="134" spans="2:5" x14ac:dyDescent="0.25">
      <c r="B134" s="2" t="s">
        <v>1022</v>
      </c>
      <c r="C134" s="2" t="s">
        <v>1035</v>
      </c>
      <c r="D134" s="2" t="s">
        <v>1034</v>
      </c>
      <c r="E134" s="2"/>
    </row>
    <row r="135" spans="2:5" x14ac:dyDescent="0.25">
      <c r="B135" s="2" t="s">
        <v>1042</v>
      </c>
      <c r="C135" s="2" t="s">
        <v>1043</v>
      </c>
      <c r="D135" s="2"/>
      <c r="E135" s="23"/>
    </row>
    <row r="136" spans="2:5" x14ac:dyDescent="0.25">
      <c r="B136" s="2" t="s">
        <v>1051</v>
      </c>
      <c r="C136" s="2" t="s">
        <v>1054</v>
      </c>
      <c r="D136" s="2"/>
      <c r="E136" s="23"/>
    </row>
    <row r="137" spans="2:5" x14ac:dyDescent="0.25">
      <c r="B137" s="2" t="s">
        <v>1051</v>
      </c>
      <c r="C137" s="2" t="s">
        <v>1055</v>
      </c>
      <c r="D137" s="2"/>
      <c r="E137" s="23"/>
    </row>
    <row r="138" spans="2:5" x14ac:dyDescent="0.25">
      <c r="B138" s="2" t="s">
        <v>1097</v>
      </c>
      <c r="C138" s="2" t="s">
        <v>1098</v>
      </c>
      <c r="D138" s="2"/>
      <c r="E138" s="23"/>
    </row>
    <row r="139" spans="2:5" x14ac:dyDescent="0.25">
      <c r="B139" s="2" t="s">
        <v>1097</v>
      </c>
      <c r="C139" s="2" t="s">
        <v>1099</v>
      </c>
      <c r="D139" s="2"/>
      <c r="E139" s="23"/>
    </row>
    <row r="140" spans="2:5" x14ac:dyDescent="0.25">
      <c r="B140" s="2" t="s">
        <v>1111</v>
      </c>
      <c r="C140" s="2" t="s">
        <v>149</v>
      </c>
      <c r="D140" s="2"/>
      <c r="E140" s="23"/>
    </row>
    <row r="141" spans="2:5" x14ac:dyDescent="0.25">
      <c r="B141" s="2" t="s">
        <v>1111</v>
      </c>
      <c r="C141" s="2" t="s">
        <v>1115</v>
      </c>
      <c r="D141" s="2"/>
      <c r="E141" s="23">
        <v>80.5</v>
      </c>
    </row>
    <row r="142" spans="2:5" x14ac:dyDescent="0.25">
      <c r="B142" s="2" t="s">
        <v>1111</v>
      </c>
      <c r="C142" s="2" t="s">
        <v>1116</v>
      </c>
      <c r="D142" s="2"/>
      <c r="E142" s="23"/>
    </row>
    <row r="143" spans="2:5" x14ac:dyDescent="0.25">
      <c r="B143" s="2" t="s">
        <v>1112</v>
      </c>
      <c r="C143" s="2" t="s">
        <v>1133</v>
      </c>
      <c r="D143" s="2"/>
      <c r="E143" s="23"/>
    </row>
    <row r="144" spans="2:5" x14ac:dyDescent="0.25">
      <c r="B144" s="2" t="s">
        <v>1128</v>
      </c>
      <c r="C144" s="2" t="s">
        <v>1139</v>
      </c>
      <c r="D144" s="2"/>
      <c r="E144" s="23"/>
    </row>
    <row r="145" spans="2:5" x14ac:dyDescent="0.25">
      <c r="B145" s="2" t="s">
        <v>1151</v>
      </c>
      <c r="C145" s="2" t="s">
        <v>1165</v>
      </c>
      <c r="D145" s="2"/>
      <c r="E145" s="23"/>
    </row>
    <row r="146" spans="2:5" x14ac:dyDescent="0.25">
      <c r="B146" s="2" t="s">
        <v>1151</v>
      </c>
      <c r="C146" s="2" t="s">
        <v>1164</v>
      </c>
      <c r="D146" s="2"/>
      <c r="E146" s="23"/>
    </row>
    <row r="147" spans="2:5" x14ac:dyDescent="0.25">
      <c r="B147" s="2" t="s">
        <v>1163</v>
      </c>
      <c r="C147" s="2" t="s">
        <v>1179</v>
      </c>
      <c r="D147" s="2"/>
      <c r="E147" s="23"/>
    </row>
    <row r="148" spans="2:5" x14ac:dyDescent="0.25">
      <c r="B148" s="2" t="s">
        <v>1176</v>
      </c>
      <c r="C148" s="2" t="s">
        <v>1181</v>
      </c>
      <c r="D148" s="2" t="s">
        <v>1182</v>
      </c>
      <c r="E148" s="2"/>
    </row>
    <row r="149" spans="2:5" x14ac:dyDescent="0.25">
      <c r="B149" s="2" t="s">
        <v>1191</v>
      </c>
      <c r="C149" s="2" t="s">
        <v>1195</v>
      </c>
      <c r="D149" s="2"/>
      <c r="E149" s="2"/>
    </row>
    <row r="150" spans="2:5" x14ac:dyDescent="0.25">
      <c r="B150" s="2" t="s">
        <v>1191</v>
      </c>
      <c r="C150" s="2" t="s">
        <v>1196</v>
      </c>
      <c r="D150" s="2"/>
      <c r="E150" s="2"/>
    </row>
    <row r="151" spans="2:5" x14ac:dyDescent="0.25">
      <c r="B151" s="2" t="s">
        <v>1191</v>
      </c>
      <c r="C151" s="2" t="s">
        <v>1197</v>
      </c>
      <c r="D151" s="2"/>
      <c r="E151" s="2"/>
    </row>
    <row r="152" spans="2:5" x14ac:dyDescent="0.25">
      <c r="B152" s="2" t="s">
        <v>1191</v>
      </c>
      <c r="C152" s="2" t="s">
        <v>1198</v>
      </c>
      <c r="D152" s="2"/>
      <c r="E152" s="2"/>
    </row>
    <row r="153" spans="2:5" x14ac:dyDescent="0.25">
      <c r="B153" s="2" t="s">
        <v>1191</v>
      </c>
      <c r="C153" s="2" t="s">
        <v>1199</v>
      </c>
      <c r="D153" s="2"/>
      <c r="E153" s="2"/>
    </row>
    <row r="154" spans="2:5" x14ac:dyDescent="0.25">
      <c r="B154" s="2" t="s">
        <v>1192</v>
      </c>
      <c r="C154" s="2" t="s">
        <v>1213</v>
      </c>
      <c r="D154" s="2"/>
      <c r="E154" s="2"/>
    </row>
    <row r="155" spans="2:5" x14ac:dyDescent="0.25">
      <c r="B155" s="2" t="s">
        <v>1192</v>
      </c>
      <c r="C155" s="2" t="s">
        <v>1214</v>
      </c>
      <c r="D155" s="2"/>
      <c r="E155" s="2"/>
    </row>
    <row r="156" spans="2:5" x14ac:dyDescent="0.25">
      <c r="B156" s="2" t="s">
        <v>1200</v>
      </c>
      <c r="C156" s="2" t="s">
        <v>1222</v>
      </c>
      <c r="D156" s="2"/>
      <c r="E156" s="2"/>
    </row>
    <row r="157" spans="2:5" x14ac:dyDescent="0.25">
      <c r="B157" s="2" t="s">
        <v>1200</v>
      </c>
      <c r="C157" s="2" t="s">
        <v>1223</v>
      </c>
      <c r="D157" s="2"/>
      <c r="E157" s="2"/>
    </row>
    <row r="158" spans="2:5" x14ac:dyDescent="0.25">
      <c r="B158" s="2" t="s">
        <v>1200</v>
      </c>
      <c r="C158" s="2" t="s">
        <v>1224</v>
      </c>
      <c r="D158" s="2"/>
      <c r="E158" s="2"/>
    </row>
    <row r="159" spans="2:5" x14ac:dyDescent="0.25">
      <c r="B159" s="2" t="s">
        <v>1211</v>
      </c>
      <c r="C159" s="2" t="s">
        <v>1226</v>
      </c>
      <c r="D159" s="2"/>
      <c r="E159" s="2"/>
    </row>
    <row r="160" spans="2:5" x14ac:dyDescent="0.25">
      <c r="B160" s="2" t="s">
        <v>1211</v>
      </c>
      <c r="C160" s="2" t="s">
        <v>1225</v>
      </c>
      <c r="D160" s="2"/>
      <c r="E160" s="2"/>
    </row>
    <row r="161" spans="2:5" x14ac:dyDescent="0.25">
      <c r="B161" s="2" t="s">
        <v>1211</v>
      </c>
      <c r="C161" s="2" t="s">
        <v>1228</v>
      </c>
      <c r="D161" s="2"/>
      <c r="E161" s="2"/>
    </row>
    <row r="162" spans="2:5" x14ac:dyDescent="0.25">
      <c r="B162" s="2" t="s">
        <v>1211</v>
      </c>
      <c r="C162" s="2" t="s">
        <v>1227</v>
      </c>
      <c r="D162" s="2"/>
      <c r="E162" s="2"/>
    </row>
    <row r="163" spans="2:5" x14ac:dyDescent="0.25">
      <c r="B163" s="2" t="s">
        <v>1245</v>
      </c>
      <c r="C163" s="2" t="s">
        <v>1247</v>
      </c>
      <c r="D163" s="2"/>
      <c r="E163" s="2"/>
    </row>
    <row r="164" spans="2:5" x14ac:dyDescent="0.25">
      <c r="B164" s="2" t="s">
        <v>1266</v>
      </c>
      <c r="C164" s="2" t="s">
        <v>1268</v>
      </c>
      <c r="D164" s="2"/>
      <c r="E164" s="2"/>
    </row>
    <row r="165" spans="2:5" x14ac:dyDescent="0.25">
      <c r="B165" s="2" t="s">
        <v>1279</v>
      </c>
      <c r="C165" s="2" t="s">
        <v>1268</v>
      </c>
      <c r="D165" s="2"/>
      <c r="E165" s="2"/>
    </row>
    <row r="166" spans="2:5" x14ac:dyDescent="0.25">
      <c r="B166" s="2" t="s">
        <v>1280</v>
      </c>
      <c r="C166" s="2" t="s">
        <v>1284</v>
      </c>
      <c r="D166" s="2"/>
      <c r="E166" s="2"/>
    </row>
    <row r="167" spans="2:5" x14ac:dyDescent="0.25">
      <c r="B167" s="2" t="s">
        <v>1294</v>
      </c>
      <c r="C167" s="2" t="s">
        <v>1296</v>
      </c>
      <c r="D167" s="2"/>
      <c r="E167" s="2"/>
    </row>
    <row r="168" spans="2:5" x14ac:dyDescent="0.25">
      <c r="B168" s="2" t="s">
        <v>1306</v>
      </c>
      <c r="C168" s="2" t="s">
        <v>1308</v>
      </c>
      <c r="D168" s="2" t="s">
        <v>1309</v>
      </c>
      <c r="E168" s="2"/>
    </row>
    <row r="169" spans="2:5" x14ac:dyDescent="0.25">
      <c r="B169" s="2" t="s">
        <v>1319</v>
      </c>
      <c r="C169" s="2" t="s">
        <v>1166</v>
      </c>
      <c r="D169" s="2"/>
      <c r="E169" s="2"/>
    </row>
    <row r="170" spans="2:5" x14ac:dyDescent="0.25">
      <c r="B170" s="2" t="s">
        <v>1327</v>
      </c>
      <c r="C170" s="2" t="s">
        <v>1166</v>
      </c>
      <c r="D170" s="2"/>
      <c r="E170" s="2"/>
    </row>
    <row r="171" spans="2:5" x14ac:dyDescent="0.25">
      <c r="B171" s="2" t="s">
        <v>1339</v>
      </c>
      <c r="C171" s="2" t="s">
        <v>1341</v>
      </c>
      <c r="D171" s="2" t="s">
        <v>1351</v>
      </c>
      <c r="E171" s="2"/>
    </row>
    <row r="172" spans="2:5" x14ac:dyDescent="0.25">
      <c r="B172" s="2"/>
      <c r="C172" s="2"/>
      <c r="D172" s="2"/>
      <c r="E172" s="2"/>
    </row>
    <row r="173" spans="2:5" x14ac:dyDescent="0.25">
      <c r="B173" s="2"/>
      <c r="C173" s="2"/>
      <c r="D173" s="2"/>
      <c r="E173" s="2"/>
    </row>
    <row r="174" spans="2:5" x14ac:dyDescent="0.25">
      <c r="B174" s="2"/>
      <c r="C174" s="2"/>
      <c r="D174" s="2"/>
      <c r="E174" s="2"/>
    </row>
    <row r="175" spans="2:5" x14ac:dyDescent="0.25">
      <c r="B175" s="2"/>
      <c r="C175" s="2"/>
      <c r="D175" s="2"/>
      <c r="E175" s="2"/>
    </row>
    <row r="176" spans="2:5" x14ac:dyDescent="0.25">
      <c r="B176" s="2"/>
      <c r="C176" s="2"/>
      <c r="D176" s="2"/>
      <c r="E176" s="2"/>
    </row>
    <row r="177" spans="2:5" x14ac:dyDescent="0.25">
      <c r="B177" s="2"/>
      <c r="C177" s="2"/>
      <c r="D177" s="2"/>
      <c r="E177" s="2"/>
    </row>
    <row r="178" spans="2:5" x14ac:dyDescent="0.25">
      <c r="B178" s="2"/>
      <c r="C178" s="2"/>
      <c r="D178" s="2"/>
      <c r="E178" s="2"/>
    </row>
    <row r="179" spans="2:5" x14ac:dyDescent="0.25">
      <c r="B179" s="2"/>
      <c r="C179" s="2"/>
      <c r="D179" s="2"/>
      <c r="E179" s="2"/>
    </row>
    <row r="180" spans="2:5" x14ac:dyDescent="0.25">
      <c r="B180" s="2"/>
      <c r="C180" s="2"/>
      <c r="D180" s="2"/>
      <c r="E180" s="2"/>
    </row>
    <row r="181" spans="2:5" x14ac:dyDescent="0.25">
      <c r="B181" s="2"/>
      <c r="C181" s="2"/>
      <c r="D181" s="2"/>
      <c r="E181" s="2"/>
    </row>
    <row r="182" spans="2:5" x14ac:dyDescent="0.25">
      <c r="B182" s="2"/>
      <c r="C182" s="2"/>
      <c r="D182" s="2"/>
      <c r="E182" s="2"/>
    </row>
    <row r="183" spans="2:5" x14ac:dyDescent="0.25">
      <c r="B183" s="2"/>
      <c r="C183" s="2"/>
      <c r="D183" s="2"/>
      <c r="E183" s="2"/>
    </row>
    <row r="184" spans="2:5" x14ac:dyDescent="0.25">
      <c r="B184" s="2"/>
      <c r="C184" s="2"/>
      <c r="D184" s="2"/>
      <c r="E184" s="2"/>
    </row>
  </sheetData>
  <phoneticPr fontId="6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6">
    <tabColor rgb="FF92D050"/>
  </sheetPr>
  <dimension ref="B1:F121"/>
  <sheetViews>
    <sheetView topLeftCell="A110" workbookViewId="0">
      <selection activeCell="D124" sqref="D124"/>
    </sheetView>
  </sheetViews>
  <sheetFormatPr defaultRowHeight="15" x14ac:dyDescent="0.25"/>
  <cols>
    <col min="2" max="2" width="15.28515625" style="13" customWidth="1"/>
    <col min="3" max="3" width="72" bestFit="1" customWidth="1"/>
    <col min="4" max="4" width="26.5703125" customWidth="1"/>
    <col min="5" max="6" width="7.28515625" customWidth="1"/>
  </cols>
  <sheetData>
    <row r="1" spans="2:6" ht="30.75" customHeight="1" x14ac:dyDescent="0.25">
      <c r="B1" s="10" t="s">
        <v>0</v>
      </c>
      <c r="C1" s="11" t="s">
        <v>1</v>
      </c>
      <c r="D1" s="11" t="s">
        <v>2</v>
      </c>
      <c r="E1" s="11" t="s">
        <v>826</v>
      </c>
      <c r="F1" s="11"/>
    </row>
    <row r="2" spans="2:6" x14ac:dyDescent="0.25">
      <c r="B2" s="12" t="s">
        <v>106</v>
      </c>
      <c r="C2" s="2" t="s">
        <v>450</v>
      </c>
      <c r="D2" s="2" t="s">
        <v>357</v>
      </c>
      <c r="E2" s="2"/>
      <c r="F2" s="2"/>
    </row>
    <row r="3" spans="2:6" x14ac:dyDescent="0.25">
      <c r="B3" s="4">
        <v>45383</v>
      </c>
      <c r="C3" s="2" t="s">
        <v>451</v>
      </c>
      <c r="D3" s="2"/>
      <c r="E3" s="2"/>
      <c r="F3" s="2"/>
    </row>
    <row r="4" spans="2:6" x14ac:dyDescent="0.25">
      <c r="B4" s="4">
        <v>45384</v>
      </c>
      <c r="C4" s="2" t="s">
        <v>452</v>
      </c>
      <c r="D4" s="2" t="s">
        <v>357</v>
      </c>
      <c r="E4" s="2"/>
      <c r="F4" s="2"/>
    </row>
    <row r="5" spans="2:6" x14ac:dyDescent="0.25">
      <c r="B5" s="4">
        <v>45385</v>
      </c>
      <c r="C5" s="2" t="s">
        <v>453</v>
      </c>
      <c r="D5" s="2" t="s">
        <v>357</v>
      </c>
      <c r="E5" s="2"/>
      <c r="F5" s="2"/>
    </row>
    <row r="6" spans="2:6" x14ac:dyDescent="0.25">
      <c r="B6" s="4">
        <v>45386</v>
      </c>
      <c r="C6" s="2" t="s">
        <v>454</v>
      </c>
      <c r="D6" s="2" t="s">
        <v>357</v>
      </c>
      <c r="E6" s="2"/>
      <c r="F6" s="2"/>
    </row>
    <row r="7" spans="2:6" x14ac:dyDescent="0.25">
      <c r="B7" s="4">
        <v>45387</v>
      </c>
      <c r="C7" s="2" t="s">
        <v>455</v>
      </c>
      <c r="D7" s="2" t="s">
        <v>456</v>
      </c>
      <c r="E7" s="2"/>
      <c r="F7" s="2"/>
    </row>
    <row r="8" spans="2:6" x14ac:dyDescent="0.25">
      <c r="B8" s="4">
        <v>45387</v>
      </c>
      <c r="C8" s="2" t="s">
        <v>457</v>
      </c>
      <c r="D8" s="2" t="s">
        <v>458</v>
      </c>
      <c r="E8" s="2"/>
      <c r="F8" s="2"/>
    </row>
    <row r="9" spans="2:6" x14ac:dyDescent="0.25">
      <c r="B9" s="4">
        <v>45388</v>
      </c>
      <c r="C9" s="2" t="s">
        <v>131</v>
      </c>
      <c r="D9" s="2"/>
      <c r="E9" s="2"/>
      <c r="F9" s="2"/>
    </row>
    <row r="10" spans="2:6" x14ac:dyDescent="0.25">
      <c r="B10" s="4">
        <v>45389</v>
      </c>
      <c r="C10" s="2" t="s">
        <v>131</v>
      </c>
      <c r="D10" s="2"/>
      <c r="E10" s="2"/>
      <c r="F10" s="2"/>
    </row>
    <row r="11" spans="2:6" x14ac:dyDescent="0.25">
      <c r="B11" s="4">
        <v>45390</v>
      </c>
      <c r="C11" s="2" t="s">
        <v>131</v>
      </c>
      <c r="D11" s="2"/>
      <c r="E11" s="2"/>
      <c r="F11" s="2"/>
    </row>
    <row r="12" spans="2:6" x14ac:dyDescent="0.25">
      <c r="B12" s="4">
        <v>45391</v>
      </c>
      <c r="C12" s="2" t="s">
        <v>131</v>
      </c>
      <c r="D12" s="2"/>
      <c r="E12" s="2"/>
      <c r="F12" s="2"/>
    </row>
    <row r="13" spans="2:6" x14ac:dyDescent="0.25">
      <c r="B13" s="4">
        <v>45392</v>
      </c>
      <c r="C13" s="2" t="s">
        <v>131</v>
      </c>
      <c r="D13" s="2"/>
      <c r="E13" s="2"/>
      <c r="F13" s="2"/>
    </row>
    <row r="14" spans="2:6" x14ac:dyDescent="0.25">
      <c r="B14" s="4">
        <v>45393</v>
      </c>
      <c r="C14" s="2" t="s">
        <v>131</v>
      </c>
      <c r="D14" s="2"/>
      <c r="E14" s="2"/>
      <c r="F14" s="2"/>
    </row>
    <row r="15" spans="2:6" x14ac:dyDescent="0.25">
      <c r="B15" s="4">
        <v>45394</v>
      </c>
      <c r="C15" s="2" t="s">
        <v>131</v>
      </c>
      <c r="D15" s="2"/>
      <c r="E15" s="2"/>
      <c r="F15" s="2"/>
    </row>
    <row r="16" spans="2:6" x14ac:dyDescent="0.25">
      <c r="B16" s="4">
        <v>45395</v>
      </c>
      <c r="C16" s="2" t="s">
        <v>131</v>
      </c>
      <c r="D16" s="2"/>
      <c r="E16" s="2"/>
      <c r="F16" s="2"/>
    </row>
    <row r="17" spans="2:6" x14ac:dyDescent="0.25">
      <c r="B17" s="4">
        <v>45396</v>
      </c>
      <c r="C17" s="2" t="s">
        <v>131</v>
      </c>
      <c r="D17" s="2"/>
      <c r="E17" s="2"/>
      <c r="F17" s="2"/>
    </row>
    <row r="18" spans="2:6" x14ac:dyDescent="0.25">
      <c r="B18" s="4">
        <v>45397</v>
      </c>
      <c r="C18" s="2" t="s">
        <v>131</v>
      </c>
      <c r="D18" s="2"/>
      <c r="E18" s="2"/>
      <c r="F18" s="2"/>
    </row>
    <row r="19" spans="2:6" x14ac:dyDescent="0.25">
      <c r="B19" s="4">
        <v>45398</v>
      </c>
      <c r="C19" s="2" t="s">
        <v>459</v>
      </c>
      <c r="D19" s="2"/>
      <c r="E19" s="2"/>
      <c r="F19" s="2"/>
    </row>
    <row r="20" spans="2:6" x14ac:dyDescent="0.25">
      <c r="B20" s="4">
        <v>45399</v>
      </c>
      <c r="C20" s="2" t="s">
        <v>460</v>
      </c>
      <c r="D20" s="2"/>
      <c r="E20" s="2"/>
      <c r="F20" s="2"/>
    </row>
    <row r="21" spans="2:6" x14ac:dyDescent="0.25">
      <c r="B21" s="4">
        <v>45400</v>
      </c>
      <c r="C21" s="2" t="s">
        <v>461</v>
      </c>
      <c r="D21" s="2"/>
      <c r="E21" s="2"/>
      <c r="F21" s="2"/>
    </row>
    <row r="22" spans="2:6" x14ac:dyDescent="0.25">
      <c r="B22" s="4">
        <v>45401</v>
      </c>
      <c r="C22" s="2" t="s">
        <v>462</v>
      </c>
      <c r="D22" s="2" t="s">
        <v>463</v>
      </c>
      <c r="E22" s="2"/>
      <c r="F22" s="2"/>
    </row>
    <row r="23" spans="2:6" x14ac:dyDescent="0.25">
      <c r="B23" s="4">
        <v>45402</v>
      </c>
      <c r="C23" s="2" t="s">
        <v>464</v>
      </c>
      <c r="D23" s="2"/>
      <c r="E23" s="2"/>
      <c r="F23" s="2"/>
    </row>
    <row r="24" spans="2:6" x14ac:dyDescent="0.25">
      <c r="B24" s="4">
        <v>45402</v>
      </c>
      <c r="C24" s="2" t="s">
        <v>465</v>
      </c>
      <c r="D24" s="2"/>
      <c r="E24" s="2"/>
      <c r="F24" s="2"/>
    </row>
    <row r="25" spans="2:6" x14ac:dyDescent="0.25">
      <c r="B25" s="4">
        <v>45403</v>
      </c>
      <c r="C25" s="2" t="s">
        <v>466</v>
      </c>
      <c r="D25" s="2"/>
      <c r="E25" s="2"/>
      <c r="F25" s="2"/>
    </row>
    <row r="26" spans="2:6" x14ac:dyDescent="0.25">
      <c r="B26" s="4">
        <v>45403</v>
      </c>
      <c r="C26" s="2" t="s">
        <v>467</v>
      </c>
      <c r="D26" s="2"/>
      <c r="E26" s="2"/>
      <c r="F26" s="2"/>
    </row>
    <row r="27" spans="2:6" x14ac:dyDescent="0.25">
      <c r="B27" s="4">
        <v>45403</v>
      </c>
      <c r="C27" s="2" t="s">
        <v>468</v>
      </c>
      <c r="D27" s="2"/>
      <c r="E27" s="2"/>
      <c r="F27" s="2"/>
    </row>
    <row r="28" spans="2:6" x14ac:dyDescent="0.25">
      <c r="B28" s="4">
        <v>45404</v>
      </c>
      <c r="C28" s="2" t="s">
        <v>469</v>
      </c>
      <c r="D28" s="2" t="s">
        <v>357</v>
      </c>
      <c r="E28" s="2"/>
      <c r="F28" s="2"/>
    </row>
    <row r="29" spans="2:6" x14ac:dyDescent="0.25">
      <c r="B29" s="4">
        <v>45405</v>
      </c>
      <c r="C29" s="2" t="s">
        <v>470</v>
      </c>
      <c r="D29" s="2" t="s">
        <v>357</v>
      </c>
      <c r="E29" s="2"/>
      <c r="F29" s="2"/>
    </row>
    <row r="30" spans="2:6" x14ac:dyDescent="0.25">
      <c r="B30" s="4">
        <v>45406</v>
      </c>
      <c r="C30" s="2" t="s">
        <v>471</v>
      </c>
      <c r="D30" s="2" t="s">
        <v>472</v>
      </c>
      <c r="E30" s="2"/>
      <c r="F30" s="2"/>
    </row>
    <row r="31" spans="2:6" x14ac:dyDescent="0.25">
      <c r="B31" s="4">
        <v>45407</v>
      </c>
      <c r="C31" s="2" t="s">
        <v>473</v>
      </c>
      <c r="D31" s="2"/>
      <c r="E31" s="2"/>
      <c r="F31" s="2"/>
    </row>
    <row r="32" spans="2:6" x14ac:dyDescent="0.25">
      <c r="B32" s="4">
        <v>45408</v>
      </c>
      <c r="C32" s="2" t="s">
        <v>474</v>
      </c>
      <c r="D32" s="2"/>
      <c r="E32" s="2"/>
      <c r="F32" s="2"/>
    </row>
    <row r="33" spans="2:6" x14ac:dyDescent="0.25">
      <c r="B33" s="4">
        <v>45409</v>
      </c>
      <c r="C33" s="2" t="s">
        <v>475</v>
      </c>
      <c r="D33" s="2"/>
      <c r="E33" s="2"/>
      <c r="F33" s="2"/>
    </row>
    <row r="34" spans="2:6" x14ac:dyDescent="0.25">
      <c r="B34" s="4">
        <v>45410</v>
      </c>
      <c r="C34" s="2" t="s">
        <v>476</v>
      </c>
      <c r="D34" s="2"/>
      <c r="E34" s="2"/>
      <c r="F34" s="2"/>
    </row>
    <row r="35" spans="2:6" x14ac:dyDescent="0.25">
      <c r="B35" s="4">
        <v>45411</v>
      </c>
      <c r="C35" s="2" t="s">
        <v>477</v>
      </c>
      <c r="D35" s="2"/>
      <c r="E35" s="2"/>
      <c r="F35" s="2"/>
    </row>
    <row r="36" spans="2:6" x14ac:dyDescent="0.25">
      <c r="B36" s="4">
        <v>45412</v>
      </c>
      <c r="C36" s="2" t="s">
        <v>477</v>
      </c>
      <c r="D36" s="2"/>
      <c r="E36" s="2"/>
      <c r="F36" s="2"/>
    </row>
    <row r="37" spans="2:6" x14ac:dyDescent="0.25">
      <c r="B37" s="4">
        <v>45413</v>
      </c>
      <c r="C37" s="2" t="s">
        <v>478</v>
      </c>
      <c r="D37" s="2"/>
      <c r="E37" s="2"/>
      <c r="F37" s="2"/>
    </row>
    <row r="38" spans="2:6" x14ac:dyDescent="0.25">
      <c r="B38" s="4">
        <v>45414</v>
      </c>
      <c r="C38" s="2"/>
      <c r="D38" s="2"/>
      <c r="E38" s="2"/>
      <c r="F38" s="2"/>
    </row>
    <row r="39" spans="2:6" x14ac:dyDescent="0.25">
      <c r="B39" s="4">
        <v>45415</v>
      </c>
      <c r="C39" s="2"/>
      <c r="D39" s="2"/>
      <c r="E39" s="2"/>
      <c r="F39" s="2"/>
    </row>
    <row r="40" spans="2:6" x14ac:dyDescent="0.25">
      <c r="B40" s="4">
        <v>45416</v>
      </c>
      <c r="C40" s="2" t="s">
        <v>479</v>
      </c>
      <c r="D40" s="2"/>
      <c r="E40" s="2"/>
      <c r="F40" s="2"/>
    </row>
    <row r="41" spans="2:6" x14ac:dyDescent="0.25">
      <c r="B41" s="4">
        <v>45417</v>
      </c>
      <c r="C41" s="2" t="s">
        <v>480</v>
      </c>
      <c r="D41" s="2"/>
      <c r="E41" s="2"/>
      <c r="F41" s="2"/>
    </row>
    <row r="42" spans="2:6" x14ac:dyDescent="0.25">
      <c r="B42" s="4">
        <v>45418</v>
      </c>
      <c r="C42" s="2" t="s">
        <v>481</v>
      </c>
      <c r="D42" s="2"/>
      <c r="E42" s="2"/>
      <c r="F42" s="2"/>
    </row>
    <row r="43" spans="2:6" x14ac:dyDescent="0.25">
      <c r="B43" s="4">
        <v>45419</v>
      </c>
      <c r="C43" s="2" t="s">
        <v>482</v>
      </c>
      <c r="D43" s="2" t="s">
        <v>483</v>
      </c>
      <c r="E43" s="2"/>
      <c r="F43" s="2"/>
    </row>
    <row r="44" spans="2:6" x14ac:dyDescent="0.25">
      <c r="B44" s="4">
        <v>45420</v>
      </c>
      <c r="C44" s="2" t="s">
        <v>484</v>
      </c>
      <c r="D44" s="2"/>
      <c r="E44" s="2"/>
      <c r="F44" s="2"/>
    </row>
    <row r="45" spans="2:6" x14ac:dyDescent="0.25">
      <c r="B45" s="4">
        <v>45421</v>
      </c>
      <c r="C45" s="2" t="s">
        <v>485</v>
      </c>
      <c r="D45" s="2"/>
      <c r="E45" s="2"/>
      <c r="F45" s="2"/>
    </row>
    <row r="46" spans="2:6" x14ac:dyDescent="0.25">
      <c r="B46" s="4">
        <v>45422</v>
      </c>
      <c r="C46" s="2" t="s">
        <v>486</v>
      </c>
      <c r="D46" s="2"/>
      <c r="E46" s="2"/>
      <c r="F46" s="2"/>
    </row>
    <row r="47" spans="2:6" x14ac:dyDescent="0.25">
      <c r="B47" s="4">
        <v>45423</v>
      </c>
      <c r="C47" s="2" t="s">
        <v>487</v>
      </c>
      <c r="D47" s="2"/>
      <c r="E47" s="2"/>
      <c r="F47" s="2"/>
    </row>
    <row r="48" spans="2:6" x14ac:dyDescent="0.25">
      <c r="B48" s="4">
        <v>45424</v>
      </c>
      <c r="C48" s="2" t="s">
        <v>488</v>
      </c>
      <c r="D48" s="2"/>
      <c r="E48" s="2"/>
      <c r="F48" s="2"/>
    </row>
    <row r="49" spans="2:6" x14ac:dyDescent="0.25">
      <c r="B49" s="4">
        <v>45425</v>
      </c>
      <c r="C49" s="2" t="s">
        <v>489</v>
      </c>
      <c r="D49" s="2" t="s">
        <v>490</v>
      </c>
      <c r="E49" s="2"/>
      <c r="F49" s="2"/>
    </row>
    <row r="50" spans="2:6" x14ac:dyDescent="0.25">
      <c r="B50" s="4">
        <v>45426</v>
      </c>
      <c r="C50" s="2" t="s">
        <v>491</v>
      </c>
      <c r="D50" s="2"/>
      <c r="E50" s="2"/>
      <c r="F50" s="2"/>
    </row>
    <row r="51" spans="2:6" x14ac:dyDescent="0.25">
      <c r="B51" s="4">
        <v>45427</v>
      </c>
      <c r="C51" s="2" t="s">
        <v>492</v>
      </c>
      <c r="D51" s="2"/>
      <c r="E51" s="2"/>
      <c r="F51" s="2"/>
    </row>
    <row r="52" spans="2:6" x14ac:dyDescent="0.25">
      <c r="B52" s="4">
        <v>45428</v>
      </c>
      <c r="C52" s="2" t="s">
        <v>493</v>
      </c>
      <c r="D52" s="2" t="s">
        <v>494</v>
      </c>
      <c r="E52" s="2"/>
      <c r="F52" s="2"/>
    </row>
    <row r="53" spans="2:6" x14ac:dyDescent="0.25">
      <c r="B53" s="4">
        <v>45429</v>
      </c>
      <c r="C53" s="2" t="s">
        <v>495</v>
      </c>
      <c r="D53" s="2"/>
      <c r="E53" s="2"/>
      <c r="F53" s="2"/>
    </row>
    <row r="54" spans="2:6" x14ac:dyDescent="0.25">
      <c r="B54" s="4">
        <v>45430</v>
      </c>
      <c r="C54" s="2" t="s">
        <v>496</v>
      </c>
      <c r="D54" s="2"/>
      <c r="E54" s="2"/>
      <c r="F54" s="2"/>
    </row>
    <row r="55" spans="2:6" x14ac:dyDescent="0.25">
      <c r="B55" s="4">
        <v>45431</v>
      </c>
      <c r="C55" s="2" t="s">
        <v>497</v>
      </c>
      <c r="D55" s="2"/>
      <c r="E55" s="2"/>
      <c r="F55" s="2"/>
    </row>
    <row r="56" spans="2:6" x14ac:dyDescent="0.25">
      <c r="B56" s="4">
        <v>45432</v>
      </c>
      <c r="C56" s="2" t="s">
        <v>498</v>
      </c>
      <c r="D56" s="2"/>
      <c r="E56" s="2"/>
      <c r="F56" s="2"/>
    </row>
    <row r="57" spans="2:6" x14ac:dyDescent="0.25">
      <c r="B57" s="4">
        <v>45433</v>
      </c>
      <c r="C57" s="2" t="s">
        <v>499</v>
      </c>
      <c r="D57" s="2"/>
      <c r="E57" s="2"/>
      <c r="F57" s="2"/>
    </row>
    <row r="58" spans="2:6" x14ac:dyDescent="0.25">
      <c r="B58" s="4">
        <v>45434</v>
      </c>
      <c r="C58" s="2" t="s">
        <v>500</v>
      </c>
      <c r="D58" s="2"/>
      <c r="E58" s="2"/>
      <c r="F58" s="2"/>
    </row>
    <row r="59" spans="2:6" x14ac:dyDescent="0.25">
      <c r="B59" s="4">
        <v>45435</v>
      </c>
      <c r="C59" s="2" t="s">
        <v>501</v>
      </c>
      <c r="D59" s="2"/>
      <c r="E59" s="2"/>
      <c r="F59" s="2"/>
    </row>
    <row r="60" spans="2:6" x14ac:dyDescent="0.25">
      <c r="B60" s="4">
        <v>45436</v>
      </c>
      <c r="C60" s="2" t="s">
        <v>502</v>
      </c>
      <c r="D60" s="2" t="s">
        <v>503</v>
      </c>
      <c r="E60" s="2"/>
      <c r="F60" s="2"/>
    </row>
    <row r="61" spans="2:6" x14ac:dyDescent="0.25">
      <c r="B61" s="4">
        <v>45437</v>
      </c>
      <c r="C61" s="2" t="s">
        <v>491</v>
      </c>
      <c r="D61" s="2"/>
      <c r="E61" s="2"/>
      <c r="F61" s="2"/>
    </row>
    <row r="62" spans="2:6" x14ac:dyDescent="0.25">
      <c r="B62" s="4">
        <v>45438</v>
      </c>
      <c r="C62" s="2" t="s">
        <v>504</v>
      </c>
      <c r="D62" s="2"/>
      <c r="E62" s="2"/>
      <c r="F62" s="2"/>
    </row>
    <row r="63" spans="2:6" x14ac:dyDescent="0.25">
      <c r="B63" s="4">
        <v>45439</v>
      </c>
      <c r="C63" s="2" t="s">
        <v>505</v>
      </c>
      <c r="D63" s="2"/>
      <c r="E63" s="2"/>
      <c r="F63" s="2"/>
    </row>
    <row r="64" spans="2:6" x14ac:dyDescent="0.25">
      <c r="B64" s="4">
        <v>45440</v>
      </c>
      <c r="C64" s="2" t="s">
        <v>506</v>
      </c>
      <c r="D64" s="2"/>
      <c r="E64" s="2"/>
      <c r="F64" s="2"/>
    </row>
    <row r="65" spans="2:6" x14ac:dyDescent="0.25">
      <c r="B65" s="4">
        <v>45441</v>
      </c>
      <c r="C65" s="2" t="s">
        <v>507</v>
      </c>
      <c r="D65" s="2"/>
      <c r="E65" s="2"/>
      <c r="F65" s="2"/>
    </row>
    <row r="66" spans="2:6" x14ac:dyDescent="0.25">
      <c r="B66" s="4">
        <v>45442</v>
      </c>
      <c r="C66" s="2" t="s">
        <v>508</v>
      </c>
      <c r="D66" s="2"/>
      <c r="E66" s="2"/>
      <c r="F66" s="2"/>
    </row>
    <row r="67" spans="2:6" x14ac:dyDescent="0.25">
      <c r="B67" s="4">
        <v>45443</v>
      </c>
      <c r="C67" s="2" t="s">
        <v>509</v>
      </c>
      <c r="D67" s="2"/>
      <c r="E67" s="2"/>
      <c r="F67" s="2"/>
    </row>
    <row r="68" spans="2:6" x14ac:dyDescent="0.25">
      <c r="B68" s="12" t="s">
        <v>255</v>
      </c>
      <c r="C68" s="2" t="s">
        <v>510</v>
      </c>
      <c r="D68" s="2"/>
      <c r="E68" s="2"/>
      <c r="F68" s="2"/>
    </row>
    <row r="69" spans="2:6" x14ac:dyDescent="0.25">
      <c r="B69" s="12" t="s">
        <v>258</v>
      </c>
      <c r="C69" s="2" t="s">
        <v>511</v>
      </c>
      <c r="D69" s="2"/>
      <c r="E69" s="2"/>
      <c r="F69" s="2"/>
    </row>
    <row r="70" spans="2:6" x14ac:dyDescent="0.25">
      <c r="B70" s="12" t="s">
        <v>263</v>
      </c>
      <c r="C70" s="2" t="s">
        <v>512</v>
      </c>
      <c r="D70" s="2"/>
      <c r="E70" s="2"/>
      <c r="F70" s="2"/>
    </row>
    <row r="71" spans="2:6" x14ac:dyDescent="0.25">
      <c r="B71" s="12" t="s">
        <v>269</v>
      </c>
      <c r="C71" s="2" t="s">
        <v>513</v>
      </c>
      <c r="D71" s="2" t="s">
        <v>514</v>
      </c>
      <c r="E71" s="2"/>
      <c r="F71" s="2"/>
    </row>
    <row r="72" spans="2:6" x14ac:dyDescent="0.25">
      <c r="B72" s="12" t="s">
        <v>275</v>
      </c>
      <c r="C72" s="2" t="s">
        <v>515</v>
      </c>
      <c r="D72" s="2"/>
      <c r="E72" s="2"/>
      <c r="F72" s="2"/>
    </row>
    <row r="73" spans="2:6" x14ac:dyDescent="0.25">
      <c r="B73" s="12" t="s">
        <v>698</v>
      </c>
      <c r="C73" s="2" t="s">
        <v>697</v>
      </c>
      <c r="D73" s="2"/>
      <c r="E73" s="2"/>
      <c r="F73" s="2"/>
    </row>
    <row r="74" spans="2:6" x14ac:dyDescent="0.25">
      <c r="B74" s="12" t="s">
        <v>710</v>
      </c>
      <c r="C74" s="2" t="s">
        <v>709</v>
      </c>
      <c r="D74" s="2" t="s">
        <v>720</v>
      </c>
      <c r="E74" s="2"/>
      <c r="F74" s="2"/>
    </row>
    <row r="75" spans="2:6" x14ac:dyDescent="0.25">
      <c r="B75" s="12" t="s">
        <v>722</v>
      </c>
      <c r="C75" s="2" t="s">
        <v>737</v>
      </c>
      <c r="D75" s="2"/>
      <c r="E75" s="2"/>
      <c r="F75" s="2"/>
    </row>
    <row r="76" spans="2:6" x14ac:dyDescent="0.25">
      <c r="B76" s="12" t="s">
        <v>723</v>
      </c>
      <c r="C76" s="2" t="s">
        <v>480</v>
      </c>
      <c r="D76" s="2"/>
      <c r="E76" s="2"/>
      <c r="F76" s="2"/>
    </row>
    <row r="77" spans="2:6" x14ac:dyDescent="0.25">
      <c r="B77" s="12" t="s">
        <v>745</v>
      </c>
      <c r="C77" s="2" t="s">
        <v>746</v>
      </c>
      <c r="D77" s="2"/>
      <c r="E77" s="2"/>
      <c r="F77" s="2"/>
    </row>
    <row r="78" spans="2:6" x14ac:dyDescent="0.25">
      <c r="B78" s="12" t="s">
        <v>754</v>
      </c>
      <c r="C78" s="2" t="s">
        <v>753</v>
      </c>
      <c r="D78" s="2"/>
      <c r="E78" s="2"/>
      <c r="F78" s="2"/>
    </row>
    <row r="79" spans="2:6" x14ac:dyDescent="0.25">
      <c r="B79" s="12" t="s">
        <v>763</v>
      </c>
      <c r="C79" s="2" t="s">
        <v>766</v>
      </c>
      <c r="D79" s="2"/>
      <c r="E79" s="2"/>
      <c r="F79" s="2"/>
    </row>
    <row r="80" spans="2:6" x14ac:dyDescent="0.25">
      <c r="B80" s="12" t="s">
        <v>775</v>
      </c>
      <c r="C80" s="2" t="s">
        <v>778</v>
      </c>
      <c r="D80" s="2"/>
      <c r="E80" s="2"/>
      <c r="F80" s="2"/>
    </row>
    <row r="81" spans="2:6" x14ac:dyDescent="0.25">
      <c r="B81" s="12" t="s">
        <v>780</v>
      </c>
      <c r="C81" s="2" t="s">
        <v>423</v>
      </c>
      <c r="D81" s="2"/>
      <c r="E81" s="2"/>
      <c r="F81" s="2"/>
    </row>
    <row r="82" spans="2:6" x14ac:dyDescent="0.25">
      <c r="B82" s="12" t="s">
        <v>792</v>
      </c>
      <c r="C82" s="2" t="s">
        <v>804</v>
      </c>
      <c r="D82" s="2"/>
      <c r="E82" s="2"/>
      <c r="F82" s="2"/>
    </row>
    <row r="83" spans="2:6" x14ac:dyDescent="0.25">
      <c r="B83" s="12" t="s">
        <v>814</v>
      </c>
      <c r="C83" s="2" t="s">
        <v>816</v>
      </c>
      <c r="D83" s="2"/>
      <c r="E83" s="23">
        <v>27</v>
      </c>
      <c r="F83" s="23"/>
    </row>
    <row r="84" spans="2:6" x14ac:dyDescent="0.25">
      <c r="B84" s="12" t="s">
        <v>821</v>
      </c>
      <c r="C84" s="2" t="s">
        <v>825</v>
      </c>
      <c r="D84" s="2"/>
      <c r="E84" s="23">
        <v>30</v>
      </c>
      <c r="F84" s="23">
        <f>E84-E83</f>
        <v>3</v>
      </c>
    </row>
    <row r="85" spans="2:6" x14ac:dyDescent="0.25">
      <c r="B85" s="12" t="s">
        <v>833</v>
      </c>
      <c r="C85" s="2" t="s">
        <v>848</v>
      </c>
      <c r="D85" s="2"/>
      <c r="E85" s="23">
        <v>32</v>
      </c>
      <c r="F85" s="23">
        <f>E85-E84</f>
        <v>2</v>
      </c>
    </row>
    <row r="86" spans="2:6" x14ac:dyDescent="0.25">
      <c r="B86" s="12" t="s">
        <v>838</v>
      </c>
      <c r="C86" s="2" t="s">
        <v>848</v>
      </c>
      <c r="D86" s="2" t="s">
        <v>849</v>
      </c>
      <c r="E86" s="23">
        <v>32</v>
      </c>
      <c r="F86" s="23">
        <f t="shared" ref="F86:F94" si="0">E86-E85</f>
        <v>0</v>
      </c>
    </row>
    <row r="87" spans="2:6" x14ac:dyDescent="0.25">
      <c r="B87" s="12" t="s">
        <v>839</v>
      </c>
      <c r="C87" s="2" t="s">
        <v>847</v>
      </c>
      <c r="D87" s="2"/>
      <c r="E87" s="23">
        <v>27</v>
      </c>
      <c r="F87" s="23">
        <f t="shared" si="0"/>
        <v>-5</v>
      </c>
    </row>
    <row r="88" spans="2:6" x14ac:dyDescent="0.25">
      <c r="B88" s="12" t="s">
        <v>861</v>
      </c>
      <c r="C88" s="2" t="s">
        <v>863</v>
      </c>
      <c r="D88" s="2"/>
      <c r="E88" s="23">
        <v>32</v>
      </c>
      <c r="F88" s="23">
        <f t="shared" si="0"/>
        <v>5</v>
      </c>
    </row>
    <row r="89" spans="2:6" x14ac:dyDescent="0.25">
      <c r="B89" s="12" t="s">
        <v>871</v>
      </c>
      <c r="C89" s="2" t="s">
        <v>875</v>
      </c>
      <c r="D89" s="2"/>
      <c r="E89" s="23">
        <v>32</v>
      </c>
      <c r="F89" s="23">
        <f t="shared" si="0"/>
        <v>0</v>
      </c>
    </row>
    <row r="90" spans="2:6" x14ac:dyDescent="0.25">
      <c r="B90" s="12" t="s">
        <v>895</v>
      </c>
      <c r="C90" s="2" t="s">
        <v>875</v>
      </c>
      <c r="D90" s="2"/>
      <c r="E90" s="23">
        <v>32</v>
      </c>
      <c r="F90" s="23">
        <f t="shared" si="0"/>
        <v>0</v>
      </c>
    </row>
    <row r="91" spans="2:6" x14ac:dyDescent="0.25">
      <c r="B91" s="12" t="s">
        <v>902</v>
      </c>
      <c r="C91" s="2" t="s">
        <v>914</v>
      </c>
      <c r="D91" s="2"/>
      <c r="E91" s="23">
        <v>32.25</v>
      </c>
      <c r="F91" s="23">
        <f t="shared" si="0"/>
        <v>0.25</v>
      </c>
    </row>
    <row r="92" spans="2:6" x14ac:dyDescent="0.25">
      <c r="B92" s="12" t="s">
        <v>903</v>
      </c>
      <c r="C92" s="2" t="s">
        <v>913</v>
      </c>
      <c r="D92" s="2"/>
      <c r="E92" s="23">
        <v>32.5</v>
      </c>
      <c r="F92" s="23">
        <f t="shared" si="0"/>
        <v>0.25</v>
      </c>
    </row>
    <row r="93" spans="2:6" x14ac:dyDescent="0.25">
      <c r="B93" s="12" t="s">
        <v>921</v>
      </c>
      <c r="C93" s="2" t="s">
        <v>924</v>
      </c>
      <c r="D93" s="2"/>
      <c r="E93" s="23">
        <v>32.799999999999997</v>
      </c>
      <c r="F93" s="23">
        <f t="shared" si="0"/>
        <v>0.29999999999999716</v>
      </c>
    </row>
    <row r="94" spans="2:6" x14ac:dyDescent="0.25">
      <c r="B94" s="12" t="s">
        <v>943</v>
      </c>
      <c r="C94" s="2" t="s">
        <v>955</v>
      </c>
      <c r="D94" s="2"/>
      <c r="E94" s="23">
        <v>33.15</v>
      </c>
      <c r="F94" s="2">
        <f t="shared" si="0"/>
        <v>0.35000000000000142</v>
      </c>
    </row>
    <row r="95" spans="2:6" x14ac:dyDescent="0.25">
      <c r="B95" s="12" t="s">
        <v>961</v>
      </c>
      <c r="C95" s="2" t="s">
        <v>963</v>
      </c>
      <c r="D95" s="2"/>
      <c r="E95" s="23">
        <v>33.15</v>
      </c>
      <c r="F95" s="2">
        <f>E95-E94</f>
        <v>0</v>
      </c>
    </row>
    <row r="96" spans="2:6" x14ac:dyDescent="0.25">
      <c r="B96" s="12" t="s">
        <v>968</v>
      </c>
      <c r="C96" s="2" t="s">
        <v>971</v>
      </c>
      <c r="D96" s="2"/>
      <c r="E96" s="23">
        <v>33.549999999999997</v>
      </c>
      <c r="F96" s="2">
        <f>E96-E95</f>
        <v>0.39999999999999858</v>
      </c>
    </row>
    <row r="97" spans="2:6" x14ac:dyDescent="0.25">
      <c r="B97" s="12" t="s">
        <v>981</v>
      </c>
      <c r="C97" s="2" t="s">
        <v>983</v>
      </c>
      <c r="D97" s="2"/>
      <c r="E97" s="23">
        <v>34.799999999999997</v>
      </c>
      <c r="F97" s="2">
        <f t="shared" ref="F97:F117" si="1">E97-E96</f>
        <v>1.25</v>
      </c>
    </row>
    <row r="98" spans="2:6" x14ac:dyDescent="0.25">
      <c r="B98" s="12" t="s">
        <v>994</v>
      </c>
      <c r="C98" s="2" t="s">
        <v>996</v>
      </c>
      <c r="D98" s="2"/>
      <c r="E98" s="23">
        <v>34.799999999999997</v>
      </c>
      <c r="F98" s="2">
        <f t="shared" si="1"/>
        <v>0</v>
      </c>
    </row>
    <row r="99" spans="2:6" x14ac:dyDescent="0.25">
      <c r="B99" s="12" t="s">
        <v>1009</v>
      </c>
      <c r="C99" s="2" t="s">
        <v>1011</v>
      </c>
      <c r="D99" s="2"/>
      <c r="E99" s="23">
        <v>34.950000000000003</v>
      </c>
      <c r="F99" s="2">
        <f t="shared" si="1"/>
        <v>0.15000000000000568</v>
      </c>
    </row>
    <row r="100" spans="2:6" x14ac:dyDescent="0.25">
      <c r="B100" s="12" t="s">
        <v>1022</v>
      </c>
      <c r="C100" s="2" t="s">
        <v>1026</v>
      </c>
      <c r="D100" s="2"/>
      <c r="E100" s="23">
        <v>34.950000000000003</v>
      </c>
      <c r="F100" s="2">
        <f t="shared" si="1"/>
        <v>0</v>
      </c>
    </row>
    <row r="101" spans="2:6" x14ac:dyDescent="0.25">
      <c r="B101" s="12" t="s">
        <v>1042</v>
      </c>
      <c r="C101" s="2" t="s">
        <v>1047</v>
      </c>
      <c r="D101" s="2"/>
      <c r="E101" s="23">
        <v>34.950000000000003</v>
      </c>
      <c r="F101" s="2">
        <f t="shared" si="1"/>
        <v>0</v>
      </c>
    </row>
    <row r="102" spans="2:6" x14ac:dyDescent="0.25">
      <c r="B102" s="12" t="s">
        <v>1051</v>
      </c>
      <c r="C102" s="2" t="s">
        <v>1053</v>
      </c>
      <c r="D102" s="2"/>
      <c r="E102" s="23">
        <v>34.950000000000003</v>
      </c>
      <c r="F102" s="2">
        <f t="shared" si="1"/>
        <v>0</v>
      </c>
    </row>
    <row r="103" spans="2:6" x14ac:dyDescent="0.25">
      <c r="B103" s="12" t="s">
        <v>1097</v>
      </c>
      <c r="C103" s="2" t="s">
        <v>1102</v>
      </c>
      <c r="D103" s="2"/>
      <c r="E103" s="23">
        <v>37</v>
      </c>
      <c r="F103" s="2">
        <f t="shared" si="1"/>
        <v>2.0499999999999972</v>
      </c>
    </row>
    <row r="104" spans="2:6" x14ac:dyDescent="0.25">
      <c r="B104" s="12" t="s">
        <v>1128</v>
      </c>
      <c r="C104" s="2" t="s">
        <v>1136</v>
      </c>
      <c r="D104" s="2"/>
      <c r="E104" s="23">
        <v>38</v>
      </c>
      <c r="F104" s="2">
        <f t="shared" si="1"/>
        <v>1</v>
      </c>
    </row>
    <row r="105" spans="2:6" x14ac:dyDescent="0.25">
      <c r="B105" s="12" t="s">
        <v>1138</v>
      </c>
      <c r="C105" s="2" t="s">
        <v>1140</v>
      </c>
      <c r="D105" s="2" t="s">
        <v>1145</v>
      </c>
      <c r="E105" s="23">
        <v>40</v>
      </c>
      <c r="F105" s="2">
        <f t="shared" si="1"/>
        <v>2</v>
      </c>
    </row>
    <row r="106" spans="2:6" x14ac:dyDescent="0.25">
      <c r="B106" s="12" t="s">
        <v>1151</v>
      </c>
      <c r="C106" s="2" t="s">
        <v>1153</v>
      </c>
      <c r="D106" s="2"/>
      <c r="E106" s="23">
        <v>40</v>
      </c>
      <c r="F106" s="2">
        <f t="shared" si="1"/>
        <v>0</v>
      </c>
    </row>
    <row r="107" spans="2:6" x14ac:dyDescent="0.25">
      <c r="B107" s="12" t="s">
        <v>1163</v>
      </c>
      <c r="C107" s="2" t="s">
        <v>1166</v>
      </c>
      <c r="D107" s="2"/>
      <c r="E107" s="23">
        <v>40</v>
      </c>
      <c r="F107" s="2">
        <f t="shared" si="1"/>
        <v>0</v>
      </c>
    </row>
    <row r="108" spans="2:6" x14ac:dyDescent="0.25">
      <c r="B108" s="12" t="s">
        <v>1176</v>
      </c>
      <c r="C108" s="2" t="s">
        <v>1178</v>
      </c>
      <c r="D108" s="2"/>
      <c r="E108" s="23">
        <v>40</v>
      </c>
      <c r="F108" s="2">
        <f t="shared" si="1"/>
        <v>0</v>
      </c>
    </row>
    <row r="109" spans="2:6" x14ac:dyDescent="0.25">
      <c r="B109" s="12" t="s">
        <v>1191</v>
      </c>
      <c r="C109" s="2" t="s">
        <v>1166</v>
      </c>
      <c r="D109" s="2"/>
      <c r="E109" s="23">
        <v>40</v>
      </c>
      <c r="F109" s="2">
        <f t="shared" si="1"/>
        <v>0</v>
      </c>
    </row>
    <row r="110" spans="2:6" x14ac:dyDescent="0.25">
      <c r="B110" s="12" t="s">
        <v>1192</v>
      </c>
      <c r="C110" s="2" t="s">
        <v>480</v>
      </c>
      <c r="D110" s="2"/>
      <c r="E110" s="23">
        <v>40</v>
      </c>
      <c r="F110" s="2">
        <f t="shared" si="1"/>
        <v>0</v>
      </c>
    </row>
    <row r="111" spans="2:6" x14ac:dyDescent="0.25">
      <c r="B111" s="12" t="s">
        <v>1200</v>
      </c>
      <c r="C111" s="2" t="s">
        <v>1166</v>
      </c>
      <c r="D111" s="2"/>
      <c r="E111" s="23">
        <v>40</v>
      </c>
      <c r="F111" s="2">
        <f t="shared" si="1"/>
        <v>0</v>
      </c>
    </row>
    <row r="112" spans="2:6" x14ac:dyDescent="0.25">
      <c r="B112" s="12" t="s">
        <v>1211</v>
      </c>
      <c r="C112" s="2" t="s">
        <v>1229</v>
      </c>
      <c r="D112" s="2"/>
      <c r="E112" s="23">
        <v>40</v>
      </c>
      <c r="F112" s="2">
        <f t="shared" si="1"/>
        <v>0</v>
      </c>
    </row>
    <row r="113" spans="2:6" x14ac:dyDescent="0.25">
      <c r="B113" s="12" t="s">
        <v>1256</v>
      </c>
      <c r="C113" s="2" t="s">
        <v>1257</v>
      </c>
      <c r="D113" s="2"/>
      <c r="E113" s="23">
        <v>45</v>
      </c>
      <c r="F113" s="2">
        <f t="shared" si="1"/>
        <v>5</v>
      </c>
    </row>
    <row r="114" spans="2:6" x14ac:dyDescent="0.25">
      <c r="B114" s="12" t="s">
        <v>1266</v>
      </c>
      <c r="C114" s="2" t="s">
        <v>1272</v>
      </c>
      <c r="D114" s="2"/>
      <c r="E114" s="23">
        <v>46</v>
      </c>
      <c r="F114" s="2">
        <f t="shared" si="1"/>
        <v>1</v>
      </c>
    </row>
    <row r="115" spans="2:6" x14ac:dyDescent="0.25">
      <c r="B115" s="12" t="s">
        <v>1279</v>
      </c>
      <c r="C115" s="2" t="s">
        <v>1285</v>
      </c>
      <c r="D115" s="2"/>
      <c r="E115" s="23">
        <v>46.7</v>
      </c>
      <c r="F115" s="2">
        <f t="shared" si="1"/>
        <v>0.70000000000000284</v>
      </c>
    </row>
    <row r="116" spans="2:6" x14ac:dyDescent="0.25">
      <c r="B116" s="12" t="s">
        <v>1280</v>
      </c>
      <c r="C116" s="2" t="s">
        <v>1286</v>
      </c>
      <c r="D116" s="2"/>
      <c r="E116" s="23">
        <v>48.2</v>
      </c>
      <c r="F116" s="2">
        <f t="shared" si="1"/>
        <v>1.5</v>
      </c>
    </row>
    <row r="117" spans="2:6" x14ac:dyDescent="0.25">
      <c r="B117" s="12" t="s">
        <v>1294</v>
      </c>
      <c r="C117" s="2" t="s">
        <v>1304</v>
      </c>
      <c r="D117" s="2"/>
      <c r="E117" s="23">
        <v>49.7</v>
      </c>
      <c r="F117" s="2">
        <f t="shared" si="1"/>
        <v>1.5</v>
      </c>
    </row>
    <row r="118" spans="2:6" x14ac:dyDescent="0.25">
      <c r="B118" s="12" t="s">
        <v>1306</v>
      </c>
      <c r="C118" s="2" t="s">
        <v>1166</v>
      </c>
      <c r="D118" s="2"/>
      <c r="E118" s="23"/>
      <c r="F118" s="2"/>
    </row>
    <row r="119" spans="2:6" x14ac:dyDescent="0.25">
      <c r="B119" s="12" t="s">
        <v>1319</v>
      </c>
      <c r="C119" s="2" t="s">
        <v>1166</v>
      </c>
      <c r="D119" s="2"/>
      <c r="E119" s="23"/>
      <c r="F119" s="2"/>
    </row>
    <row r="120" spans="2:6" x14ac:dyDescent="0.25">
      <c r="B120" s="12" t="s">
        <v>1327</v>
      </c>
      <c r="C120" s="2" t="s">
        <v>1166</v>
      </c>
      <c r="D120" s="2"/>
      <c r="E120" s="23"/>
      <c r="F120" s="2"/>
    </row>
    <row r="121" spans="2:6" x14ac:dyDescent="0.25">
      <c r="B121" s="12" t="s">
        <v>1339</v>
      </c>
      <c r="C121" s="2" t="s">
        <v>1341</v>
      </c>
      <c r="D121" s="2" t="s">
        <v>1351</v>
      </c>
      <c r="E121" s="2"/>
      <c r="F121" s="2"/>
    </row>
  </sheetData>
  <phoneticPr fontId="6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7">
    <tabColor rgb="FF92D050"/>
  </sheetPr>
  <dimension ref="B1:D35"/>
  <sheetViews>
    <sheetView topLeftCell="A16" workbookViewId="0">
      <selection activeCell="C38" sqref="C38"/>
    </sheetView>
  </sheetViews>
  <sheetFormatPr defaultRowHeight="15" x14ac:dyDescent="0.25"/>
  <cols>
    <col min="2" max="2" width="18.42578125" style="13" customWidth="1"/>
    <col min="3" max="3" width="72" bestFit="1" customWidth="1"/>
    <col min="4" max="4" width="45" customWidth="1"/>
  </cols>
  <sheetData>
    <row r="1" spans="2:4" ht="31.5" customHeight="1" x14ac:dyDescent="0.25">
      <c r="B1" s="10" t="s">
        <v>0</v>
      </c>
      <c r="C1" s="11" t="s">
        <v>1</v>
      </c>
      <c r="D1" s="11" t="s">
        <v>2</v>
      </c>
    </row>
    <row r="2" spans="2:4" x14ac:dyDescent="0.25">
      <c r="B2" s="14">
        <v>45383</v>
      </c>
      <c r="C2" s="2" t="s">
        <v>516</v>
      </c>
      <c r="D2" s="2"/>
    </row>
    <row r="3" spans="2:4" x14ac:dyDescent="0.25">
      <c r="B3" s="14">
        <v>45383</v>
      </c>
      <c r="C3" s="2" t="s">
        <v>517</v>
      </c>
      <c r="D3" s="2"/>
    </row>
    <row r="4" spans="2:4" x14ac:dyDescent="0.25">
      <c r="B4" s="14">
        <v>45383</v>
      </c>
      <c r="C4" s="2" t="s">
        <v>518</v>
      </c>
      <c r="D4" s="2"/>
    </row>
    <row r="5" spans="2:4" x14ac:dyDescent="0.25">
      <c r="B5" s="14">
        <v>45383</v>
      </c>
      <c r="C5" s="2" t="s">
        <v>519</v>
      </c>
      <c r="D5" s="2" t="s">
        <v>520</v>
      </c>
    </row>
    <row r="6" spans="2:4" x14ac:dyDescent="0.25">
      <c r="B6" s="14">
        <v>45384</v>
      </c>
      <c r="C6" s="2" t="s">
        <v>521</v>
      </c>
      <c r="D6" s="2"/>
    </row>
    <row r="7" spans="2:4" x14ac:dyDescent="0.25">
      <c r="B7" s="14">
        <v>45384</v>
      </c>
      <c r="C7" s="2" t="s">
        <v>522</v>
      </c>
      <c r="D7" s="2" t="s">
        <v>523</v>
      </c>
    </row>
    <row r="8" spans="2:4" x14ac:dyDescent="0.25">
      <c r="B8" s="14">
        <v>45385</v>
      </c>
      <c r="C8" s="2" t="s">
        <v>523</v>
      </c>
      <c r="D8" s="2" t="s">
        <v>524</v>
      </c>
    </row>
    <row r="9" spans="2:4" x14ac:dyDescent="0.25">
      <c r="B9" s="14">
        <v>45386</v>
      </c>
      <c r="C9" s="2" t="s">
        <v>524</v>
      </c>
      <c r="D9" s="2"/>
    </row>
    <row r="10" spans="2:4" x14ac:dyDescent="0.25">
      <c r="B10" s="14">
        <v>45386</v>
      </c>
      <c r="C10" s="2" t="s">
        <v>525</v>
      </c>
      <c r="D10" s="2"/>
    </row>
    <row r="11" spans="2:4" x14ac:dyDescent="0.25">
      <c r="B11" s="14">
        <v>45386</v>
      </c>
      <c r="C11" s="2" t="s">
        <v>526</v>
      </c>
      <c r="D11" s="2" t="s">
        <v>527</v>
      </c>
    </row>
    <row r="12" spans="2:4" x14ac:dyDescent="0.25">
      <c r="B12" s="14">
        <v>45387</v>
      </c>
      <c r="C12" s="2" t="s">
        <v>527</v>
      </c>
      <c r="D12" s="2"/>
    </row>
    <row r="13" spans="2:4" x14ac:dyDescent="0.25">
      <c r="B13" s="14">
        <v>45387</v>
      </c>
      <c r="C13" s="2" t="s">
        <v>528</v>
      </c>
      <c r="D13" s="2" t="s">
        <v>357</v>
      </c>
    </row>
    <row r="14" spans="2:4" x14ac:dyDescent="0.25">
      <c r="B14" s="14">
        <v>45388</v>
      </c>
      <c r="C14" s="2" t="s">
        <v>529</v>
      </c>
      <c r="D14" s="2"/>
    </row>
    <row r="15" spans="2:4" x14ac:dyDescent="0.25">
      <c r="B15" s="14">
        <v>45389</v>
      </c>
      <c r="C15" s="2" t="s">
        <v>530</v>
      </c>
      <c r="D15" s="2" t="s">
        <v>357</v>
      </c>
    </row>
    <row r="16" spans="2:4" x14ac:dyDescent="0.25">
      <c r="B16" s="14">
        <v>45399</v>
      </c>
      <c r="C16" s="2" t="s">
        <v>531</v>
      </c>
      <c r="D16" s="2"/>
    </row>
    <row r="17" spans="2:4" x14ac:dyDescent="0.25">
      <c r="B17" s="14">
        <v>45400</v>
      </c>
      <c r="C17" s="2" t="s">
        <v>532</v>
      </c>
      <c r="D17" s="2"/>
    </row>
    <row r="18" spans="2:4" x14ac:dyDescent="0.25">
      <c r="B18" s="14">
        <v>45401</v>
      </c>
      <c r="C18" s="2" t="s">
        <v>533</v>
      </c>
      <c r="D18" s="2" t="s">
        <v>534</v>
      </c>
    </row>
    <row r="19" spans="2:4" x14ac:dyDescent="0.25">
      <c r="B19" s="14">
        <v>45402</v>
      </c>
      <c r="C19" s="2" t="s">
        <v>535</v>
      </c>
      <c r="D19" s="2"/>
    </row>
    <row r="20" spans="2:4" x14ac:dyDescent="0.25">
      <c r="B20" s="14">
        <v>45403</v>
      </c>
      <c r="C20" s="2" t="s">
        <v>480</v>
      </c>
      <c r="D20" s="2"/>
    </row>
    <row r="21" spans="2:4" x14ac:dyDescent="0.25">
      <c r="B21" s="14">
        <v>45404</v>
      </c>
      <c r="C21" s="2" t="s">
        <v>536</v>
      </c>
      <c r="D21" s="2"/>
    </row>
    <row r="22" spans="2:4" x14ac:dyDescent="0.25">
      <c r="B22" s="14">
        <v>45405</v>
      </c>
      <c r="C22" s="2" t="s">
        <v>536</v>
      </c>
      <c r="D22" s="2" t="s">
        <v>537</v>
      </c>
    </row>
    <row r="23" spans="2:4" x14ac:dyDescent="0.25">
      <c r="B23" s="14">
        <v>45406</v>
      </c>
      <c r="C23" s="2" t="s">
        <v>519</v>
      </c>
      <c r="D23" s="2"/>
    </row>
    <row r="24" spans="2:4" x14ac:dyDescent="0.25">
      <c r="B24" s="14">
        <v>45407</v>
      </c>
      <c r="C24" s="2" t="s">
        <v>519</v>
      </c>
      <c r="D24" s="2"/>
    </row>
    <row r="25" spans="2:4" x14ac:dyDescent="0.25">
      <c r="B25" s="14">
        <v>45408</v>
      </c>
      <c r="C25" s="2" t="s">
        <v>538</v>
      </c>
      <c r="D25" s="2"/>
    </row>
    <row r="26" spans="2:4" x14ac:dyDescent="0.25">
      <c r="B26" s="14">
        <v>45409</v>
      </c>
      <c r="C26" s="2" t="s">
        <v>538</v>
      </c>
      <c r="D26" s="2"/>
    </row>
    <row r="27" spans="2:4" x14ac:dyDescent="0.25">
      <c r="B27" s="14">
        <v>45410</v>
      </c>
      <c r="C27" s="2" t="s">
        <v>539</v>
      </c>
      <c r="D27" s="2"/>
    </row>
    <row r="28" spans="2:4" x14ac:dyDescent="0.25">
      <c r="B28" s="14"/>
      <c r="C28" s="2"/>
      <c r="D28" s="2"/>
    </row>
    <row r="29" spans="2:4" x14ac:dyDescent="0.25">
      <c r="B29" s="12"/>
      <c r="C29" s="2"/>
      <c r="D29" s="2"/>
    </row>
    <row r="30" spans="2:4" x14ac:dyDescent="0.25">
      <c r="B30" s="12"/>
      <c r="C30" s="2"/>
      <c r="D30" s="2"/>
    </row>
    <row r="31" spans="2:4" x14ac:dyDescent="0.25">
      <c r="B31" s="12"/>
      <c r="C31" s="2"/>
      <c r="D31" s="2"/>
    </row>
    <row r="32" spans="2:4" x14ac:dyDescent="0.25">
      <c r="B32" s="12"/>
      <c r="C32" s="2"/>
      <c r="D32" s="2"/>
    </row>
    <row r="33" spans="2:4" x14ac:dyDescent="0.25">
      <c r="B33" s="12"/>
      <c r="C33" s="2"/>
      <c r="D33" s="2"/>
    </row>
    <row r="34" spans="2:4" x14ac:dyDescent="0.25">
      <c r="B34" s="12"/>
      <c r="C34" s="2"/>
      <c r="D34" s="2"/>
    </row>
    <row r="35" spans="2:4" x14ac:dyDescent="0.25">
      <c r="B35" s="12"/>
      <c r="C35" s="2"/>
      <c r="D35" s="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</sheetPr>
  <dimension ref="B2:G30"/>
  <sheetViews>
    <sheetView topLeftCell="A4" workbookViewId="0">
      <selection activeCell="B11" sqref="B11"/>
    </sheetView>
  </sheetViews>
  <sheetFormatPr defaultRowHeight="15" x14ac:dyDescent="0.25"/>
  <cols>
    <col min="2" max="2" width="18" bestFit="1" customWidth="1"/>
    <col min="3" max="3" width="72" bestFit="1" customWidth="1"/>
    <col min="4" max="4" width="42.140625" bestFit="1" customWidth="1"/>
    <col min="7" max="7" width="11" bestFit="1" customWidth="1"/>
  </cols>
  <sheetData>
    <row r="2" spans="2:7" x14ac:dyDescent="0.25">
      <c r="C2" t="s">
        <v>1781</v>
      </c>
    </row>
    <row r="4" spans="2:7" ht="15.75" x14ac:dyDescent="0.25">
      <c r="B4" s="10" t="s">
        <v>0</v>
      </c>
      <c r="C4" s="11" t="s">
        <v>1</v>
      </c>
      <c r="D4" s="11" t="s">
        <v>2</v>
      </c>
      <c r="E4" s="11" t="s">
        <v>934</v>
      </c>
      <c r="F4" s="11" t="s">
        <v>1095</v>
      </c>
      <c r="G4" s="11" t="s">
        <v>1507</v>
      </c>
    </row>
    <row r="5" spans="2:7" x14ac:dyDescent="0.25">
      <c r="B5" s="3">
        <v>45536</v>
      </c>
      <c r="C5" s="2" t="s">
        <v>1528</v>
      </c>
      <c r="D5" s="2"/>
      <c r="E5" s="23">
        <v>0</v>
      </c>
      <c r="F5" s="2">
        <f>E5-E6</f>
        <v>0</v>
      </c>
      <c r="G5" s="2"/>
    </row>
    <row r="6" spans="2:7" x14ac:dyDescent="0.25">
      <c r="B6" s="3">
        <v>45537</v>
      </c>
      <c r="C6" s="2" t="s">
        <v>1719</v>
      </c>
      <c r="D6" s="2"/>
      <c r="E6" s="23">
        <v>0</v>
      </c>
      <c r="F6" s="2">
        <v>0</v>
      </c>
      <c r="G6" s="2"/>
    </row>
    <row r="7" spans="2:7" x14ac:dyDescent="0.25">
      <c r="B7" s="3">
        <v>45538</v>
      </c>
      <c r="C7" s="2" t="s">
        <v>1731</v>
      </c>
      <c r="D7" s="2"/>
      <c r="E7" s="23">
        <v>39</v>
      </c>
      <c r="F7" s="2">
        <f>E7-E6</f>
        <v>39</v>
      </c>
      <c r="G7" s="2"/>
    </row>
    <row r="8" spans="2:7" x14ac:dyDescent="0.25">
      <c r="B8" s="3">
        <v>45539</v>
      </c>
      <c r="C8" s="2" t="s">
        <v>1746</v>
      </c>
      <c r="D8" s="2" t="s">
        <v>1750</v>
      </c>
      <c r="E8" s="23">
        <v>70</v>
      </c>
      <c r="F8" s="2">
        <f>E8-E7</f>
        <v>31</v>
      </c>
      <c r="G8" s="2"/>
    </row>
    <row r="9" spans="2:7" x14ac:dyDescent="0.25">
      <c r="B9" s="3">
        <v>45540</v>
      </c>
      <c r="C9" s="2" t="s">
        <v>1789</v>
      </c>
      <c r="D9" s="2" t="s">
        <v>1775</v>
      </c>
      <c r="E9" s="23">
        <v>90</v>
      </c>
      <c r="F9" s="2">
        <f t="shared" ref="F9:F18" si="0">E9-E8</f>
        <v>20</v>
      </c>
      <c r="G9" s="2"/>
    </row>
    <row r="10" spans="2:7" x14ac:dyDescent="0.25">
      <c r="B10" s="3">
        <v>45541</v>
      </c>
      <c r="C10" s="2" t="s">
        <v>1787</v>
      </c>
      <c r="D10" s="2" t="s">
        <v>1794</v>
      </c>
      <c r="E10" s="23">
        <v>103</v>
      </c>
      <c r="F10" s="2">
        <f t="shared" si="0"/>
        <v>13</v>
      </c>
      <c r="G10" s="2"/>
    </row>
    <row r="11" spans="2:7" x14ac:dyDescent="0.25">
      <c r="B11" s="3">
        <v>45543</v>
      </c>
      <c r="C11" s="2" t="s">
        <v>1801</v>
      </c>
      <c r="D11" s="2"/>
      <c r="E11" s="23">
        <v>110</v>
      </c>
      <c r="F11" s="2">
        <f t="shared" si="0"/>
        <v>7</v>
      </c>
      <c r="G11" s="2"/>
    </row>
    <row r="12" spans="2:7" x14ac:dyDescent="0.25">
      <c r="B12" s="3"/>
      <c r="C12" s="2"/>
      <c r="D12" s="2"/>
      <c r="E12" s="23"/>
      <c r="F12" s="2">
        <f t="shared" si="0"/>
        <v>-110</v>
      </c>
      <c r="G12" s="2"/>
    </row>
    <row r="13" spans="2:7" x14ac:dyDescent="0.25">
      <c r="B13" s="3"/>
      <c r="C13" s="2"/>
      <c r="D13" s="2"/>
      <c r="E13" s="23"/>
      <c r="F13" s="2">
        <f t="shared" si="0"/>
        <v>0</v>
      </c>
      <c r="G13" s="2"/>
    </row>
    <row r="14" spans="2:7" x14ac:dyDescent="0.25">
      <c r="B14" s="3"/>
      <c r="C14" s="2"/>
      <c r="D14" s="2"/>
      <c r="E14" s="23"/>
      <c r="F14" s="2">
        <f t="shared" si="0"/>
        <v>0</v>
      </c>
      <c r="G14" s="2"/>
    </row>
    <row r="15" spans="2:7" x14ac:dyDescent="0.25">
      <c r="B15" s="3"/>
      <c r="C15" s="2"/>
      <c r="D15" s="2"/>
      <c r="E15" s="23"/>
      <c r="F15" s="2">
        <f t="shared" si="0"/>
        <v>0</v>
      </c>
      <c r="G15" s="2"/>
    </row>
    <row r="16" spans="2:7" x14ac:dyDescent="0.25">
      <c r="B16" s="3"/>
      <c r="C16" s="2"/>
      <c r="D16" s="2"/>
      <c r="E16" s="23"/>
      <c r="F16" s="2">
        <f t="shared" si="0"/>
        <v>0</v>
      </c>
      <c r="G16" s="2"/>
    </row>
    <row r="17" spans="2:7" x14ac:dyDescent="0.25">
      <c r="B17" s="3"/>
      <c r="C17" s="2"/>
      <c r="D17" s="2"/>
      <c r="E17" s="23"/>
      <c r="F17" s="2">
        <f t="shared" si="0"/>
        <v>0</v>
      </c>
      <c r="G17" s="2"/>
    </row>
    <row r="18" spans="2:7" x14ac:dyDescent="0.25">
      <c r="B18" s="2"/>
      <c r="C18" s="2"/>
      <c r="D18" s="2"/>
      <c r="E18" s="2"/>
      <c r="F18" s="2">
        <f t="shared" si="0"/>
        <v>0</v>
      </c>
      <c r="G18" s="2"/>
    </row>
    <row r="19" spans="2:7" x14ac:dyDescent="0.25">
      <c r="B19" s="2"/>
      <c r="C19" s="2"/>
      <c r="D19" s="2"/>
      <c r="E19" s="2"/>
      <c r="F19" s="2"/>
      <c r="G19" s="2"/>
    </row>
    <row r="20" spans="2:7" x14ac:dyDescent="0.25">
      <c r="B20" s="2"/>
      <c r="C20" s="2"/>
      <c r="D20" s="2"/>
      <c r="E20" s="2"/>
      <c r="F20" s="2"/>
      <c r="G20" s="2"/>
    </row>
    <row r="21" spans="2:7" x14ac:dyDescent="0.25">
      <c r="B21" s="2"/>
      <c r="C21" s="2"/>
      <c r="D21" s="2"/>
      <c r="E21" s="2"/>
      <c r="F21" s="2"/>
      <c r="G21" s="2"/>
    </row>
    <row r="22" spans="2:7" x14ac:dyDescent="0.25">
      <c r="B22" s="2"/>
      <c r="C22" s="2"/>
      <c r="D22" s="2"/>
      <c r="E22" s="2"/>
      <c r="F22" s="2"/>
      <c r="G22" s="2"/>
    </row>
    <row r="23" spans="2:7" x14ac:dyDescent="0.25">
      <c r="B23" s="2"/>
      <c r="C23" s="2"/>
      <c r="D23" s="2"/>
      <c r="E23" s="2"/>
      <c r="F23" s="2"/>
      <c r="G23" s="2"/>
    </row>
    <row r="24" spans="2:7" x14ac:dyDescent="0.25">
      <c r="B24" s="2"/>
      <c r="C24" s="2"/>
      <c r="D24" s="2"/>
      <c r="E24" s="2"/>
      <c r="F24" s="2"/>
      <c r="G24" s="2"/>
    </row>
    <row r="25" spans="2:7" x14ac:dyDescent="0.25">
      <c r="B25" s="2"/>
      <c r="C25" s="2"/>
      <c r="D25" s="2"/>
      <c r="E25" s="2"/>
      <c r="F25" s="2"/>
      <c r="G25" s="2"/>
    </row>
    <row r="26" spans="2:7" x14ac:dyDescent="0.25">
      <c r="B26" s="2"/>
      <c r="C26" s="2"/>
      <c r="D26" s="2"/>
      <c r="E26" s="2"/>
      <c r="F26" s="2"/>
      <c r="G26" s="2"/>
    </row>
    <row r="27" spans="2:7" x14ac:dyDescent="0.25">
      <c r="B27" s="2"/>
      <c r="C27" s="2"/>
      <c r="D27" s="2"/>
      <c r="E27" s="2"/>
      <c r="F27" s="2"/>
      <c r="G27" s="2"/>
    </row>
    <row r="28" spans="2:7" x14ac:dyDescent="0.25">
      <c r="B28" s="2"/>
      <c r="C28" s="2"/>
      <c r="D28" s="2"/>
      <c r="E28" s="2"/>
      <c r="F28" s="2"/>
      <c r="G28" s="2"/>
    </row>
    <row r="29" spans="2:7" x14ac:dyDescent="0.25">
      <c r="B29" s="2"/>
      <c r="C29" s="2"/>
      <c r="D29" s="2"/>
      <c r="E29" s="2"/>
      <c r="F29" s="2"/>
      <c r="G29" s="2"/>
    </row>
    <row r="30" spans="2:7" x14ac:dyDescent="0.25">
      <c r="B30" s="2"/>
      <c r="C30" s="2"/>
      <c r="D30" s="2"/>
      <c r="E30" s="2"/>
      <c r="F30" s="2"/>
      <c r="G30" s="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9">
    <tabColor rgb="FF92D050"/>
  </sheetPr>
  <dimension ref="B1:D39"/>
  <sheetViews>
    <sheetView topLeftCell="A28" workbookViewId="0">
      <selection activeCell="C36" sqref="C36"/>
    </sheetView>
  </sheetViews>
  <sheetFormatPr defaultRowHeight="15" x14ac:dyDescent="0.25"/>
  <cols>
    <col min="2" max="2" width="12.140625" bestFit="1" customWidth="1"/>
    <col min="3" max="3" width="72" bestFit="1" customWidth="1"/>
    <col min="4" max="4" width="42.140625" bestFit="1" customWidth="1"/>
  </cols>
  <sheetData>
    <row r="1" spans="2:4" ht="30.75" customHeight="1" x14ac:dyDescent="0.25">
      <c r="B1" s="10" t="s">
        <v>0</v>
      </c>
      <c r="C1" s="11" t="s">
        <v>1</v>
      </c>
      <c r="D1" s="11" t="s">
        <v>2</v>
      </c>
    </row>
    <row r="2" spans="2:4" x14ac:dyDescent="0.25">
      <c r="B2" s="3">
        <v>45400</v>
      </c>
      <c r="C2" s="2" t="s">
        <v>619</v>
      </c>
      <c r="D2" s="2" t="s">
        <v>620</v>
      </c>
    </row>
    <row r="3" spans="2:4" x14ac:dyDescent="0.25">
      <c r="B3" s="3">
        <v>45400</v>
      </c>
      <c r="C3" s="2" t="s">
        <v>621</v>
      </c>
      <c r="D3" s="2"/>
    </row>
    <row r="4" spans="2:4" x14ac:dyDescent="0.25">
      <c r="B4" s="3">
        <v>45400</v>
      </c>
      <c r="C4" s="2" t="s">
        <v>522</v>
      </c>
      <c r="D4" s="2" t="s">
        <v>523</v>
      </c>
    </row>
    <row r="5" spans="2:4" x14ac:dyDescent="0.25">
      <c r="B5" s="3">
        <v>45401</v>
      </c>
      <c r="C5" s="2" t="s">
        <v>622</v>
      </c>
      <c r="D5" s="2" t="s">
        <v>622</v>
      </c>
    </row>
    <row r="6" spans="2:4" x14ac:dyDescent="0.25">
      <c r="B6" s="3">
        <v>45401</v>
      </c>
      <c r="C6" s="2" t="s">
        <v>623</v>
      </c>
      <c r="D6" s="2"/>
    </row>
    <row r="7" spans="2:4" x14ac:dyDescent="0.25">
      <c r="B7" s="3">
        <v>45401</v>
      </c>
      <c r="C7" s="2" t="s">
        <v>624</v>
      </c>
      <c r="D7" s="2"/>
    </row>
    <row r="8" spans="2:4" x14ac:dyDescent="0.25">
      <c r="B8" s="3">
        <v>45401</v>
      </c>
      <c r="C8" s="2" t="s">
        <v>625</v>
      </c>
      <c r="D8" s="2" t="s">
        <v>626</v>
      </c>
    </row>
    <row r="9" spans="2:4" x14ac:dyDescent="0.25">
      <c r="B9" s="3">
        <v>45402</v>
      </c>
      <c r="C9" s="2" t="s">
        <v>626</v>
      </c>
      <c r="D9" s="2" t="s">
        <v>627</v>
      </c>
    </row>
    <row r="10" spans="2:4" x14ac:dyDescent="0.25">
      <c r="B10" s="3">
        <v>45403</v>
      </c>
      <c r="C10" s="2" t="s">
        <v>627</v>
      </c>
      <c r="D10" s="2" t="s">
        <v>628</v>
      </c>
    </row>
    <row r="11" spans="2:4" x14ac:dyDescent="0.25">
      <c r="B11" s="3">
        <v>45404</v>
      </c>
      <c r="C11" s="2" t="s">
        <v>629</v>
      </c>
      <c r="D11" s="2" t="s">
        <v>630</v>
      </c>
    </row>
    <row r="12" spans="2:4" x14ac:dyDescent="0.25">
      <c r="B12" s="3">
        <v>45404</v>
      </c>
      <c r="C12" s="2" t="s">
        <v>631</v>
      </c>
      <c r="D12" s="2"/>
    </row>
    <row r="13" spans="2:4" x14ac:dyDescent="0.25">
      <c r="B13" s="3">
        <v>45405</v>
      </c>
      <c r="C13" s="2" t="s">
        <v>632</v>
      </c>
      <c r="D13" s="2" t="s">
        <v>633</v>
      </c>
    </row>
    <row r="14" spans="2:4" x14ac:dyDescent="0.25">
      <c r="B14" s="3">
        <v>45406</v>
      </c>
      <c r="C14" s="2" t="s">
        <v>533</v>
      </c>
      <c r="D14" s="2" t="s">
        <v>634</v>
      </c>
    </row>
    <row r="15" spans="2:4" x14ac:dyDescent="0.25">
      <c r="B15" s="3">
        <v>45407</v>
      </c>
      <c r="C15" s="2" t="s">
        <v>561</v>
      </c>
      <c r="D15" s="2"/>
    </row>
    <row r="16" spans="2:4" x14ac:dyDescent="0.25">
      <c r="B16" s="3">
        <v>45410</v>
      </c>
      <c r="C16" s="2" t="s">
        <v>635</v>
      </c>
      <c r="D16" s="2"/>
    </row>
    <row r="17" spans="2:4" x14ac:dyDescent="0.25">
      <c r="B17" s="3">
        <v>45414</v>
      </c>
      <c r="C17" s="2" t="s">
        <v>636</v>
      </c>
      <c r="D17" s="2"/>
    </row>
    <row r="18" spans="2:4" x14ac:dyDescent="0.25">
      <c r="B18" s="3">
        <v>45415</v>
      </c>
      <c r="C18" s="2"/>
      <c r="D18" s="2"/>
    </row>
    <row r="19" spans="2:4" x14ac:dyDescent="0.25">
      <c r="B19" s="3">
        <v>45416</v>
      </c>
      <c r="C19" s="2" t="s">
        <v>637</v>
      </c>
      <c r="D19" s="2"/>
    </row>
    <row r="20" spans="2:4" x14ac:dyDescent="0.25">
      <c r="B20" s="3">
        <v>45417</v>
      </c>
      <c r="C20" s="2" t="s">
        <v>638</v>
      </c>
      <c r="D20" s="2"/>
    </row>
    <row r="21" spans="2:4" x14ac:dyDescent="0.25">
      <c r="B21" s="3">
        <v>45419</v>
      </c>
      <c r="C21" s="2" t="s">
        <v>639</v>
      </c>
      <c r="D21" s="2"/>
    </row>
    <row r="22" spans="2:4" x14ac:dyDescent="0.25">
      <c r="B22" s="3">
        <v>45420</v>
      </c>
      <c r="C22" s="2" t="s">
        <v>640</v>
      </c>
      <c r="D22" s="2"/>
    </row>
    <row r="23" spans="2:4" x14ac:dyDescent="0.25">
      <c r="B23" s="3">
        <v>45421</v>
      </c>
      <c r="C23" s="2" t="s">
        <v>641</v>
      </c>
      <c r="D23" s="2" t="s">
        <v>642</v>
      </c>
    </row>
    <row r="24" spans="2:4" x14ac:dyDescent="0.25">
      <c r="B24" s="3">
        <v>45423</v>
      </c>
      <c r="C24" s="2" t="s">
        <v>643</v>
      </c>
      <c r="D24" s="2"/>
    </row>
    <row r="25" spans="2:4" x14ac:dyDescent="0.25">
      <c r="B25" s="3">
        <v>45424</v>
      </c>
      <c r="C25" s="2" t="s">
        <v>644</v>
      </c>
      <c r="D25" s="2"/>
    </row>
    <row r="26" spans="2:4" x14ac:dyDescent="0.25">
      <c r="B26" s="3">
        <v>45425</v>
      </c>
      <c r="C26" s="2" t="s">
        <v>644</v>
      </c>
      <c r="D26" s="2"/>
    </row>
    <row r="27" spans="2:4" x14ac:dyDescent="0.25">
      <c r="B27" s="3">
        <v>45426</v>
      </c>
      <c r="C27" s="2" t="s">
        <v>645</v>
      </c>
      <c r="D27" s="2"/>
    </row>
    <row r="28" spans="2:4" x14ac:dyDescent="0.25">
      <c r="B28" s="3">
        <v>45427</v>
      </c>
      <c r="C28" s="2" t="s">
        <v>646</v>
      </c>
      <c r="D28" s="2"/>
    </row>
    <row r="29" spans="2:4" x14ac:dyDescent="0.25">
      <c r="B29" s="3">
        <v>45428</v>
      </c>
      <c r="C29" s="2" t="s">
        <v>647</v>
      </c>
      <c r="D29" s="2"/>
    </row>
    <row r="30" spans="2:4" x14ac:dyDescent="0.25">
      <c r="B30" s="3">
        <v>45429</v>
      </c>
      <c r="C30" s="2" t="s">
        <v>648</v>
      </c>
      <c r="D30" s="2"/>
    </row>
    <row r="31" spans="2:4" x14ac:dyDescent="0.25">
      <c r="B31" s="3">
        <v>45430</v>
      </c>
      <c r="C31" s="2" t="s">
        <v>649</v>
      </c>
      <c r="D31" s="2"/>
    </row>
    <row r="32" spans="2:4" x14ac:dyDescent="0.25">
      <c r="B32" s="3">
        <v>45431</v>
      </c>
      <c r="C32" s="2" t="s">
        <v>535</v>
      </c>
      <c r="D32" s="2"/>
    </row>
    <row r="33" spans="2:4" x14ac:dyDescent="0.25">
      <c r="B33" s="3">
        <v>45432</v>
      </c>
      <c r="C33" s="2" t="s">
        <v>535</v>
      </c>
      <c r="D33" s="2"/>
    </row>
    <row r="34" spans="2:4" x14ac:dyDescent="0.25">
      <c r="B34" s="3">
        <v>45433</v>
      </c>
      <c r="C34" s="2" t="s">
        <v>650</v>
      </c>
      <c r="D34" s="2"/>
    </row>
    <row r="35" spans="2:4" x14ac:dyDescent="0.25">
      <c r="B35" s="3">
        <v>45434</v>
      </c>
      <c r="C35" s="2" t="s">
        <v>651</v>
      </c>
      <c r="D35" s="2"/>
    </row>
    <row r="36" spans="2:4" x14ac:dyDescent="0.25">
      <c r="B36" s="3">
        <v>45435</v>
      </c>
      <c r="C36" s="2"/>
      <c r="D36" s="2"/>
    </row>
    <row r="37" spans="2:4" x14ac:dyDescent="0.25">
      <c r="B37" s="2"/>
      <c r="C37" s="2"/>
      <c r="D37" s="2"/>
    </row>
    <row r="38" spans="2:4" x14ac:dyDescent="0.25">
      <c r="B38" s="2"/>
      <c r="C38" s="2"/>
      <c r="D38" s="2"/>
    </row>
    <row r="39" spans="2:4" x14ac:dyDescent="0.25">
      <c r="B39" s="2"/>
      <c r="C39" s="2"/>
      <c r="D39" s="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0">
    <tabColor rgb="FF92D050"/>
  </sheetPr>
  <dimension ref="B1:D13"/>
  <sheetViews>
    <sheetView workbookViewId="0">
      <selection activeCell="C12" sqref="C12"/>
    </sheetView>
  </sheetViews>
  <sheetFormatPr defaultRowHeight="15" x14ac:dyDescent="0.25"/>
  <cols>
    <col min="2" max="2" width="12.140625" bestFit="1" customWidth="1"/>
    <col min="3" max="3" width="72" bestFit="1" customWidth="1"/>
    <col min="4" max="4" width="42.140625" bestFit="1" customWidth="1"/>
  </cols>
  <sheetData>
    <row r="1" spans="2:4" ht="37.5" customHeight="1" x14ac:dyDescent="0.25">
      <c r="B1" s="10" t="s">
        <v>0</v>
      </c>
      <c r="C1" s="11" t="s">
        <v>1</v>
      </c>
      <c r="D1" s="11" t="s">
        <v>2</v>
      </c>
    </row>
    <row r="2" spans="2:4" x14ac:dyDescent="0.25">
      <c r="B2" s="3">
        <v>45420</v>
      </c>
      <c r="C2" s="2" t="s">
        <v>652</v>
      </c>
      <c r="D2" s="2"/>
    </row>
    <row r="3" spans="2:4" x14ac:dyDescent="0.25">
      <c r="B3" s="3">
        <v>45421</v>
      </c>
      <c r="C3" s="2" t="s">
        <v>653</v>
      </c>
      <c r="D3" s="2" t="s">
        <v>654</v>
      </c>
    </row>
    <row r="4" spans="2:4" x14ac:dyDescent="0.25">
      <c r="B4" s="3">
        <v>45423</v>
      </c>
      <c r="C4" s="2" t="s">
        <v>655</v>
      </c>
      <c r="D4" s="2"/>
    </row>
    <row r="5" spans="2:4" x14ac:dyDescent="0.25">
      <c r="B5" s="3">
        <v>45424</v>
      </c>
      <c r="C5" s="2" t="s">
        <v>656</v>
      </c>
      <c r="D5" s="2"/>
    </row>
    <row r="6" spans="2:4" x14ac:dyDescent="0.25">
      <c r="B6" s="3">
        <v>45425</v>
      </c>
      <c r="C6" s="2" t="s">
        <v>657</v>
      </c>
      <c r="D6" s="2"/>
    </row>
    <row r="7" spans="2:4" x14ac:dyDescent="0.25">
      <c r="B7" s="3">
        <v>45425</v>
      </c>
      <c r="C7" s="2" t="s">
        <v>658</v>
      </c>
      <c r="D7" s="2" t="s">
        <v>659</v>
      </c>
    </row>
    <row r="8" spans="2:4" x14ac:dyDescent="0.25">
      <c r="B8" s="3"/>
      <c r="C8" s="2"/>
      <c r="D8" s="2"/>
    </row>
    <row r="9" spans="2:4" x14ac:dyDescent="0.25">
      <c r="B9" s="3"/>
      <c r="C9" s="2"/>
      <c r="D9" s="2"/>
    </row>
    <row r="10" spans="2:4" x14ac:dyDescent="0.25">
      <c r="B10" s="3"/>
      <c r="C10" s="2"/>
      <c r="D10" s="2"/>
    </row>
    <row r="11" spans="2:4" x14ac:dyDescent="0.25">
      <c r="B11" s="3"/>
      <c r="C11" s="2"/>
      <c r="D11" s="2"/>
    </row>
    <row r="12" spans="2:4" x14ac:dyDescent="0.25">
      <c r="B12" s="3"/>
      <c r="C12" s="2"/>
      <c r="D12" s="2"/>
    </row>
    <row r="13" spans="2:4" x14ac:dyDescent="0.25">
      <c r="B13" s="3"/>
      <c r="C13" s="2"/>
      <c r="D13" s="2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1">
    <tabColor rgb="FF00B050"/>
  </sheetPr>
  <dimension ref="B2:D18"/>
  <sheetViews>
    <sheetView workbookViewId="0">
      <selection activeCell="C9" sqref="C9"/>
    </sheetView>
  </sheetViews>
  <sheetFormatPr defaultRowHeight="15" x14ac:dyDescent="0.25"/>
  <cols>
    <col min="2" max="2" width="12.140625" bestFit="1" customWidth="1"/>
    <col min="3" max="3" width="72" bestFit="1" customWidth="1"/>
    <col min="4" max="4" width="43" customWidth="1"/>
  </cols>
  <sheetData>
    <row r="2" spans="2:4" ht="15.75" x14ac:dyDescent="0.25">
      <c r="B2" s="10" t="s">
        <v>0</v>
      </c>
      <c r="C2" s="11" t="s">
        <v>1</v>
      </c>
      <c r="D2" s="11" t="s">
        <v>2</v>
      </c>
    </row>
    <row r="3" spans="2:4" x14ac:dyDescent="0.25">
      <c r="B3" s="3">
        <v>45459</v>
      </c>
      <c r="C3" s="2" t="s">
        <v>805</v>
      </c>
      <c r="D3" s="2"/>
    </row>
    <row r="4" spans="2:4" x14ac:dyDescent="0.25">
      <c r="B4" s="3">
        <v>45463</v>
      </c>
      <c r="C4" s="2" t="s">
        <v>822</v>
      </c>
      <c r="D4" s="2"/>
    </row>
    <row r="5" spans="2:4" x14ac:dyDescent="0.25">
      <c r="B5" s="3">
        <v>45464</v>
      </c>
      <c r="C5" s="2" t="s">
        <v>651</v>
      </c>
      <c r="D5" s="2"/>
    </row>
    <row r="6" spans="2:4" x14ac:dyDescent="0.25">
      <c r="B6" s="3">
        <v>45465</v>
      </c>
      <c r="C6" s="2" t="s">
        <v>853</v>
      </c>
      <c r="D6" s="2" t="s">
        <v>856</v>
      </c>
    </row>
    <row r="7" spans="2:4" x14ac:dyDescent="0.25">
      <c r="B7" s="3">
        <v>45466</v>
      </c>
      <c r="C7" s="2" t="s">
        <v>854</v>
      </c>
      <c r="D7" s="2"/>
    </row>
    <row r="8" spans="2:4" x14ac:dyDescent="0.25">
      <c r="B8" s="3"/>
      <c r="C8" s="2"/>
      <c r="D8" s="2"/>
    </row>
    <row r="9" spans="2:4" x14ac:dyDescent="0.25">
      <c r="B9" s="3"/>
      <c r="C9" s="2"/>
      <c r="D9" s="2"/>
    </row>
    <row r="10" spans="2:4" x14ac:dyDescent="0.25">
      <c r="B10" s="3"/>
      <c r="C10" s="2"/>
      <c r="D10" s="2"/>
    </row>
    <row r="11" spans="2:4" x14ac:dyDescent="0.25">
      <c r="B11" s="3"/>
      <c r="C11" s="2"/>
      <c r="D11" s="2"/>
    </row>
    <row r="12" spans="2:4" x14ac:dyDescent="0.25">
      <c r="B12" s="3"/>
      <c r="C12" s="2"/>
      <c r="D12" s="2"/>
    </row>
    <row r="13" spans="2:4" x14ac:dyDescent="0.25">
      <c r="B13" s="3"/>
      <c r="C13" s="2"/>
      <c r="D13" s="2"/>
    </row>
    <row r="14" spans="2:4" x14ac:dyDescent="0.25">
      <c r="B14" s="3"/>
      <c r="C14" s="2"/>
      <c r="D14" s="2"/>
    </row>
    <row r="15" spans="2:4" x14ac:dyDescent="0.25">
      <c r="B15" s="3"/>
      <c r="C15" s="2"/>
      <c r="D15" s="2"/>
    </row>
    <row r="16" spans="2:4" x14ac:dyDescent="0.25">
      <c r="B16" s="3"/>
      <c r="C16" s="2"/>
      <c r="D16" s="2"/>
    </row>
    <row r="17" spans="2:4" x14ac:dyDescent="0.25">
      <c r="B17" s="3"/>
      <c r="C17" s="2"/>
      <c r="D17" s="2"/>
    </row>
    <row r="18" spans="2:4" x14ac:dyDescent="0.25">
      <c r="B18" s="3"/>
      <c r="C18" s="2"/>
      <c r="D18" s="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2">
    <tabColor rgb="FF92D050"/>
  </sheetPr>
  <dimension ref="B1:F35"/>
  <sheetViews>
    <sheetView topLeftCell="A22" workbookViewId="0">
      <selection activeCell="D27" sqref="D27"/>
    </sheetView>
  </sheetViews>
  <sheetFormatPr defaultRowHeight="15" x14ac:dyDescent="0.25"/>
  <cols>
    <col min="2" max="2" width="12.140625" bestFit="1" customWidth="1"/>
    <col min="3" max="3" width="72" bestFit="1" customWidth="1"/>
    <col min="4" max="4" width="42.140625" bestFit="1" customWidth="1"/>
    <col min="5" max="5" width="11.85546875" bestFit="1" customWidth="1"/>
  </cols>
  <sheetData>
    <row r="1" spans="2:6" x14ac:dyDescent="0.25">
      <c r="B1" s="180" t="s">
        <v>859</v>
      </c>
      <c r="C1" s="180"/>
    </row>
    <row r="3" spans="2:6" ht="15.75" x14ac:dyDescent="0.25">
      <c r="B3" s="10" t="s">
        <v>0</v>
      </c>
      <c r="C3" s="11" t="s">
        <v>1</v>
      </c>
      <c r="D3" s="11" t="s">
        <v>2</v>
      </c>
      <c r="E3" s="11" t="s">
        <v>934</v>
      </c>
      <c r="F3" s="26" t="s">
        <v>1095</v>
      </c>
    </row>
    <row r="4" spans="2:6" x14ac:dyDescent="0.25">
      <c r="B4" s="3">
        <v>45465</v>
      </c>
      <c r="C4" s="2" t="s">
        <v>805</v>
      </c>
      <c r="D4" s="2"/>
      <c r="E4" s="2"/>
      <c r="F4" s="2"/>
    </row>
    <row r="5" spans="2:6" x14ac:dyDescent="0.25">
      <c r="B5" s="3">
        <v>45467</v>
      </c>
      <c r="C5" s="2" t="s">
        <v>860</v>
      </c>
      <c r="D5" s="2"/>
      <c r="E5" s="2"/>
      <c r="F5" s="2"/>
    </row>
    <row r="6" spans="2:6" x14ac:dyDescent="0.25">
      <c r="B6" s="3">
        <v>45468</v>
      </c>
      <c r="C6" s="2" t="s">
        <v>883</v>
      </c>
      <c r="D6" s="2"/>
      <c r="E6" s="2"/>
      <c r="F6" s="2"/>
    </row>
    <row r="7" spans="2:6" x14ac:dyDescent="0.25">
      <c r="B7" s="3">
        <v>45468</v>
      </c>
      <c r="C7" s="2" t="s">
        <v>884</v>
      </c>
      <c r="D7" s="2"/>
      <c r="E7" s="2"/>
      <c r="F7" s="2"/>
    </row>
    <row r="8" spans="2:6" x14ac:dyDescent="0.25">
      <c r="B8" s="3">
        <v>45468</v>
      </c>
      <c r="C8" s="2" t="s">
        <v>885</v>
      </c>
      <c r="D8" s="2"/>
      <c r="E8" s="2"/>
      <c r="F8" s="2"/>
    </row>
    <row r="9" spans="2:6" x14ac:dyDescent="0.25">
      <c r="B9" s="3">
        <v>45468</v>
      </c>
      <c r="C9" s="2" t="s">
        <v>886</v>
      </c>
      <c r="D9" s="2"/>
      <c r="E9" s="23"/>
      <c r="F9" s="2"/>
    </row>
    <row r="10" spans="2:6" x14ac:dyDescent="0.25">
      <c r="B10" s="3">
        <v>45468</v>
      </c>
      <c r="C10" s="2" t="s">
        <v>887</v>
      </c>
      <c r="D10" s="2"/>
      <c r="E10" s="23"/>
      <c r="F10" s="2"/>
    </row>
    <row r="11" spans="2:6" x14ac:dyDescent="0.25">
      <c r="B11" s="3">
        <v>45468</v>
      </c>
      <c r="C11" s="2" t="s">
        <v>888</v>
      </c>
      <c r="D11" s="2"/>
      <c r="E11" s="23"/>
      <c r="F11" s="2"/>
    </row>
    <row r="12" spans="2:6" x14ac:dyDescent="0.25">
      <c r="B12" s="3">
        <v>45468</v>
      </c>
      <c r="C12" s="2" t="s">
        <v>889</v>
      </c>
      <c r="D12" s="2"/>
      <c r="E12" s="23"/>
      <c r="F12" s="2"/>
    </row>
    <row r="13" spans="2:6" x14ac:dyDescent="0.25">
      <c r="B13" s="3">
        <v>45468</v>
      </c>
      <c r="C13" s="2" t="s">
        <v>890</v>
      </c>
      <c r="D13" s="2"/>
      <c r="E13" s="23"/>
      <c r="F13" s="2"/>
    </row>
    <row r="14" spans="2:6" x14ac:dyDescent="0.25">
      <c r="B14" s="3">
        <v>45468</v>
      </c>
      <c r="C14" s="2" t="s">
        <v>891</v>
      </c>
      <c r="D14" s="2"/>
      <c r="E14" s="23">
        <v>0</v>
      </c>
      <c r="F14" s="2"/>
    </row>
    <row r="15" spans="2:6" x14ac:dyDescent="0.25">
      <c r="B15" s="3">
        <v>45476</v>
      </c>
      <c r="C15" s="2" t="s">
        <v>967</v>
      </c>
      <c r="D15" s="2"/>
      <c r="E15" s="23">
        <v>8</v>
      </c>
      <c r="F15" s="2">
        <f>E15-E14</f>
        <v>8</v>
      </c>
    </row>
    <row r="16" spans="2:6" x14ac:dyDescent="0.25">
      <c r="B16" s="3">
        <v>45480</v>
      </c>
      <c r="C16" s="2" t="s">
        <v>1013</v>
      </c>
      <c r="D16" s="2"/>
      <c r="E16" s="23">
        <v>27</v>
      </c>
      <c r="F16" s="2">
        <f t="shared" ref="F16:F26" si="0">E16-E15</f>
        <v>19</v>
      </c>
    </row>
    <row r="17" spans="2:6" x14ac:dyDescent="0.25">
      <c r="B17" s="3">
        <v>45482</v>
      </c>
      <c r="C17" s="2" t="s">
        <v>1019</v>
      </c>
      <c r="D17" s="2"/>
      <c r="E17" s="23">
        <v>46</v>
      </c>
      <c r="F17" s="2">
        <f t="shared" si="0"/>
        <v>19</v>
      </c>
    </row>
    <row r="18" spans="2:6" x14ac:dyDescent="0.25">
      <c r="B18" s="3">
        <v>45484</v>
      </c>
      <c r="C18" s="2" t="s">
        <v>1049</v>
      </c>
      <c r="D18" s="2"/>
      <c r="E18" s="23">
        <v>46</v>
      </c>
      <c r="F18" s="2">
        <f t="shared" si="0"/>
        <v>0</v>
      </c>
    </row>
    <row r="19" spans="2:6" x14ac:dyDescent="0.25">
      <c r="B19" s="3">
        <v>45485</v>
      </c>
      <c r="C19" s="2" t="s">
        <v>1096</v>
      </c>
      <c r="D19" s="2"/>
      <c r="E19" s="23">
        <v>59</v>
      </c>
      <c r="F19" s="2">
        <f t="shared" si="0"/>
        <v>13</v>
      </c>
    </row>
    <row r="20" spans="2:6" x14ac:dyDescent="0.25">
      <c r="B20" s="3">
        <v>45486</v>
      </c>
      <c r="C20" s="2" t="s">
        <v>1119</v>
      </c>
      <c r="D20" s="2"/>
      <c r="E20" s="23">
        <v>62</v>
      </c>
      <c r="F20" s="2">
        <f t="shared" si="0"/>
        <v>3</v>
      </c>
    </row>
    <row r="21" spans="2:6" x14ac:dyDescent="0.25">
      <c r="B21" s="3">
        <v>45489</v>
      </c>
      <c r="C21" s="2" t="s">
        <v>1141</v>
      </c>
      <c r="D21" s="2" t="s">
        <v>1147</v>
      </c>
      <c r="E21" s="23">
        <v>83</v>
      </c>
      <c r="F21" s="2">
        <f t="shared" si="0"/>
        <v>21</v>
      </c>
    </row>
    <row r="22" spans="2:6" x14ac:dyDescent="0.25">
      <c r="B22" s="3">
        <v>45490</v>
      </c>
      <c r="C22" s="2" t="s">
        <v>1150</v>
      </c>
      <c r="D22" s="2" t="s">
        <v>1148</v>
      </c>
      <c r="E22" s="23"/>
      <c r="F22" s="2">
        <f t="shared" si="0"/>
        <v>-83</v>
      </c>
    </row>
    <row r="23" spans="2:6" x14ac:dyDescent="0.25">
      <c r="B23" s="3">
        <v>45491</v>
      </c>
      <c r="C23" s="2" t="s">
        <v>1168</v>
      </c>
      <c r="D23" s="2"/>
      <c r="E23" s="23"/>
      <c r="F23" s="2">
        <f t="shared" si="0"/>
        <v>0</v>
      </c>
    </row>
    <row r="24" spans="2:6" x14ac:dyDescent="0.25">
      <c r="B24" s="3">
        <v>45492</v>
      </c>
      <c r="C24" s="2" t="s">
        <v>1174</v>
      </c>
      <c r="D24" s="2" t="s">
        <v>1175</v>
      </c>
      <c r="E24" s="23"/>
      <c r="F24" s="2">
        <f t="shared" si="0"/>
        <v>0</v>
      </c>
    </row>
    <row r="25" spans="2:6" x14ac:dyDescent="0.25">
      <c r="B25" s="3">
        <v>45493</v>
      </c>
      <c r="C25" s="2" t="s">
        <v>1166</v>
      </c>
      <c r="D25" s="2"/>
      <c r="E25" s="23"/>
      <c r="F25" s="2">
        <f t="shared" si="0"/>
        <v>0</v>
      </c>
    </row>
    <row r="26" spans="2:6" x14ac:dyDescent="0.25">
      <c r="B26" s="3">
        <v>45494</v>
      </c>
      <c r="C26" s="2" t="s">
        <v>1190</v>
      </c>
      <c r="D26" s="2"/>
      <c r="E26" s="23"/>
      <c r="F26" s="2">
        <f t="shared" si="0"/>
        <v>0</v>
      </c>
    </row>
    <row r="27" spans="2:6" x14ac:dyDescent="0.25">
      <c r="B27" s="3">
        <v>45495</v>
      </c>
      <c r="C27" s="2" t="s">
        <v>1209</v>
      </c>
      <c r="D27" s="2" t="s">
        <v>1210</v>
      </c>
      <c r="E27" s="2"/>
      <c r="F27" s="2"/>
    </row>
    <row r="28" spans="2:6" x14ac:dyDescent="0.25">
      <c r="B28" s="2"/>
      <c r="C28" s="2"/>
      <c r="D28" s="2"/>
      <c r="E28" s="2"/>
      <c r="F28" s="2"/>
    </row>
    <row r="29" spans="2:6" x14ac:dyDescent="0.25">
      <c r="B29" s="2"/>
      <c r="C29" s="2"/>
      <c r="D29" s="2"/>
      <c r="E29" s="2"/>
      <c r="F29" s="2"/>
    </row>
    <row r="30" spans="2:6" x14ac:dyDescent="0.25">
      <c r="B30" s="2"/>
      <c r="C30" s="2"/>
      <c r="D30" s="2"/>
      <c r="E30" s="2"/>
      <c r="F30" s="2"/>
    </row>
    <row r="31" spans="2:6" x14ac:dyDescent="0.25">
      <c r="B31" s="2"/>
      <c r="C31" s="2"/>
      <c r="D31" s="2"/>
      <c r="E31" s="2"/>
      <c r="F31" s="2"/>
    </row>
    <row r="32" spans="2:6" x14ac:dyDescent="0.25">
      <c r="B32" s="2"/>
      <c r="C32" s="2"/>
      <c r="D32" s="2"/>
      <c r="E32" s="2"/>
      <c r="F32" s="2"/>
    </row>
    <row r="33" spans="2:6" x14ac:dyDescent="0.25">
      <c r="B33" s="2"/>
      <c r="C33" s="2"/>
      <c r="D33" s="2"/>
      <c r="E33" s="2"/>
      <c r="F33" s="2"/>
    </row>
    <row r="34" spans="2:6" x14ac:dyDescent="0.25">
      <c r="B34" s="2"/>
      <c r="C34" s="2"/>
      <c r="D34" s="2"/>
      <c r="E34" s="2"/>
      <c r="F34" s="2"/>
    </row>
    <row r="35" spans="2:6" x14ac:dyDescent="0.25">
      <c r="B35" s="2"/>
      <c r="C35" s="2"/>
      <c r="D35" s="2"/>
      <c r="E35" s="2"/>
      <c r="F35" s="2"/>
    </row>
  </sheetData>
  <mergeCells count="1">
    <mergeCell ref="B1:C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3">
    <tabColor rgb="FF92D050"/>
  </sheetPr>
  <dimension ref="B1:E17"/>
  <sheetViews>
    <sheetView topLeftCell="B1" workbookViewId="0">
      <selection activeCell="C16" sqref="C16"/>
    </sheetView>
  </sheetViews>
  <sheetFormatPr defaultRowHeight="15" x14ac:dyDescent="0.25"/>
  <cols>
    <col min="2" max="2" width="12.140625" bestFit="1" customWidth="1"/>
    <col min="3" max="3" width="72" bestFit="1" customWidth="1"/>
    <col min="4" max="4" width="42.140625" bestFit="1" customWidth="1"/>
    <col min="5" max="5" width="11.85546875" bestFit="1" customWidth="1"/>
  </cols>
  <sheetData>
    <row r="1" spans="2:5" x14ac:dyDescent="0.25">
      <c r="B1" s="180" t="s">
        <v>858</v>
      </c>
      <c r="C1" s="180"/>
    </row>
    <row r="3" spans="2:5" ht="15.75" x14ac:dyDescent="0.25">
      <c r="B3" s="10" t="s">
        <v>0</v>
      </c>
      <c r="C3" s="11" t="s">
        <v>1</v>
      </c>
      <c r="D3" s="11" t="s">
        <v>2</v>
      </c>
      <c r="E3" s="11" t="s">
        <v>934</v>
      </c>
    </row>
    <row r="4" spans="2:5" x14ac:dyDescent="0.25">
      <c r="B4" s="3">
        <v>45465</v>
      </c>
      <c r="C4" s="2" t="s">
        <v>805</v>
      </c>
      <c r="D4" s="2"/>
      <c r="E4" s="23"/>
    </row>
    <row r="5" spans="2:5" x14ac:dyDescent="0.25">
      <c r="B5" s="3">
        <v>45466</v>
      </c>
      <c r="C5" s="2" t="s">
        <v>860</v>
      </c>
      <c r="D5" s="2"/>
      <c r="E5" s="23"/>
    </row>
    <row r="6" spans="2:5" x14ac:dyDescent="0.25">
      <c r="B6" s="3">
        <v>45469</v>
      </c>
      <c r="C6" s="2" t="s">
        <v>901</v>
      </c>
      <c r="D6" s="2"/>
      <c r="E6" s="23">
        <v>45</v>
      </c>
    </row>
    <row r="7" spans="2:5" x14ac:dyDescent="0.25">
      <c r="B7" s="3">
        <v>45470</v>
      </c>
      <c r="C7" s="2" t="s">
        <v>917</v>
      </c>
      <c r="D7" s="2"/>
      <c r="E7" s="23">
        <v>100</v>
      </c>
    </row>
    <row r="8" spans="2:5" x14ac:dyDescent="0.25">
      <c r="B8" s="3">
        <v>45471</v>
      </c>
      <c r="C8" s="2" t="s">
        <v>916</v>
      </c>
      <c r="D8" s="2" t="s">
        <v>959</v>
      </c>
      <c r="E8" s="23"/>
    </row>
    <row r="9" spans="2:5" x14ac:dyDescent="0.25">
      <c r="B9" s="3">
        <v>45476</v>
      </c>
      <c r="C9" s="2" t="s">
        <v>966</v>
      </c>
      <c r="D9" s="2" t="s">
        <v>975</v>
      </c>
      <c r="E9" s="23"/>
    </row>
    <row r="10" spans="2:5" x14ac:dyDescent="0.25">
      <c r="B10" s="3">
        <v>45478</v>
      </c>
      <c r="C10" s="2" t="s">
        <v>992</v>
      </c>
      <c r="D10" s="2"/>
      <c r="E10" s="23">
        <v>40</v>
      </c>
    </row>
    <row r="11" spans="2:5" x14ac:dyDescent="0.25">
      <c r="B11" s="3">
        <v>45479</v>
      </c>
      <c r="C11" s="2" t="s">
        <v>993</v>
      </c>
      <c r="D11" s="2"/>
      <c r="E11" s="23">
        <v>65</v>
      </c>
    </row>
    <row r="12" spans="2:5" x14ac:dyDescent="0.25">
      <c r="B12" s="3">
        <v>45481</v>
      </c>
      <c r="C12" s="2" t="s">
        <v>1014</v>
      </c>
      <c r="D12" s="2"/>
      <c r="E12" s="23">
        <v>117</v>
      </c>
    </row>
    <row r="13" spans="2:5" x14ac:dyDescent="0.25">
      <c r="B13" s="3">
        <v>45482</v>
      </c>
      <c r="C13" s="2" t="s">
        <v>1018</v>
      </c>
      <c r="D13" s="2"/>
      <c r="E13" s="23">
        <v>120</v>
      </c>
    </row>
    <row r="14" spans="2:5" x14ac:dyDescent="0.25">
      <c r="B14" s="3"/>
      <c r="C14" s="2"/>
      <c r="D14" s="2"/>
      <c r="E14" s="23"/>
    </row>
    <row r="15" spans="2:5" x14ac:dyDescent="0.25">
      <c r="B15" s="3"/>
      <c r="C15" s="2"/>
      <c r="D15" s="2"/>
      <c r="E15" s="23"/>
    </row>
    <row r="16" spans="2:5" x14ac:dyDescent="0.25">
      <c r="B16" s="3"/>
      <c r="C16" s="2"/>
      <c r="D16" s="2"/>
      <c r="E16" s="23"/>
    </row>
    <row r="17" spans="2:5" x14ac:dyDescent="0.25">
      <c r="B17" s="3"/>
      <c r="C17" s="2"/>
      <c r="D17" s="2"/>
      <c r="E17" s="23"/>
    </row>
  </sheetData>
  <mergeCells count="1">
    <mergeCell ref="B1:C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4">
    <tabColor rgb="FF92D050"/>
  </sheetPr>
  <dimension ref="B1:D18"/>
  <sheetViews>
    <sheetView workbookViewId="0">
      <selection activeCell="D8" sqref="D8"/>
    </sheetView>
  </sheetViews>
  <sheetFormatPr defaultRowHeight="15" x14ac:dyDescent="0.25"/>
  <cols>
    <col min="2" max="2" width="12.140625" bestFit="1" customWidth="1"/>
    <col min="3" max="3" width="72" bestFit="1" customWidth="1"/>
    <col min="4" max="4" width="42.140625" bestFit="1" customWidth="1"/>
  </cols>
  <sheetData>
    <row r="1" spans="2:4" x14ac:dyDescent="0.25">
      <c r="B1" s="180" t="s">
        <v>857</v>
      </c>
      <c r="C1" s="180"/>
    </row>
    <row r="3" spans="2:4" ht="15.75" x14ac:dyDescent="0.25">
      <c r="B3" s="10" t="s">
        <v>0</v>
      </c>
      <c r="C3" s="11" t="s">
        <v>1</v>
      </c>
      <c r="D3" s="11" t="s">
        <v>2</v>
      </c>
    </row>
    <row r="4" spans="2:4" x14ac:dyDescent="0.25">
      <c r="B4" s="3">
        <v>45465</v>
      </c>
      <c r="C4" s="2" t="s">
        <v>805</v>
      </c>
      <c r="D4" s="2"/>
    </row>
    <row r="5" spans="2:4" x14ac:dyDescent="0.25">
      <c r="B5" s="3">
        <v>45467</v>
      </c>
      <c r="C5" s="2" t="s">
        <v>867</v>
      </c>
      <c r="D5" s="2" t="s">
        <v>878</v>
      </c>
    </row>
    <row r="6" spans="2:4" x14ac:dyDescent="0.25">
      <c r="B6" s="3">
        <v>45468</v>
      </c>
      <c r="C6" s="2" t="s">
        <v>868</v>
      </c>
      <c r="D6" s="2"/>
    </row>
    <row r="7" spans="2:4" x14ac:dyDescent="0.25">
      <c r="B7" s="3">
        <v>45469</v>
      </c>
      <c r="C7" s="2" t="s">
        <v>893</v>
      </c>
      <c r="D7" s="2" t="s">
        <v>879</v>
      </c>
    </row>
    <row r="8" spans="2:4" x14ac:dyDescent="0.25">
      <c r="B8" s="3">
        <v>45470</v>
      </c>
      <c r="C8" s="2" t="s">
        <v>915</v>
      </c>
      <c r="D8" s="2" t="s">
        <v>988</v>
      </c>
    </row>
    <row r="9" spans="2:4" x14ac:dyDescent="0.25">
      <c r="B9" s="3"/>
      <c r="C9" s="2"/>
      <c r="D9" s="2"/>
    </row>
    <row r="10" spans="2:4" x14ac:dyDescent="0.25">
      <c r="B10" s="3"/>
      <c r="C10" s="2"/>
      <c r="D10" s="2"/>
    </row>
    <row r="11" spans="2:4" x14ac:dyDescent="0.25">
      <c r="B11" s="3"/>
      <c r="C11" s="2"/>
      <c r="D11" s="2"/>
    </row>
    <row r="12" spans="2:4" x14ac:dyDescent="0.25">
      <c r="B12" s="3"/>
      <c r="C12" s="2"/>
      <c r="D12" s="2"/>
    </row>
    <row r="13" spans="2:4" x14ac:dyDescent="0.25">
      <c r="B13" s="3"/>
      <c r="C13" s="2"/>
      <c r="D13" s="2"/>
    </row>
    <row r="14" spans="2:4" x14ac:dyDescent="0.25">
      <c r="B14" s="3"/>
      <c r="C14" s="2"/>
      <c r="D14" s="2"/>
    </row>
    <row r="15" spans="2:4" x14ac:dyDescent="0.25">
      <c r="B15" s="3"/>
      <c r="C15" s="2"/>
      <c r="D15" s="2"/>
    </row>
    <row r="16" spans="2:4" x14ac:dyDescent="0.25">
      <c r="B16" s="3"/>
      <c r="C16" s="2"/>
      <c r="D16" s="2"/>
    </row>
    <row r="17" spans="2:4" x14ac:dyDescent="0.25">
      <c r="B17" s="3"/>
      <c r="C17" s="2"/>
      <c r="D17" s="2"/>
    </row>
    <row r="18" spans="2:4" x14ac:dyDescent="0.25">
      <c r="B18" s="3"/>
      <c r="C18" s="2"/>
      <c r="D18" s="2"/>
    </row>
  </sheetData>
  <mergeCells count="1">
    <mergeCell ref="B1:C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5">
    <tabColor rgb="FF00B050"/>
  </sheetPr>
  <dimension ref="B1:F18"/>
  <sheetViews>
    <sheetView workbookViewId="0">
      <selection activeCell="C10" sqref="C10"/>
    </sheetView>
  </sheetViews>
  <sheetFormatPr defaultRowHeight="15" x14ac:dyDescent="0.25"/>
  <cols>
    <col min="2" max="2" width="12.140625" bestFit="1" customWidth="1"/>
    <col min="3" max="3" width="39.28515625" customWidth="1"/>
    <col min="4" max="4" width="20.28515625" customWidth="1"/>
    <col min="5" max="5" width="29" customWidth="1"/>
    <col min="6" max="6" width="11.85546875" bestFit="1" customWidth="1"/>
  </cols>
  <sheetData>
    <row r="1" spans="2:6" x14ac:dyDescent="0.25">
      <c r="B1" s="180" t="s">
        <v>954</v>
      </c>
      <c r="C1" s="180"/>
    </row>
    <row r="3" spans="2:6" ht="15.75" x14ac:dyDescent="0.25">
      <c r="B3" s="10" t="s">
        <v>0</v>
      </c>
      <c r="C3" s="11" t="s">
        <v>1</v>
      </c>
      <c r="D3" s="11" t="s">
        <v>2</v>
      </c>
      <c r="E3" s="11" t="s">
        <v>939</v>
      </c>
      <c r="F3" s="11" t="s">
        <v>934</v>
      </c>
    </row>
    <row r="4" spans="2:6" x14ac:dyDescent="0.25">
      <c r="B4" s="3">
        <v>45468</v>
      </c>
      <c r="C4" s="2" t="s">
        <v>805</v>
      </c>
      <c r="D4" s="2"/>
      <c r="E4" s="2" t="s">
        <v>940</v>
      </c>
      <c r="F4" s="2"/>
    </row>
    <row r="5" spans="2:6" x14ac:dyDescent="0.25">
      <c r="B5" s="3">
        <v>45469</v>
      </c>
      <c r="C5" s="2" t="s">
        <v>892</v>
      </c>
      <c r="D5" s="2"/>
      <c r="E5" s="2" t="s">
        <v>941</v>
      </c>
      <c r="F5" s="23">
        <v>30</v>
      </c>
    </row>
    <row r="6" spans="2:6" x14ac:dyDescent="0.25">
      <c r="B6" s="3">
        <v>45473</v>
      </c>
      <c r="C6" s="2" t="s">
        <v>920</v>
      </c>
      <c r="D6" s="2"/>
      <c r="E6" s="2" t="s">
        <v>942</v>
      </c>
      <c r="F6" s="23">
        <v>105</v>
      </c>
    </row>
    <row r="7" spans="2:6" x14ac:dyDescent="0.25">
      <c r="B7" s="3">
        <v>45474</v>
      </c>
      <c r="C7" s="2" t="s">
        <v>948</v>
      </c>
      <c r="D7" s="2"/>
      <c r="E7" s="2"/>
      <c r="F7" s="23">
        <v>120</v>
      </c>
    </row>
    <row r="8" spans="2:6" x14ac:dyDescent="0.25">
      <c r="B8" s="3">
        <v>45475</v>
      </c>
      <c r="C8" s="2" t="s">
        <v>960</v>
      </c>
      <c r="D8" s="2"/>
      <c r="E8" s="2"/>
      <c r="F8" s="23"/>
    </row>
    <row r="9" spans="2:6" x14ac:dyDescent="0.25">
      <c r="B9" s="3"/>
      <c r="C9" s="2"/>
      <c r="D9" s="2"/>
      <c r="E9" s="2"/>
      <c r="F9" s="23"/>
    </row>
    <row r="10" spans="2:6" x14ac:dyDescent="0.25">
      <c r="B10" s="3"/>
      <c r="C10" s="2"/>
      <c r="D10" s="2"/>
      <c r="E10" s="2"/>
      <c r="F10" s="23"/>
    </row>
    <row r="11" spans="2:6" x14ac:dyDescent="0.25">
      <c r="B11" s="3"/>
      <c r="C11" s="2"/>
      <c r="D11" s="2"/>
      <c r="E11" s="2"/>
      <c r="F11" s="23"/>
    </row>
    <row r="12" spans="2:6" x14ac:dyDescent="0.25">
      <c r="B12" s="3"/>
      <c r="C12" s="2"/>
      <c r="D12" s="2"/>
      <c r="E12" s="2"/>
      <c r="F12" s="23"/>
    </row>
    <row r="13" spans="2:6" x14ac:dyDescent="0.25">
      <c r="B13" s="3"/>
      <c r="C13" s="2"/>
      <c r="D13" s="2"/>
      <c r="E13" s="2"/>
      <c r="F13" s="23"/>
    </row>
    <row r="14" spans="2:6" x14ac:dyDescent="0.25">
      <c r="B14" s="3"/>
      <c r="C14" s="2"/>
      <c r="D14" s="2"/>
      <c r="E14" s="2"/>
      <c r="F14" s="23"/>
    </row>
    <row r="15" spans="2:6" x14ac:dyDescent="0.25">
      <c r="B15" s="3"/>
      <c r="C15" s="2"/>
      <c r="D15" s="2"/>
      <c r="E15" s="2"/>
      <c r="F15" s="23"/>
    </row>
    <row r="16" spans="2:6" x14ac:dyDescent="0.25">
      <c r="B16" s="3"/>
      <c r="C16" s="2"/>
      <c r="D16" s="2"/>
      <c r="E16" s="2"/>
      <c r="F16" s="23"/>
    </row>
    <row r="17" spans="2:6" x14ac:dyDescent="0.25">
      <c r="B17" s="3"/>
      <c r="C17" s="2"/>
      <c r="D17" s="2"/>
      <c r="E17" s="2"/>
      <c r="F17" s="23"/>
    </row>
    <row r="18" spans="2:6" x14ac:dyDescent="0.25">
      <c r="B18" s="3"/>
      <c r="C18" s="2"/>
      <c r="D18" s="2"/>
      <c r="E18" s="2"/>
      <c r="F18" s="23"/>
    </row>
  </sheetData>
  <mergeCells count="1">
    <mergeCell ref="B1:C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6">
    <tabColor rgb="FF00B050"/>
  </sheetPr>
  <dimension ref="B1:F17"/>
  <sheetViews>
    <sheetView workbookViewId="0">
      <selection activeCell="C9" sqref="C9"/>
    </sheetView>
  </sheetViews>
  <sheetFormatPr defaultRowHeight="15" x14ac:dyDescent="0.25"/>
  <cols>
    <col min="2" max="2" width="12.140625" bestFit="1" customWidth="1"/>
    <col min="3" max="3" width="40.42578125" customWidth="1"/>
    <col min="4" max="4" width="25" customWidth="1"/>
    <col min="5" max="5" width="24" customWidth="1"/>
    <col min="6" max="6" width="11.85546875" bestFit="1" customWidth="1"/>
  </cols>
  <sheetData>
    <row r="1" spans="2:6" x14ac:dyDescent="0.25">
      <c r="B1" s="180" t="s">
        <v>858</v>
      </c>
      <c r="C1" s="180"/>
    </row>
    <row r="3" spans="2:6" ht="15.75" x14ac:dyDescent="0.25">
      <c r="B3" s="10" t="s">
        <v>0</v>
      </c>
      <c r="C3" s="11" t="s">
        <v>1</v>
      </c>
      <c r="D3" s="11" t="s">
        <v>2</v>
      </c>
      <c r="E3" s="11" t="s">
        <v>933</v>
      </c>
      <c r="F3" s="11" t="s">
        <v>934</v>
      </c>
    </row>
    <row r="4" spans="2:6" x14ac:dyDescent="0.25">
      <c r="B4" s="3">
        <v>45471</v>
      </c>
      <c r="C4" s="2" t="s">
        <v>805</v>
      </c>
      <c r="D4" s="2"/>
      <c r="E4" s="2"/>
      <c r="F4" s="2"/>
    </row>
    <row r="5" spans="2:6" x14ac:dyDescent="0.25">
      <c r="B5" s="3">
        <v>45473</v>
      </c>
      <c r="C5" s="2" t="s">
        <v>919</v>
      </c>
      <c r="D5" s="2"/>
      <c r="E5" s="23" t="s">
        <v>935</v>
      </c>
      <c r="F5" s="23">
        <v>40</v>
      </c>
    </row>
    <row r="6" spans="2:6" x14ac:dyDescent="0.25">
      <c r="B6" s="3">
        <v>45474</v>
      </c>
      <c r="C6" s="2" t="s">
        <v>952</v>
      </c>
      <c r="D6" s="2"/>
      <c r="E6" s="24" t="s">
        <v>937</v>
      </c>
      <c r="F6" s="23">
        <v>100</v>
      </c>
    </row>
    <row r="7" spans="2:6" x14ac:dyDescent="0.25">
      <c r="B7" s="3">
        <v>45475</v>
      </c>
      <c r="C7" s="2" t="s">
        <v>960</v>
      </c>
      <c r="D7" s="2"/>
      <c r="E7" s="24" t="s">
        <v>938</v>
      </c>
      <c r="F7" s="2"/>
    </row>
    <row r="8" spans="2:6" x14ac:dyDescent="0.25">
      <c r="B8" s="3"/>
      <c r="C8" s="2"/>
      <c r="D8" s="2"/>
      <c r="E8" s="23" t="s">
        <v>936</v>
      </c>
      <c r="F8" s="2"/>
    </row>
    <row r="9" spans="2:6" x14ac:dyDescent="0.25">
      <c r="B9" s="3"/>
      <c r="C9" s="2"/>
      <c r="D9" s="2"/>
      <c r="E9" s="2"/>
      <c r="F9" s="2"/>
    </row>
    <row r="10" spans="2:6" x14ac:dyDescent="0.25">
      <c r="B10" s="3"/>
      <c r="C10" s="2"/>
      <c r="D10" s="2"/>
      <c r="E10" s="2"/>
      <c r="F10" s="2"/>
    </row>
    <row r="11" spans="2:6" x14ac:dyDescent="0.25">
      <c r="B11" s="3"/>
      <c r="C11" s="2"/>
      <c r="D11" s="2"/>
      <c r="E11" s="2"/>
      <c r="F11" s="2"/>
    </row>
    <row r="12" spans="2:6" x14ac:dyDescent="0.25">
      <c r="B12" s="3"/>
      <c r="C12" s="2"/>
      <c r="D12" s="2"/>
      <c r="E12" s="2"/>
      <c r="F12" s="2"/>
    </row>
    <row r="13" spans="2:6" x14ac:dyDescent="0.25">
      <c r="B13" s="3"/>
      <c r="C13" s="2"/>
      <c r="D13" s="2"/>
      <c r="E13" s="2"/>
      <c r="F13" s="2"/>
    </row>
    <row r="14" spans="2:6" x14ac:dyDescent="0.25">
      <c r="B14" s="3"/>
      <c r="C14" s="2"/>
      <c r="D14" s="2"/>
      <c r="E14" s="2"/>
      <c r="F14" s="2"/>
    </row>
    <row r="15" spans="2:6" x14ac:dyDescent="0.25">
      <c r="B15" s="3"/>
      <c r="C15" s="2"/>
      <c r="D15" s="2"/>
      <c r="E15" s="2"/>
      <c r="F15" s="2"/>
    </row>
    <row r="16" spans="2:6" x14ac:dyDescent="0.25">
      <c r="B16" s="3"/>
      <c r="C16" s="2"/>
      <c r="D16" s="2"/>
      <c r="E16" s="2"/>
      <c r="F16" s="2"/>
    </row>
    <row r="17" spans="2:6" x14ac:dyDescent="0.25">
      <c r="B17" s="3"/>
      <c r="C17" s="2"/>
      <c r="D17" s="2"/>
      <c r="E17" s="2"/>
      <c r="F17" s="2"/>
    </row>
  </sheetData>
  <mergeCells count="1">
    <mergeCell ref="B1:C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18">
    <tabColor rgb="FF92D050"/>
  </sheetPr>
  <dimension ref="B1:E18"/>
  <sheetViews>
    <sheetView topLeftCell="B1" workbookViewId="0">
      <selection activeCell="C9" sqref="C9"/>
    </sheetView>
  </sheetViews>
  <sheetFormatPr defaultRowHeight="15" x14ac:dyDescent="0.25"/>
  <cols>
    <col min="2" max="2" width="12.140625" bestFit="1" customWidth="1"/>
    <col min="3" max="3" width="72" bestFit="1" customWidth="1"/>
    <col min="4" max="4" width="42.140625" bestFit="1" customWidth="1"/>
    <col min="5" max="5" width="12.85546875" customWidth="1"/>
  </cols>
  <sheetData>
    <row r="1" spans="2:5" x14ac:dyDescent="0.25">
      <c r="B1" s="180"/>
      <c r="C1" s="180"/>
    </row>
    <row r="3" spans="2:5" ht="15.75" x14ac:dyDescent="0.25">
      <c r="B3" s="10" t="s">
        <v>0</v>
      </c>
      <c r="C3" s="11" t="s">
        <v>1</v>
      </c>
      <c r="D3" s="11" t="s">
        <v>2</v>
      </c>
      <c r="E3" s="11" t="s">
        <v>934</v>
      </c>
    </row>
    <row r="4" spans="2:5" x14ac:dyDescent="0.25">
      <c r="B4" s="3">
        <v>45476</v>
      </c>
      <c r="C4" s="2" t="s">
        <v>805</v>
      </c>
      <c r="D4" s="2"/>
      <c r="E4" s="23"/>
    </row>
    <row r="5" spans="2:5" x14ac:dyDescent="0.25">
      <c r="B5" s="3">
        <v>45477</v>
      </c>
      <c r="C5" s="2" t="s">
        <v>989</v>
      </c>
      <c r="D5" s="2"/>
      <c r="E5" s="23"/>
    </row>
    <row r="6" spans="2:5" x14ac:dyDescent="0.25">
      <c r="B6" s="3">
        <v>45478</v>
      </c>
      <c r="C6" s="2" t="s">
        <v>990</v>
      </c>
      <c r="D6" s="2" t="s">
        <v>1016</v>
      </c>
      <c r="E6" s="23">
        <v>115</v>
      </c>
    </row>
    <row r="7" spans="2:5" x14ac:dyDescent="0.25">
      <c r="B7" s="3">
        <v>45479</v>
      </c>
      <c r="C7" s="2" t="s">
        <v>1017</v>
      </c>
      <c r="D7" s="2"/>
      <c r="E7" s="23"/>
    </row>
    <row r="8" spans="2:5" x14ac:dyDescent="0.25">
      <c r="B8" s="3">
        <v>45480</v>
      </c>
      <c r="C8" s="2"/>
      <c r="D8" s="2"/>
      <c r="E8" s="23"/>
    </row>
    <row r="9" spans="2:5" x14ac:dyDescent="0.25">
      <c r="B9" s="3">
        <v>45481</v>
      </c>
      <c r="C9" s="2"/>
      <c r="D9" s="2"/>
      <c r="E9" s="23"/>
    </row>
    <row r="10" spans="2:5" x14ac:dyDescent="0.25">
      <c r="B10" s="3"/>
      <c r="C10" s="2"/>
      <c r="D10" s="2"/>
      <c r="E10" s="23"/>
    </row>
    <row r="11" spans="2:5" x14ac:dyDescent="0.25">
      <c r="B11" s="3"/>
      <c r="C11" s="2"/>
      <c r="D11" s="2"/>
      <c r="E11" s="23"/>
    </row>
    <row r="12" spans="2:5" x14ac:dyDescent="0.25">
      <c r="B12" s="3"/>
      <c r="C12" s="2"/>
      <c r="D12" s="2"/>
      <c r="E12" s="23"/>
    </row>
    <row r="13" spans="2:5" x14ac:dyDescent="0.25">
      <c r="B13" s="3"/>
      <c r="C13" s="2"/>
      <c r="D13" s="2"/>
      <c r="E13" s="23"/>
    </row>
    <row r="14" spans="2:5" x14ac:dyDescent="0.25">
      <c r="B14" s="3"/>
      <c r="C14" s="2"/>
      <c r="D14" s="2"/>
      <c r="E14" s="23"/>
    </row>
    <row r="15" spans="2:5" x14ac:dyDescent="0.25">
      <c r="B15" s="3"/>
      <c r="C15" s="2"/>
      <c r="D15" s="2"/>
      <c r="E15" s="23"/>
    </row>
    <row r="16" spans="2:5" x14ac:dyDescent="0.25">
      <c r="B16" s="3"/>
      <c r="C16" s="2"/>
      <c r="D16" s="2"/>
      <c r="E16" s="23"/>
    </row>
    <row r="17" spans="2:5" x14ac:dyDescent="0.25">
      <c r="B17" s="3"/>
      <c r="C17" s="2"/>
      <c r="D17" s="2"/>
      <c r="E17" s="23"/>
    </row>
    <row r="18" spans="2:5" x14ac:dyDescent="0.25">
      <c r="B18" s="3"/>
      <c r="C18" s="2"/>
      <c r="D18" s="2"/>
      <c r="E18" s="23"/>
    </row>
  </sheetData>
  <mergeCells count="1">
    <mergeCell ref="B1:C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0B050"/>
  </sheetPr>
  <dimension ref="B2:E19"/>
  <sheetViews>
    <sheetView topLeftCell="A4" workbookViewId="0">
      <selection activeCell="C14" sqref="C14"/>
    </sheetView>
  </sheetViews>
  <sheetFormatPr defaultRowHeight="15" x14ac:dyDescent="0.25"/>
  <cols>
    <col min="2" max="2" width="14.28515625" customWidth="1"/>
    <col min="3" max="3" width="72" bestFit="1" customWidth="1"/>
    <col min="4" max="4" width="44.5703125" bestFit="1" customWidth="1"/>
    <col min="5" max="5" width="11.85546875" bestFit="1" customWidth="1"/>
  </cols>
  <sheetData>
    <row r="2" spans="2:5" x14ac:dyDescent="0.25">
      <c r="C2" t="s">
        <v>954</v>
      </c>
    </row>
    <row r="4" spans="2:5" ht="15.75" x14ac:dyDescent="0.25">
      <c r="B4" s="10" t="s">
        <v>0</v>
      </c>
      <c r="C4" s="11" t="s">
        <v>1</v>
      </c>
      <c r="D4" s="11" t="s">
        <v>2</v>
      </c>
      <c r="E4" s="11" t="s">
        <v>934</v>
      </c>
    </row>
    <row r="5" spans="2:5" x14ac:dyDescent="0.25">
      <c r="B5" s="3">
        <v>45482</v>
      </c>
      <c r="C5" s="2" t="s">
        <v>805</v>
      </c>
      <c r="D5" s="2"/>
      <c r="E5" s="23"/>
    </row>
    <row r="6" spans="2:5" x14ac:dyDescent="0.25">
      <c r="B6" s="3">
        <v>45488</v>
      </c>
      <c r="C6" s="2" t="s">
        <v>1126</v>
      </c>
      <c r="D6" s="2"/>
      <c r="E6" s="23">
        <v>89</v>
      </c>
    </row>
    <row r="7" spans="2:5" x14ac:dyDescent="0.25">
      <c r="B7" s="3">
        <v>45490</v>
      </c>
      <c r="C7" s="2" t="s">
        <v>1158</v>
      </c>
      <c r="D7" s="2"/>
      <c r="E7" s="23">
        <v>115</v>
      </c>
    </row>
    <row r="8" spans="2:5" x14ac:dyDescent="0.25">
      <c r="B8" s="3">
        <v>45491</v>
      </c>
      <c r="C8" s="2" t="s">
        <v>1171</v>
      </c>
      <c r="D8" s="2"/>
      <c r="E8" s="23">
        <v>124</v>
      </c>
    </row>
    <row r="9" spans="2:5" x14ac:dyDescent="0.25">
      <c r="B9" s="3">
        <v>45494</v>
      </c>
      <c r="C9" s="2" t="s">
        <v>1187</v>
      </c>
      <c r="D9" s="2"/>
      <c r="E9" s="23">
        <v>145</v>
      </c>
    </row>
    <row r="10" spans="2:5" x14ac:dyDescent="0.25">
      <c r="B10" s="3">
        <v>45495</v>
      </c>
      <c r="C10" s="2" t="s">
        <v>1206</v>
      </c>
      <c r="D10" s="2"/>
      <c r="E10" s="23">
        <v>150</v>
      </c>
    </row>
    <row r="11" spans="2:5" x14ac:dyDescent="0.25">
      <c r="B11" s="3">
        <v>45496</v>
      </c>
      <c r="C11" s="2" t="s">
        <v>1249</v>
      </c>
      <c r="D11" s="2"/>
      <c r="E11" s="23"/>
    </row>
    <row r="12" spans="2:5" x14ac:dyDescent="0.25">
      <c r="B12" s="3">
        <v>45497</v>
      </c>
      <c r="C12" s="2" t="s">
        <v>1178</v>
      </c>
      <c r="D12" s="2"/>
      <c r="E12" s="23"/>
    </row>
    <row r="13" spans="2:5" x14ac:dyDescent="0.25">
      <c r="B13" s="3">
        <v>45501</v>
      </c>
      <c r="C13" s="2" t="s">
        <v>1166</v>
      </c>
      <c r="D13" s="2"/>
      <c r="E13" s="23"/>
    </row>
    <row r="14" spans="2:5" x14ac:dyDescent="0.25">
      <c r="B14" s="3">
        <v>45502</v>
      </c>
      <c r="C14" s="2" t="s">
        <v>1299</v>
      </c>
      <c r="D14" s="2"/>
      <c r="E14" s="23"/>
    </row>
    <row r="15" spans="2:5" x14ac:dyDescent="0.25">
      <c r="B15" s="3"/>
      <c r="C15" s="2"/>
      <c r="D15" s="2"/>
      <c r="E15" s="23"/>
    </row>
    <row r="16" spans="2:5" x14ac:dyDescent="0.25">
      <c r="B16" s="3"/>
      <c r="C16" s="2"/>
      <c r="D16" s="2"/>
      <c r="E16" s="23"/>
    </row>
    <row r="17" spans="2:5" x14ac:dyDescent="0.25">
      <c r="B17" s="3"/>
      <c r="C17" s="2"/>
      <c r="D17" s="2"/>
      <c r="E17" s="23"/>
    </row>
    <row r="18" spans="2:5" x14ac:dyDescent="0.25">
      <c r="B18" s="3"/>
      <c r="C18" s="2"/>
      <c r="D18" s="2"/>
      <c r="E18" s="23"/>
    </row>
    <row r="19" spans="2:5" x14ac:dyDescent="0.25">
      <c r="B19" s="3"/>
      <c r="C19" s="2"/>
      <c r="D19" s="2"/>
      <c r="E19" s="23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92D050"/>
  </sheetPr>
  <dimension ref="B2:H163"/>
  <sheetViews>
    <sheetView showGridLines="0" topLeftCell="A136" zoomScaleNormal="100" workbookViewId="0">
      <selection activeCell="D147" sqref="D147"/>
    </sheetView>
  </sheetViews>
  <sheetFormatPr defaultRowHeight="15" x14ac:dyDescent="0.25"/>
  <cols>
    <col min="2" max="2" width="18" bestFit="1" customWidth="1"/>
    <col min="3" max="3" width="52.85546875" customWidth="1"/>
    <col min="4" max="4" width="38.85546875" customWidth="1"/>
    <col min="5" max="5" width="7.85546875" customWidth="1"/>
    <col min="6" max="6" width="6.42578125" customWidth="1"/>
    <col min="7" max="7" width="11" bestFit="1" customWidth="1"/>
    <col min="8" max="8" width="45" customWidth="1"/>
  </cols>
  <sheetData>
    <row r="2" spans="2:8" x14ac:dyDescent="0.25">
      <c r="C2" t="s">
        <v>1881</v>
      </c>
    </row>
    <row r="4" spans="2:8" ht="15.75" x14ac:dyDescent="0.25">
      <c r="B4" s="10" t="s">
        <v>0</v>
      </c>
      <c r="C4" s="11" t="s">
        <v>1</v>
      </c>
      <c r="D4" s="11" t="s">
        <v>2</v>
      </c>
      <c r="E4" s="11" t="s">
        <v>934</v>
      </c>
      <c r="F4" s="11" t="s">
        <v>1095</v>
      </c>
      <c r="G4" s="11" t="s">
        <v>1507</v>
      </c>
      <c r="H4" s="11" t="s">
        <v>933</v>
      </c>
    </row>
    <row r="5" spans="2:8" x14ac:dyDescent="0.25">
      <c r="B5" s="3">
        <v>45488</v>
      </c>
      <c r="C5" s="2" t="s">
        <v>805</v>
      </c>
      <c r="D5" s="2"/>
      <c r="E5" s="23"/>
      <c r="F5" s="2"/>
      <c r="G5" s="2"/>
      <c r="H5" s="2"/>
    </row>
    <row r="6" spans="2:8" x14ac:dyDescent="0.25">
      <c r="B6" s="3">
        <v>45489</v>
      </c>
      <c r="C6" s="2" t="s">
        <v>1149</v>
      </c>
      <c r="D6" s="2"/>
      <c r="E6" s="23">
        <v>0</v>
      </c>
      <c r="F6" s="2"/>
      <c r="G6" s="2"/>
      <c r="H6" s="2"/>
    </row>
    <row r="7" spans="2:8" x14ac:dyDescent="0.25">
      <c r="B7" s="3">
        <v>45491</v>
      </c>
      <c r="C7" s="2" t="s">
        <v>1172</v>
      </c>
      <c r="D7" s="2"/>
      <c r="E7" s="23">
        <v>10</v>
      </c>
      <c r="F7" s="2">
        <f>E7-E6</f>
        <v>10</v>
      </c>
      <c r="G7" s="2"/>
      <c r="H7" s="2"/>
    </row>
    <row r="8" spans="2:8" x14ac:dyDescent="0.25">
      <c r="B8" s="3">
        <v>45492</v>
      </c>
      <c r="C8" s="2" t="s">
        <v>1185</v>
      </c>
      <c r="D8" s="2"/>
      <c r="E8" s="23">
        <v>13</v>
      </c>
      <c r="F8" s="2">
        <f t="shared" ref="F8:F71" si="0">E8-E7</f>
        <v>3</v>
      </c>
      <c r="G8" s="2"/>
      <c r="H8" s="2"/>
    </row>
    <row r="9" spans="2:8" x14ac:dyDescent="0.25">
      <c r="B9" s="3">
        <v>45494</v>
      </c>
      <c r="C9" s="2" t="s">
        <v>1186</v>
      </c>
      <c r="D9" s="2"/>
      <c r="E9" s="23">
        <v>21</v>
      </c>
      <c r="F9" s="2">
        <f t="shared" si="0"/>
        <v>8</v>
      </c>
      <c r="G9" s="2"/>
      <c r="H9" s="2"/>
    </row>
    <row r="10" spans="2:8" x14ac:dyDescent="0.25">
      <c r="B10" s="3">
        <v>45495</v>
      </c>
      <c r="C10" s="2" t="s">
        <v>1205</v>
      </c>
      <c r="D10" s="2"/>
      <c r="E10" s="23">
        <v>21</v>
      </c>
      <c r="F10" s="2">
        <f t="shared" si="0"/>
        <v>0</v>
      </c>
      <c r="G10" s="2"/>
      <c r="H10" s="2"/>
    </row>
    <row r="11" spans="2:8" x14ac:dyDescent="0.25">
      <c r="B11" s="3">
        <v>45496</v>
      </c>
      <c r="C11" s="2" t="s">
        <v>1231</v>
      </c>
      <c r="D11" s="2"/>
      <c r="E11" s="23">
        <v>21.5</v>
      </c>
      <c r="F11" s="2">
        <f t="shared" si="0"/>
        <v>0.5</v>
      </c>
      <c r="G11" s="2"/>
      <c r="H11" s="2"/>
    </row>
    <row r="12" spans="2:8" x14ac:dyDescent="0.25">
      <c r="B12" s="3">
        <v>45497</v>
      </c>
      <c r="C12" s="2" t="s">
        <v>1250</v>
      </c>
      <c r="D12" s="2"/>
      <c r="E12" s="23">
        <v>22.5</v>
      </c>
      <c r="F12" s="2">
        <f t="shared" si="0"/>
        <v>1</v>
      </c>
      <c r="G12" s="2"/>
      <c r="H12" s="2"/>
    </row>
    <row r="13" spans="2:8" x14ac:dyDescent="0.25">
      <c r="B13" s="3">
        <v>45498</v>
      </c>
      <c r="C13" s="2" t="s">
        <v>1261</v>
      </c>
      <c r="D13" s="2" t="s">
        <v>1262</v>
      </c>
      <c r="E13" s="23">
        <v>24</v>
      </c>
      <c r="F13" s="2">
        <f t="shared" si="0"/>
        <v>1.5</v>
      </c>
      <c r="G13" s="2"/>
      <c r="H13" s="2"/>
    </row>
    <row r="14" spans="2:8" x14ac:dyDescent="0.25">
      <c r="B14" s="3">
        <v>45499</v>
      </c>
      <c r="C14" s="2" t="s">
        <v>1271</v>
      </c>
      <c r="D14" s="2"/>
      <c r="E14" s="23">
        <v>25</v>
      </c>
      <c r="F14" s="2">
        <f t="shared" si="0"/>
        <v>1</v>
      </c>
      <c r="G14" s="2"/>
      <c r="H14" s="2"/>
    </row>
    <row r="15" spans="2:8" x14ac:dyDescent="0.25">
      <c r="B15" s="3">
        <v>45500</v>
      </c>
      <c r="C15" s="2" t="s">
        <v>1271</v>
      </c>
      <c r="D15" s="2"/>
      <c r="E15" s="23">
        <v>25</v>
      </c>
      <c r="F15" s="2">
        <f t="shared" si="0"/>
        <v>0</v>
      </c>
      <c r="G15" s="2"/>
      <c r="H15" s="2"/>
    </row>
    <row r="16" spans="2:8" x14ac:dyDescent="0.25">
      <c r="B16" s="3">
        <v>45501</v>
      </c>
      <c r="C16" s="2" t="s">
        <v>1292</v>
      </c>
      <c r="D16" s="2"/>
      <c r="E16" s="23">
        <v>25</v>
      </c>
      <c r="F16" s="2">
        <f t="shared" si="0"/>
        <v>0</v>
      </c>
      <c r="G16" s="2"/>
      <c r="H16" s="2"/>
    </row>
    <row r="17" spans="2:8" x14ac:dyDescent="0.25">
      <c r="B17" s="3">
        <v>45502</v>
      </c>
      <c r="C17" s="2" t="s">
        <v>1300</v>
      </c>
      <c r="D17" s="2"/>
      <c r="E17" s="23">
        <v>26.5</v>
      </c>
      <c r="F17" s="2">
        <f t="shared" si="0"/>
        <v>1.5</v>
      </c>
      <c r="G17" s="2"/>
      <c r="H17" s="2"/>
    </row>
    <row r="18" spans="2:8" x14ac:dyDescent="0.25">
      <c r="B18" s="3">
        <v>45503</v>
      </c>
      <c r="C18" s="2" t="s">
        <v>1314</v>
      </c>
      <c r="D18" s="2"/>
      <c r="E18" s="23">
        <v>27.2</v>
      </c>
      <c r="F18" s="2">
        <f t="shared" si="0"/>
        <v>0.69999999999999929</v>
      </c>
      <c r="G18" s="2"/>
      <c r="H18" s="2"/>
    </row>
    <row r="19" spans="2:8" x14ac:dyDescent="0.25">
      <c r="B19" s="3">
        <v>45504</v>
      </c>
      <c r="C19" s="2" t="s">
        <v>1322</v>
      </c>
      <c r="D19" s="2"/>
      <c r="E19" s="23">
        <v>27.8</v>
      </c>
      <c r="F19" s="2">
        <f t="shared" si="0"/>
        <v>0.60000000000000142</v>
      </c>
      <c r="G19" s="2"/>
      <c r="H19" s="2"/>
    </row>
    <row r="20" spans="2:8" x14ac:dyDescent="0.25">
      <c r="B20" s="3">
        <v>45505</v>
      </c>
      <c r="C20" s="2" t="s">
        <v>1332</v>
      </c>
      <c r="D20" s="2"/>
      <c r="E20" s="23">
        <v>28.2</v>
      </c>
      <c r="F20" s="2">
        <f t="shared" si="0"/>
        <v>0.39999999999999858</v>
      </c>
      <c r="G20" s="2"/>
      <c r="H20" s="2"/>
    </row>
    <row r="21" spans="2:8" x14ac:dyDescent="0.25">
      <c r="B21" s="3">
        <v>45506</v>
      </c>
      <c r="C21" s="2" t="s">
        <v>1344</v>
      </c>
      <c r="D21" s="2"/>
      <c r="E21" s="23">
        <v>28.2</v>
      </c>
      <c r="F21" s="2">
        <f t="shared" si="0"/>
        <v>0</v>
      </c>
      <c r="G21" s="2"/>
      <c r="H21" s="2"/>
    </row>
    <row r="22" spans="2:8" x14ac:dyDescent="0.25">
      <c r="B22" s="3">
        <v>45507</v>
      </c>
      <c r="C22" s="2" t="s">
        <v>1371</v>
      </c>
      <c r="D22" s="2"/>
      <c r="E22" s="23">
        <v>28.35</v>
      </c>
      <c r="F22" s="2">
        <f t="shared" si="0"/>
        <v>0.15000000000000213</v>
      </c>
      <c r="G22" s="2"/>
      <c r="H22" s="2"/>
    </row>
    <row r="23" spans="2:8" x14ac:dyDescent="0.25">
      <c r="B23" s="3">
        <v>45508</v>
      </c>
      <c r="C23" s="2" t="s">
        <v>1372</v>
      </c>
      <c r="D23" s="2" t="s">
        <v>1374</v>
      </c>
      <c r="E23" s="23">
        <v>28.58</v>
      </c>
      <c r="F23" s="2">
        <f t="shared" si="0"/>
        <v>0.22999999999999687</v>
      </c>
      <c r="G23" s="2"/>
      <c r="H23" s="2"/>
    </row>
    <row r="24" spans="2:8" x14ac:dyDescent="0.25">
      <c r="B24" s="3">
        <v>45509</v>
      </c>
      <c r="C24" s="2" t="s">
        <v>1387</v>
      </c>
      <c r="D24" s="2"/>
      <c r="E24" s="23">
        <v>29.58</v>
      </c>
      <c r="F24" s="2">
        <f t="shared" si="0"/>
        <v>1</v>
      </c>
      <c r="G24" s="2"/>
      <c r="H24" s="2"/>
    </row>
    <row r="25" spans="2:8" x14ac:dyDescent="0.25">
      <c r="B25" s="3">
        <v>45510</v>
      </c>
      <c r="C25" s="2" t="s">
        <v>1396</v>
      </c>
      <c r="D25" s="2"/>
      <c r="E25" s="23">
        <v>31</v>
      </c>
      <c r="F25" s="2">
        <f t="shared" si="0"/>
        <v>1.4200000000000017</v>
      </c>
      <c r="G25" s="2"/>
      <c r="H25" s="2"/>
    </row>
    <row r="26" spans="2:8" x14ac:dyDescent="0.25">
      <c r="B26" s="3">
        <v>45511</v>
      </c>
      <c r="C26" s="2" t="s">
        <v>1403</v>
      </c>
      <c r="D26" s="2" t="s">
        <v>1407</v>
      </c>
      <c r="E26" s="23">
        <v>32.1</v>
      </c>
      <c r="F26" s="2">
        <f t="shared" si="0"/>
        <v>1.1000000000000014</v>
      </c>
      <c r="G26" s="2"/>
      <c r="H26" s="2"/>
    </row>
    <row r="27" spans="2:8" x14ac:dyDescent="0.25">
      <c r="B27" s="3">
        <v>45512</v>
      </c>
      <c r="C27" s="2" t="s">
        <v>1416</v>
      </c>
      <c r="D27" s="2"/>
      <c r="E27" s="23">
        <v>32.25</v>
      </c>
      <c r="F27" s="2">
        <f t="shared" si="0"/>
        <v>0.14999999999999858</v>
      </c>
      <c r="G27" s="2"/>
      <c r="H27" s="2"/>
    </row>
    <row r="28" spans="2:8" x14ac:dyDescent="0.25">
      <c r="B28" s="3">
        <v>45513</v>
      </c>
      <c r="C28" s="2" t="s">
        <v>1416</v>
      </c>
      <c r="D28" s="2"/>
      <c r="E28" s="23">
        <v>32.4</v>
      </c>
      <c r="F28" s="2">
        <f t="shared" si="0"/>
        <v>0.14999999999999858</v>
      </c>
      <c r="G28" s="2"/>
      <c r="H28" s="2"/>
    </row>
    <row r="29" spans="2:8" x14ac:dyDescent="0.25">
      <c r="B29" s="3">
        <v>45514</v>
      </c>
      <c r="C29" s="2" t="s">
        <v>1416</v>
      </c>
      <c r="D29" s="2"/>
      <c r="E29" s="23">
        <v>32.549999999999997</v>
      </c>
      <c r="F29" s="2">
        <f t="shared" si="0"/>
        <v>0.14999999999999858</v>
      </c>
      <c r="G29" s="2"/>
      <c r="H29" s="2"/>
    </row>
    <row r="30" spans="2:8" x14ac:dyDescent="0.25">
      <c r="B30" s="3">
        <v>45515</v>
      </c>
      <c r="C30" s="2" t="s">
        <v>1442</v>
      </c>
      <c r="D30" s="2"/>
      <c r="E30" s="23">
        <v>32.65</v>
      </c>
      <c r="F30" s="2">
        <f t="shared" si="0"/>
        <v>0.10000000000000142</v>
      </c>
      <c r="G30" s="2"/>
      <c r="H30" s="2"/>
    </row>
    <row r="31" spans="2:8" x14ac:dyDescent="0.25">
      <c r="B31" s="3">
        <v>45516</v>
      </c>
      <c r="C31" s="2" t="s">
        <v>1452</v>
      </c>
      <c r="D31" s="2" t="s">
        <v>1451</v>
      </c>
      <c r="E31" s="23">
        <v>32.65</v>
      </c>
      <c r="F31" s="2">
        <f t="shared" si="0"/>
        <v>0</v>
      </c>
      <c r="G31" s="2"/>
      <c r="H31" s="2"/>
    </row>
    <row r="32" spans="2:8" x14ac:dyDescent="0.25">
      <c r="B32" s="3">
        <v>45517</v>
      </c>
      <c r="C32" s="2" t="s">
        <v>1470</v>
      </c>
      <c r="D32" s="2" t="s">
        <v>1471</v>
      </c>
      <c r="E32" s="23">
        <v>32.85</v>
      </c>
      <c r="F32" s="2">
        <f t="shared" si="0"/>
        <v>0.20000000000000284</v>
      </c>
      <c r="G32" s="2"/>
      <c r="H32" s="2"/>
    </row>
    <row r="33" spans="2:8" x14ac:dyDescent="0.25">
      <c r="B33" s="3">
        <v>45519</v>
      </c>
      <c r="C33" s="2" t="s">
        <v>1470</v>
      </c>
      <c r="D33" s="2" t="s">
        <v>1474</v>
      </c>
      <c r="E33" s="23">
        <v>32.85</v>
      </c>
      <c r="F33" s="2">
        <v>0.2</v>
      </c>
      <c r="G33" s="2"/>
      <c r="H33" s="2"/>
    </row>
    <row r="34" spans="2:8" x14ac:dyDescent="0.25">
      <c r="B34" s="3">
        <v>45520</v>
      </c>
      <c r="C34" s="2" t="s">
        <v>1520</v>
      </c>
      <c r="D34" s="2" t="s">
        <v>1488</v>
      </c>
      <c r="E34" s="23">
        <v>32.85</v>
      </c>
      <c r="F34" s="2">
        <v>0.2</v>
      </c>
      <c r="G34" s="2"/>
      <c r="H34" s="2"/>
    </row>
    <row r="35" spans="2:8" x14ac:dyDescent="0.25">
      <c r="B35" s="3">
        <v>45521</v>
      </c>
      <c r="C35" s="2" t="s">
        <v>480</v>
      </c>
      <c r="D35" s="2" t="s">
        <v>1489</v>
      </c>
      <c r="E35" s="23">
        <v>32.85</v>
      </c>
      <c r="F35" s="2">
        <f t="shared" si="0"/>
        <v>0</v>
      </c>
      <c r="G35" s="2"/>
      <c r="H35" s="2"/>
    </row>
    <row r="36" spans="2:8" x14ac:dyDescent="0.25">
      <c r="B36" s="3">
        <v>45522</v>
      </c>
      <c r="C36" s="2" t="s">
        <v>1521</v>
      </c>
      <c r="D36" s="2" t="s">
        <v>1490</v>
      </c>
      <c r="E36" s="23">
        <v>40</v>
      </c>
      <c r="F36" s="2">
        <f t="shared" si="0"/>
        <v>7.1499999999999986</v>
      </c>
      <c r="G36" s="2"/>
      <c r="H36" s="2"/>
    </row>
    <row r="37" spans="2:8" x14ac:dyDescent="0.25">
      <c r="B37" s="3">
        <v>45523</v>
      </c>
      <c r="C37" s="2" t="s">
        <v>1536</v>
      </c>
      <c r="D37" s="2" t="s">
        <v>1491</v>
      </c>
      <c r="E37" s="23">
        <v>40.5</v>
      </c>
      <c r="F37" s="2">
        <f t="shared" si="0"/>
        <v>0.5</v>
      </c>
      <c r="G37" s="2"/>
      <c r="H37" s="2"/>
    </row>
    <row r="38" spans="2:8" x14ac:dyDescent="0.25">
      <c r="B38" s="3">
        <v>45524</v>
      </c>
      <c r="C38" s="2" t="s">
        <v>1550</v>
      </c>
      <c r="D38" s="2"/>
      <c r="E38" s="23">
        <v>40.799999999999997</v>
      </c>
      <c r="F38" s="2">
        <f t="shared" si="0"/>
        <v>0.29999999999999716</v>
      </c>
      <c r="G38" s="2"/>
      <c r="H38" s="2"/>
    </row>
    <row r="39" spans="2:8" x14ac:dyDescent="0.25">
      <c r="B39" s="3">
        <v>45525</v>
      </c>
      <c r="C39" s="2" t="s">
        <v>1558</v>
      </c>
      <c r="D39" s="2"/>
      <c r="E39" s="23">
        <v>41</v>
      </c>
      <c r="F39" s="2">
        <f t="shared" si="0"/>
        <v>0.20000000000000284</v>
      </c>
      <c r="G39" s="2"/>
      <c r="H39" s="2"/>
    </row>
    <row r="40" spans="2:8" x14ac:dyDescent="0.25">
      <c r="B40" s="3">
        <v>45526</v>
      </c>
      <c r="C40" s="2" t="s">
        <v>1559</v>
      </c>
      <c r="D40" s="2"/>
      <c r="E40" s="23">
        <v>41</v>
      </c>
      <c r="F40" s="2">
        <f t="shared" si="0"/>
        <v>0</v>
      </c>
      <c r="G40" s="2"/>
      <c r="H40" s="2"/>
    </row>
    <row r="41" spans="2:8" x14ac:dyDescent="0.25">
      <c r="B41" s="3">
        <v>45527</v>
      </c>
      <c r="C41" s="2" t="s">
        <v>1559</v>
      </c>
      <c r="D41" s="2"/>
      <c r="E41" s="23">
        <v>41</v>
      </c>
      <c r="F41" s="2">
        <f t="shared" si="0"/>
        <v>0</v>
      </c>
      <c r="G41" s="2"/>
      <c r="H41" s="2"/>
    </row>
    <row r="42" spans="2:8" x14ac:dyDescent="0.25">
      <c r="B42" s="3">
        <v>45528</v>
      </c>
      <c r="C42" s="2" t="s">
        <v>1604</v>
      </c>
      <c r="D42" s="2"/>
      <c r="E42" s="23">
        <v>41.1</v>
      </c>
      <c r="F42" s="2">
        <f t="shared" si="0"/>
        <v>0.10000000000000142</v>
      </c>
      <c r="G42" s="2"/>
      <c r="H42" s="2"/>
    </row>
    <row r="43" spans="2:8" x14ac:dyDescent="0.25">
      <c r="B43" s="3">
        <v>45529</v>
      </c>
      <c r="C43" s="2" t="s">
        <v>1604</v>
      </c>
      <c r="D43" s="2"/>
      <c r="E43" s="23">
        <v>41.2</v>
      </c>
      <c r="F43" s="2">
        <f t="shared" si="0"/>
        <v>0.10000000000000142</v>
      </c>
      <c r="G43" s="2"/>
      <c r="H43" s="2"/>
    </row>
    <row r="44" spans="2:8" x14ac:dyDescent="0.25">
      <c r="B44" s="3">
        <v>45530</v>
      </c>
      <c r="C44" s="2" t="s">
        <v>1604</v>
      </c>
      <c r="D44" s="2"/>
      <c r="E44" s="23">
        <v>41.3</v>
      </c>
      <c r="F44" s="2">
        <f t="shared" si="0"/>
        <v>9.9999999999994316E-2</v>
      </c>
      <c r="G44" s="2"/>
      <c r="H44" s="2"/>
    </row>
    <row r="45" spans="2:8" x14ac:dyDescent="0.25">
      <c r="B45" s="3">
        <v>45531</v>
      </c>
      <c r="C45" s="2" t="s">
        <v>1630</v>
      </c>
      <c r="D45" s="2"/>
      <c r="E45" s="23">
        <v>41.3</v>
      </c>
      <c r="F45" s="2">
        <f t="shared" si="0"/>
        <v>0</v>
      </c>
      <c r="G45" s="2"/>
      <c r="H45" s="2"/>
    </row>
    <row r="46" spans="2:8" x14ac:dyDescent="0.25">
      <c r="B46" s="3">
        <v>45532</v>
      </c>
      <c r="C46" s="2" t="s">
        <v>1645</v>
      </c>
      <c r="D46" s="2"/>
      <c r="E46" s="23">
        <v>41.3</v>
      </c>
      <c r="F46" s="2">
        <f t="shared" si="0"/>
        <v>0</v>
      </c>
      <c r="G46" s="2"/>
      <c r="H46" s="2"/>
    </row>
    <row r="47" spans="2:8" x14ac:dyDescent="0.25">
      <c r="B47" s="3">
        <v>45533</v>
      </c>
      <c r="C47" s="2" t="s">
        <v>1655</v>
      </c>
      <c r="D47" s="2" t="s">
        <v>1667</v>
      </c>
      <c r="E47" s="23">
        <v>41.45</v>
      </c>
      <c r="F47" s="2">
        <f t="shared" si="0"/>
        <v>0.15000000000000568</v>
      </c>
      <c r="G47" s="2"/>
      <c r="H47" s="2"/>
    </row>
    <row r="48" spans="2:8" x14ac:dyDescent="0.25">
      <c r="B48" s="3">
        <v>45534</v>
      </c>
      <c r="C48" s="2" t="s">
        <v>1655</v>
      </c>
      <c r="D48" s="2"/>
      <c r="E48" s="23">
        <v>41.6</v>
      </c>
      <c r="F48" s="2">
        <f t="shared" si="0"/>
        <v>0.14999999999999858</v>
      </c>
      <c r="G48" s="2"/>
      <c r="H48" s="2"/>
    </row>
    <row r="49" spans="2:8" x14ac:dyDescent="0.25">
      <c r="B49" s="3">
        <v>45535</v>
      </c>
      <c r="C49" s="2" t="s">
        <v>1655</v>
      </c>
      <c r="D49" s="2"/>
      <c r="E49" s="23">
        <v>41.75</v>
      </c>
      <c r="F49" s="2">
        <f t="shared" si="0"/>
        <v>0.14999999999999858</v>
      </c>
      <c r="G49" s="2"/>
      <c r="H49" s="2"/>
    </row>
    <row r="50" spans="2:8" x14ac:dyDescent="0.25">
      <c r="B50" s="3">
        <v>45536</v>
      </c>
      <c r="C50" s="2" t="s">
        <v>1655</v>
      </c>
      <c r="D50" s="2"/>
      <c r="E50" s="23">
        <v>41.9</v>
      </c>
      <c r="F50" s="2">
        <f t="shared" si="0"/>
        <v>0.14999999999999858</v>
      </c>
      <c r="G50" s="2"/>
      <c r="H50" s="2"/>
    </row>
    <row r="51" spans="2:8" x14ac:dyDescent="0.25">
      <c r="B51" s="3">
        <v>45537</v>
      </c>
      <c r="C51" s="2" t="s">
        <v>1714</v>
      </c>
      <c r="D51" s="2"/>
      <c r="E51" s="23">
        <v>41.9</v>
      </c>
      <c r="F51" s="2">
        <f t="shared" si="0"/>
        <v>0</v>
      </c>
      <c r="G51" s="2"/>
      <c r="H51" s="2"/>
    </row>
    <row r="52" spans="2:8" x14ac:dyDescent="0.25">
      <c r="B52" s="3">
        <v>45538</v>
      </c>
      <c r="C52" s="2" t="s">
        <v>1604</v>
      </c>
      <c r="D52" s="2"/>
      <c r="E52" s="23">
        <v>42</v>
      </c>
      <c r="F52" s="2">
        <f t="shared" si="0"/>
        <v>0.10000000000000142</v>
      </c>
      <c r="G52" s="2"/>
      <c r="H52" s="2"/>
    </row>
    <row r="53" spans="2:8" x14ac:dyDescent="0.25">
      <c r="B53" s="3">
        <v>45539</v>
      </c>
      <c r="C53" s="2" t="s">
        <v>1737</v>
      </c>
      <c r="D53" s="2" t="s">
        <v>1738</v>
      </c>
      <c r="E53" s="23">
        <v>42</v>
      </c>
      <c r="F53" s="2">
        <f t="shared" si="0"/>
        <v>0</v>
      </c>
      <c r="G53" s="2"/>
      <c r="H53" s="2"/>
    </row>
    <row r="54" spans="2:8" x14ac:dyDescent="0.25">
      <c r="B54" s="3">
        <v>45540</v>
      </c>
      <c r="C54" s="2" t="s">
        <v>1784</v>
      </c>
      <c r="D54" s="2"/>
      <c r="E54" s="23">
        <v>42</v>
      </c>
      <c r="F54" s="2">
        <f t="shared" si="0"/>
        <v>0</v>
      </c>
      <c r="G54" s="2"/>
      <c r="H54" s="2"/>
    </row>
    <row r="55" spans="2:8" x14ac:dyDescent="0.25">
      <c r="B55" s="3">
        <v>45541</v>
      </c>
      <c r="C55" s="2" t="s">
        <v>1785</v>
      </c>
      <c r="D55" s="2"/>
      <c r="E55" s="23">
        <v>42</v>
      </c>
      <c r="F55" s="2">
        <f t="shared" si="0"/>
        <v>0</v>
      </c>
      <c r="G55" s="2"/>
      <c r="H55" s="2"/>
    </row>
    <row r="56" spans="2:8" x14ac:dyDescent="0.25">
      <c r="B56" s="3">
        <v>45542</v>
      </c>
      <c r="C56" s="2" t="s">
        <v>1800</v>
      </c>
      <c r="D56" s="2"/>
      <c r="E56" s="23">
        <v>0</v>
      </c>
      <c r="F56" s="2">
        <f t="shared" si="0"/>
        <v>-42</v>
      </c>
      <c r="G56" s="2"/>
      <c r="H56" s="2"/>
    </row>
    <row r="57" spans="2:8" x14ac:dyDescent="0.25">
      <c r="B57" s="3">
        <v>45543</v>
      </c>
      <c r="C57" s="2" t="s">
        <v>1799</v>
      </c>
      <c r="D57" s="2"/>
      <c r="E57" s="23">
        <v>35</v>
      </c>
      <c r="F57" s="2">
        <f t="shared" si="0"/>
        <v>35</v>
      </c>
      <c r="G57" s="2"/>
      <c r="H57" s="2"/>
    </row>
    <row r="58" spans="2:8" x14ac:dyDescent="0.25">
      <c r="B58" s="3">
        <v>45544</v>
      </c>
      <c r="C58" s="2" t="s">
        <v>1820</v>
      </c>
      <c r="D58" s="2"/>
      <c r="E58" s="23">
        <v>0</v>
      </c>
      <c r="F58" s="2">
        <f t="shared" si="0"/>
        <v>-35</v>
      </c>
      <c r="G58" s="2"/>
      <c r="H58" s="2"/>
    </row>
    <row r="59" spans="2:8" x14ac:dyDescent="0.25">
      <c r="B59" s="3">
        <v>45545</v>
      </c>
      <c r="C59" s="2" t="s">
        <v>1821</v>
      </c>
      <c r="D59" s="2"/>
      <c r="E59" s="23">
        <v>4</v>
      </c>
      <c r="F59" s="2">
        <f t="shared" si="0"/>
        <v>4</v>
      </c>
      <c r="G59" s="2"/>
      <c r="H59" s="2"/>
    </row>
    <row r="60" spans="2:8" x14ac:dyDescent="0.25">
      <c r="B60" s="3">
        <v>45546</v>
      </c>
      <c r="C60" s="2" t="s">
        <v>1842</v>
      </c>
      <c r="D60" s="2"/>
      <c r="E60" s="23">
        <v>39</v>
      </c>
      <c r="F60" s="2">
        <f t="shared" si="0"/>
        <v>35</v>
      </c>
      <c r="G60" s="2"/>
      <c r="H60" s="2"/>
    </row>
    <row r="61" spans="2:8" x14ac:dyDescent="0.25">
      <c r="B61" s="3">
        <v>45547</v>
      </c>
      <c r="C61" s="2" t="s">
        <v>1843</v>
      </c>
      <c r="D61" s="2"/>
      <c r="E61" s="23">
        <v>40</v>
      </c>
      <c r="F61" s="2">
        <f t="shared" si="0"/>
        <v>1</v>
      </c>
      <c r="G61" s="2"/>
      <c r="H61" s="2"/>
    </row>
    <row r="62" spans="2:8" x14ac:dyDescent="0.25">
      <c r="B62" s="3">
        <v>45548</v>
      </c>
      <c r="C62" s="2" t="s">
        <v>1865</v>
      </c>
      <c r="D62" s="2"/>
      <c r="E62" s="23">
        <v>42.1</v>
      </c>
      <c r="F62" s="2">
        <f t="shared" si="0"/>
        <v>2.1000000000000014</v>
      </c>
      <c r="G62" s="2"/>
      <c r="H62" s="2"/>
    </row>
    <row r="63" spans="2:8" x14ac:dyDescent="0.25">
      <c r="B63" s="3">
        <v>45549</v>
      </c>
      <c r="C63" s="2" t="s">
        <v>1893</v>
      </c>
      <c r="D63" s="2"/>
      <c r="E63" s="23">
        <v>42.4</v>
      </c>
      <c r="F63" s="2">
        <f t="shared" si="0"/>
        <v>0.29999999999999716</v>
      </c>
      <c r="G63" s="2"/>
      <c r="H63" s="2"/>
    </row>
    <row r="64" spans="2:8" x14ac:dyDescent="0.25">
      <c r="B64" s="3">
        <v>45550</v>
      </c>
      <c r="C64" s="2" t="s">
        <v>480</v>
      </c>
      <c r="D64" s="2"/>
      <c r="E64" s="23">
        <v>42.4</v>
      </c>
      <c r="F64" s="2">
        <f t="shared" si="0"/>
        <v>0</v>
      </c>
      <c r="G64" s="2"/>
      <c r="H64" s="2"/>
    </row>
    <row r="65" spans="2:8" x14ac:dyDescent="0.25">
      <c r="B65" s="3">
        <v>45551</v>
      </c>
      <c r="C65" s="2" t="s">
        <v>1894</v>
      </c>
      <c r="D65" s="2"/>
      <c r="E65" s="23">
        <v>42.7</v>
      </c>
      <c r="F65" s="2">
        <f t="shared" si="0"/>
        <v>0.30000000000000426</v>
      </c>
      <c r="G65" s="2"/>
      <c r="H65" s="2"/>
    </row>
    <row r="66" spans="2:8" x14ac:dyDescent="0.25">
      <c r="B66" s="3">
        <v>45552</v>
      </c>
      <c r="C66" s="2" t="s">
        <v>1913</v>
      </c>
      <c r="D66" s="2" t="s">
        <v>1914</v>
      </c>
      <c r="E66" s="23">
        <v>44.2</v>
      </c>
      <c r="F66" s="2">
        <f t="shared" si="0"/>
        <v>1.5</v>
      </c>
      <c r="G66" s="2"/>
      <c r="H66" s="2"/>
    </row>
    <row r="67" spans="2:8" x14ac:dyDescent="0.25">
      <c r="B67" s="3">
        <v>45553</v>
      </c>
      <c r="C67" s="2" t="s">
        <v>1924</v>
      </c>
      <c r="D67" s="2"/>
      <c r="E67" s="23">
        <v>45.2</v>
      </c>
      <c r="F67" s="2">
        <f t="shared" si="0"/>
        <v>1</v>
      </c>
      <c r="G67" s="2"/>
      <c r="H67" s="2"/>
    </row>
    <row r="68" spans="2:8" x14ac:dyDescent="0.25">
      <c r="B68" s="3">
        <v>45554</v>
      </c>
      <c r="C68" s="2" t="s">
        <v>1938</v>
      </c>
      <c r="D68" s="2"/>
      <c r="E68" s="23">
        <v>45.7</v>
      </c>
      <c r="F68" s="2">
        <f t="shared" si="0"/>
        <v>0.5</v>
      </c>
      <c r="G68" s="2"/>
      <c r="H68" s="2"/>
    </row>
    <row r="69" spans="2:8" x14ac:dyDescent="0.25">
      <c r="B69" s="3">
        <v>45555</v>
      </c>
      <c r="C69" s="2" t="s">
        <v>1954</v>
      </c>
      <c r="D69" s="2"/>
      <c r="E69" s="23">
        <v>46.2</v>
      </c>
      <c r="F69" s="2">
        <f t="shared" si="0"/>
        <v>0.5</v>
      </c>
      <c r="G69" s="2"/>
      <c r="H69" s="2"/>
    </row>
    <row r="70" spans="2:8" x14ac:dyDescent="0.25">
      <c r="B70" s="3">
        <v>45556</v>
      </c>
      <c r="C70" s="2" t="s">
        <v>1966</v>
      </c>
      <c r="D70" s="2"/>
      <c r="E70" s="23">
        <v>47</v>
      </c>
      <c r="F70" s="2">
        <f t="shared" si="0"/>
        <v>0.79999999999999716</v>
      </c>
      <c r="G70" s="2"/>
      <c r="H70" s="2"/>
    </row>
    <row r="71" spans="2:8" x14ac:dyDescent="0.25">
      <c r="B71" s="3">
        <v>45557</v>
      </c>
      <c r="C71" s="2" t="s">
        <v>1967</v>
      </c>
      <c r="D71" s="2"/>
      <c r="E71" s="23">
        <v>47.2</v>
      </c>
      <c r="F71" s="2">
        <f t="shared" si="0"/>
        <v>0.20000000000000284</v>
      </c>
      <c r="G71" s="2"/>
      <c r="H71" s="2"/>
    </row>
    <row r="72" spans="2:8" x14ac:dyDescent="0.25">
      <c r="B72" s="3">
        <v>45558</v>
      </c>
      <c r="C72" s="2" t="s">
        <v>1976</v>
      </c>
      <c r="D72" s="2"/>
      <c r="E72" s="23">
        <v>47.6</v>
      </c>
      <c r="F72" s="2">
        <f t="shared" ref="F72:F126" si="1">E72-E71</f>
        <v>0.39999999999999858</v>
      </c>
      <c r="G72" s="2"/>
      <c r="H72" s="2"/>
    </row>
    <row r="73" spans="2:8" x14ac:dyDescent="0.25">
      <c r="B73" s="3">
        <v>45559</v>
      </c>
      <c r="C73" s="2" t="s">
        <v>1985</v>
      </c>
      <c r="D73" s="2"/>
      <c r="E73" s="23">
        <v>48.1</v>
      </c>
      <c r="F73" s="2">
        <f t="shared" si="1"/>
        <v>0.5</v>
      </c>
      <c r="G73" s="2"/>
      <c r="H73" s="2"/>
    </row>
    <row r="74" spans="2:8" x14ac:dyDescent="0.25">
      <c r="B74" s="3">
        <v>45560</v>
      </c>
      <c r="C74" s="2" t="s">
        <v>1997</v>
      </c>
      <c r="D74" s="2"/>
      <c r="E74" s="23">
        <v>48.1</v>
      </c>
      <c r="F74" s="2">
        <f t="shared" si="1"/>
        <v>0</v>
      </c>
      <c r="G74" s="2"/>
      <c r="H74" s="2"/>
    </row>
    <row r="75" spans="2:8" x14ac:dyDescent="0.25">
      <c r="B75" s="3">
        <v>45561</v>
      </c>
      <c r="C75" s="2" t="s">
        <v>1985</v>
      </c>
      <c r="D75" s="2" t="s">
        <v>2006</v>
      </c>
      <c r="E75" s="23">
        <v>49.6</v>
      </c>
      <c r="F75" s="2">
        <f t="shared" si="1"/>
        <v>1.5</v>
      </c>
      <c r="G75" s="2"/>
      <c r="H75" s="2"/>
    </row>
    <row r="76" spans="2:8" x14ac:dyDescent="0.25">
      <c r="B76" s="3">
        <v>45562</v>
      </c>
      <c r="C76" s="2" t="s">
        <v>2018</v>
      </c>
      <c r="D76" s="2"/>
      <c r="E76" s="23">
        <v>52</v>
      </c>
      <c r="F76" s="2">
        <f t="shared" si="1"/>
        <v>2.3999999999999986</v>
      </c>
      <c r="G76" s="2"/>
      <c r="H76" s="2"/>
    </row>
    <row r="77" spans="2:8" x14ac:dyDescent="0.25">
      <c r="B77" s="3">
        <v>45563</v>
      </c>
      <c r="C77" s="2" t="s">
        <v>2035</v>
      </c>
      <c r="D77" s="2"/>
      <c r="E77" s="23">
        <v>52.8</v>
      </c>
      <c r="F77" s="2">
        <f t="shared" si="1"/>
        <v>0.79999999999999716</v>
      </c>
      <c r="G77" s="2"/>
      <c r="H77" s="2"/>
    </row>
    <row r="78" spans="2:8" x14ac:dyDescent="0.25">
      <c r="B78" s="3">
        <v>45564</v>
      </c>
      <c r="C78" s="2" t="s">
        <v>2036</v>
      </c>
      <c r="D78" s="2" t="s">
        <v>2037</v>
      </c>
      <c r="E78" s="23">
        <v>53.3</v>
      </c>
      <c r="F78" s="2">
        <f t="shared" si="1"/>
        <v>0.5</v>
      </c>
      <c r="G78" s="2"/>
      <c r="H78" s="2"/>
    </row>
    <row r="79" spans="2:8" x14ac:dyDescent="0.25">
      <c r="B79" s="3">
        <v>45565</v>
      </c>
      <c r="C79" s="2" t="s">
        <v>2050</v>
      </c>
      <c r="D79" s="2"/>
      <c r="E79" s="23">
        <v>53.3</v>
      </c>
      <c r="F79" s="2">
        <f t="shared" si="1"/>
        <v>0</v>
      </c>
      <c r="G79" s="2"/>
      <c r="H79" s="2"/>
    </row>
    <row r="80" spans="2:8" x14ac:dyDescent="0.25">
      <c r="B80" s="3">
        <v>45566</v>
      </c>
      <c r="C80" s="2" t="s">
        <v>2059</v>
      </c>
      <c r="D80" s="2"/>
      <c r="E80" s="23">
        <v>53.3</v>
      </c>
      <c r="F80" s="2">
        <f t="shared" si="1"/>
        <v>0</v>
      </c>
      <c r="G80" s="2"/>
      <c r="H80" s="2"/>
    </row>
    <row r="81" spans="2:8" x14ac:dyDescent="0.25">
      <c r="B81" s="3">
        <v>45567</v>
      </c>
      <c r="C81" s="2" t="s">
        <v>2072</v>
      </c>
      <c r="D81" s="2"/>
      <c r="E81" s="23">
        <v>53.5</v>
      </c>
      <c r="F81" s="2">
        <f t="shared" si="1"/>
        <v>0.20000000000000284</v>
      </c>
      <c r="G81" s="2"/>
      <c r="H81" s="2"/>
    </row>
    <row r="82" spans="2:8" x14ac:dyDescent="0.25">
      <c r="B82" s="3">
        <v>45568</v>
      </c>
      <c r="C82" s="2" t="s">
        <v>2087</v>
      </c>
      <c r="D82" s="2"/>
      <c r="E82" s="23">
        <v>55</v>
      </c>
      <c r="F82" s="2">
        <f t="shared" si="1"/>
        <v>1.5</v>
      </c>
      <c r="G82" s="2"/>
      <c r="H82" s="2"/>
    </row>
    <row r="83" spans="2:8" x14ac:dyDescent="0.25">
      <c r="B83" s="3">
        <v>45569</v>
      </c>
      <c r="C83" s="2" t="s">
        <v>2099</v>
      </c>
      <c r="D83" s="2"/>
      <c r="E83" s="23">
        <v>55.6</v>
      </c>
      <c r="F83" s="2">
        <f t="shared" si="1"/>
        <v>0.60000000000000142</v>
      </c>
      <c r="G83" s="2"/>
      <c r="H83" s="2"/>
    </row>
    <row r="84" spans="2:8" x14ac:dyDescent="0.25">
      <c r="B84" s="3">
        <v>45570</v>
      </c>
      <c r="C84" s="2" t="s">
        <v>2119</v>
      </c>
      <c r="D84" s="2"/>
      <c r="E84" s="23">
        <v>56.5</v>
      </c>
      <c r="F84" s="2">
        <f t="shared" si="1"/>
        <v>0.89999999999999858</v>
      </c>
      <c r="G84" s="2"/>
      <c r="H84" s="2"/>
    </row>
    <row r="85" spans="2:8" x14ac:dyDescent="0.25">
      <c r="B85" s="3">
        <v>45571</v>
      </c>
      <c r="C85" s="2" t="s">
        <v>2118</v>
      </c>
      <c r="D85" s="2"/>
      <c r="E85" s="23">
        <v>58</v>
      </c>
      <c r="F85" s="2">
        <f t="shared" si="1"/>
        <v>1.5</v>
      </c>
      <c r="G85" s="2"/>
      <c r="H85" s="2"/>
    </row>
    <row r="86" spans="2:8" x14ac:dyDescent="0.25">
      <c r="B86" s="3">
        <v>45572</v>
      </c>
      <c r="C86" s="2" t="s">
        <v>2131</v>
      </c>
      <c r="D86" s="2"/>
      <c r="E86" s="23">
        <v>60</v>
      </c>
      <c r="F86" s="2">
        <f t="shared" si="1"/>
        <v>2</v>
      </c>
      <c r="G86" s="2"/>
      <c r="H86" s="2"/>
    </row>
    <row r="87" spans="2:8" x14ac:dyDescent="0.25">
      <c r="B87" s="3">
        <v>45573</v>
      </c>
      <c r="C87" s="2" t="s">
        <v>2144</v>
      </c>
      <c r="D87" s="2"/>
      <c r="E87" s="23">
        <v>63</v>
      </c>
      <c r="F87" s="2">
        <f t="shared" si="1"/>
        <v>3</v>
      </c>
      <c r="G87" s="2"/>
      <c r="H87" s="2"/>
    </row>
    <row r="88" spans="2:8" x14ac:dyDescent="0.25">
      <c r="B88" s="3">
        <v>45574</v>
      </c>
      <c r="C88" s="2" t="s">
        <v>2156</v>
      </c>
      <c r="D88" s="2"/>
      <c r="E88" s="23">
        <v>64.3</v>
      </c>
      <c r="F88" s="2">
        <f t="shared" si="1"/>
        <v>1.2999999999999972</v>
      </c>
      <c r="G88" s="2"/>
      <c r="H88" s="2"/>
    </row>
    <row r="89" spans="2:8" x14ac:dyDescent="0.25">
      <c r="B89" s="3">
        <v>45575</v>
      </c>
      <c r="C89" s="2" t="s">
        <v>2167</v>
      </c>
      <c r="D89" s="2"/>
      <c r="E89" s="23">
        <v>65.5</v>
      </c>
      <c r="F89" s="2">
        <f t="shared" si="1"/>
        <v>1.2000000000000028</v>
      </c>
      <c r="G89" s="2"/>
      <c r="H89" s="2"/>
    </row>
    <row r="90" spans="2:8" x14ac:dyDescent="0.25">
      <c r="B90" s="3">
        <v>45576</v>
      </c>
      <c r="C90" s="2" t="s">
        <v>2173</v>
      </c>
      <c r="D90" s="2"/>
      <c r="E90" s="23">
        <v>65.8</v>
      </c>
      <c r="F90" s="2">
        <f t="shared" si="1"/>
        <v>0.29999999999999716</v>
      </c>
      <c r="G90" s="2"/>
      <c r="H90" s="2"/>
    </row>
    <row r="91" spans="2:8" x14ac:dyDescent="0.25">
      <c r="B91" s="3">
        <v>45577</v>
      </c>
      <c r="C91" s="2" t="s">
        <v>2193</v>
      </c>
      <c r="D91" s="2"/>
      <c r="E91" s="23">
        <v>66.900000000000006</v>
      </c>
      <c r="F91" s="2">
        <f t="shared" si="1"/>
        <v>1.1000000000000085</v>
      </c>
      <c r="G91" s="2"/>
      <c r="H91" s="2"/>
    </row>
    <row r="92" spans="2:8" x14ac:dyDescent="0.25">
      <c r="B92" s="3">
        <v>45578</v>
      </c>
      <c r="C92" s="2" t="s">
        <v>2194</v>
      </c>
      <c r="D92" s="2"/>
      <c r="E92" s="23">
        <v>66.900000000000006</v>
      </c>
      <c r="F92" s="2">
        <f t="shared" si="1"/>
        <v>0</v>
      </c>
      <c r="G92" s="2"/>
      <c r="H92" s="2"/>
    </row>
    <row r="93" spans="2:8" x14ac:dyDescent="0.25">
      <c r="B93" s="3">
        <v>45579</v>
      </c>
      <c r="C93" s="2" t="s">
        <v>2192</v>
      </c>
      <c r="D93" s="2"/>
      <c r="E93" s="23">
        <v>68.599999999999994</v>
      </c>
      <c r="F93" s="2">
        <f t="shared" si="1"/>
        <v>1.6999999999999886</v>
      </c>
      <c r="G93" s="2"/>
      <c r="H93" s="2"/>
    </row>
    <row r="94" spans="2:8" x14ac:dyDescent="0.25">
      <c r="B94" s="3">
        <v>45580</v>
      </c>
      <c r="C94" s="2" t="s">
        <v>2205</v>
      </c>
      <c r="D94" s="2"/>
      <c r="E94" s="23">
        <v>69.5</v>
      </c>
      <c r="F94" s="2">
        <f t="shared" si="1"/>
        <v>0.90000000000000568</v>
      </c>
      <c r="G94" s="2"/>
      <c r="H94" s="2"/>
    </row>
    <row r="95" spans="2:8" x14ac:dyDescent="0.25">
      <c r="B95" s="3">
        <v>45581</v>
      </c>
      <c r="C95" s="2" t="s">
        <v>2210</v>
      </c>
      <c r="D95" s="2"/>
      <c r="E95" s="23">
        <v>69.5</v>
      </c>
      <c r="F95" s="2">
        <f t="shared" si="1"/>
        <v>0</v>
      </c>
      <c r="G95" s="2"/>
      <c r="H95" s="2"/>
    </row>
    <row r="96" spans="2:8" x14ac:dyDescent="0.25">
      <c r="B96" s="3">
        <v>45582</v>
      </c>
      <c r="C96" s="2" t="s">
        <v>2221</v>
      </c>
      <c r="D96" s="2"/>
      <c r="E96" s="23">
        <v>69.5</v>
      </c>
      <c r="F96" s="2">
        <f t="shared" si="1"/>
        <v>0</v>
      </c>
      <c r="G96" s="2"/>
      <c r="H96" s="2"/>
    </row>
    <row r="97" spans="2:8" x14ac:dyDescent="0.25">
      <c r="B97" s="3">
        <v>45583</v>
      </c>
      <c r="C97" s="2" t="s">
        <v>2232</v>
      </c>
      <c r="D97" s="2"/>
      <c r="E97" s="23">
        <v>69.5</v>
      </c>
      <c r="F97" s="2">
        <f t="shared" si="1"/>
        <v>0</v>
      </c>
      <c r="G97" s="2"/>
      <c r="H97" s="2"/>
    </row>
    <row r="98" spans="2:8" x14ac:dyDescent="0.25">
      <c r="B98" s="3">
        <v>45584</v>
      </c>
      <c r="C98" s="2" t="s">
        <v>2248</v>
      </c>
      <c r="D98" s="2"/>
      <c r="E98" s="23">
        <v>70</v>
      </c>
      <c r="F98" s="2">
        <f t="shared" si="1"/>
        <v>0.5</v>
      </c>
      <c r="G98" s="2"/>
      <c r="H98" s="2"/>
    </row>
    <row r="99" spans="2:8" x14ac:dyDescent="0.25">
      <c r="B99" s="3">
        <v>45585</v>
      </c>
      <c r="C99" s="2" t="s">
        <v>2249</v>
      </c>
      <c r="D99" s="2"/>
      <c r="E99" s="23">
        <v>70.400000000000006</v>
      </c>
      <c r="F99" s="2">
        <f t="shared" si="1"/>
        <v>0.40000000000000568</v>
      </c>
      <c r="G99" s="2"/>
      <c r="H99" s="2"/>
    </row>
    <row r="100" spans="2:8" x14ac:dyDescent="0.25">
      <c r="B100" s="3">
        <v>45586</v>
      </c>
      <c r="C100" s="2" t="s">
        <v>2258</v>
      </c>
      <c r="D100" s="2"/>
      <c r="E100" s="23">
        <v>71.5</v>
      </c>
      <c r="F100" s="2">
        <f t="shared" si="1"/>
        <v>1.0999999999999943</v>
      </c>
      <c r="G100" s="2"/>
      <c r="H100" s="2"/>
    </row>
    <row r="101" spans="2:8" x14ac:dyDescent="0.25">
      <c r="B101" s="3">
        <v>45587</v>
      </c>
      <c r="C101" s="2" t="s">
        <v>2267</v>
      </c>
      <c r="D101" s="2"/>
      <c r="E101" s="23">
        <v>71.5</v>
      </c>
      <c r="F101" s="2">
        <f t="shared" si="1"/>
        <v>0</v>
      </c>
      <c r="G101" s="2"/>
      <c r="H101" s="2"/>
    </row>
    <row r="102" spans="2:8" x14ac:dyDescent="0.25">
      <c r="B102" s="3">
        <v>45588</v>
      </c>
      <c r="C102" s="2" t="s">
        <v>2283</v>
      </c>
      <c r="D102" s="2"/>
      <c r="E102" s="23">
        <v>72.400000000000006</v>
      </c>
      <c r="F102" s="2">
        <f t="shared" si="1"/>
        <v>0.90000000000000568</v>
      </c>
      <c r="G102" s="2"/>
      <c r="H102" s="2"/>
    </row>
    <row r="103" spans="2:8" x14ac:dyDescent="0.25">
      <c r="B103" s="3">
        <v>45589</v>
      </c>
      <c r="C103" s="2" t="s">
        <v>2295</v>
      </c>
      <c r="D103" s="2"/>
      <c r="E103" s="23">
        <v>73.5</v>
      </c>
      <c r="F103" s="2">
        <f t="shared" si="1"/>
        <v>1.0999999999999943</v>
      </c>
      <c r="G103" s="2"/>
      <c r="H103" s="2"/>
    </row>
    <row r="104" spans="2:8" x14ac:dyDescent="0.25">
      <c r="B104" s="3">
        <v>45590</v>
      </c>
      <c r="C104" s="2" t="s">
        <v>2306</v>
      </c>
      <c r="D104" s="2"/>
      <c r="E104" s="23">
        <v>75</v>
      </c>
      <c r="F104" s="2">
        <f t="shared" si="1"/>
        <v>1.5</v>
      </c>
      <c r="G104" s="2"/>
      <c r="H104" s="2"/>
    </row>
    <row r="105" spans="2:8" x14ac:dyDescent="0.25">
      <c r="B105" s="3">
        <v>45591</v>
      </c>
      <c r="C105" s="2" t="s">
        <v>2324</v>
      </c>
      <c r="D105" s="2"/>
      <c r="E105" s="23">
        <v>75</v>
      </c>
      <c r="F105" s="2">
        <f t="shared" si="1"/>
        <v>0</v>
      </c>
      <c r="G105" s="2"/>
      <c r="H105" s="2"/>
    </row>
    <row r="106" spans="2:8" x14ac:dyDescent="0.25">
      <c r="B106" s="3">
        <v>45592</v>
      </c>
      <c r="C106" s="2" t="s">
        <v>2339</v>
      </c>
      <c r="D106" s="2"/>
      <c r="E106" s="23">
        <v>75</v>
      </c>
      <c r="F106" s="2">
        <f t="shared" si="1"/>
        <v>0</v>
      </c>
      <c r="G106" s="2"/>
      <c r="H106" s="2"/>
    </row>
    <row r="107" spans="2:8" x14ac:dyDescent="0.25">
      <c r="B107" s="3">
        <v>45593</v>
      </c>
      <c r="C107" s="2" t="s">
        <v>2339</v>
      </c>
      <c r="D107" s="2"/>
      <c r="E107" s="23">
        <v>75</v>
      </c>
      <c r="F107" s="2">
        <f t="shared" si="1"/>
        <v>0</v>
      </c>
      <c r="G107" s="2"/>
      <c r="H107" s="2"/>
    </row>
    <row r="108" spans="2:8" x14ac:dyDescent="0.25">
      <c r="B108" s="3">
        <v>45594</v>
      </c>
      <c r="C108" s="2" t="s">
        <v>2339</v>
      </c>
      <c r="D108" s="2"/>
      <c r="E108" s="23">
        <v>75</v>
      </c>
      <c r="F108" s="2">
        <f t="shared" si="1"/>
        <v>0</v>
      </c>
      <c r="G108" s="2"/>
      <c r="H108" s="2"/>
    </row>
    <row r="109" spans="2:8" x14ac:dyDescent="0.25">
      <c r="B109" s="3">
        <v>45595</v>
      </c>
      <c r="C109" s="2" t="s">
        <v>2339</v>
      </c>
      <c r="D109" s="2"/>
      <c r="E109" s="23">
        <v>75</v>
      </c>
      <c r="F109" s="2">
        <f t="shared" si="1"/>
        <v>0</v>
      </c>
      <c r="G109" s="2"/>
      <c r="H109" s="2"/>
    </row>
    <row r="110" spans="2:8" x14ac:dyDescent="0.25">
      <c r="B110" s="3">
        <v>45596</v>
      </c>
      <c r="C110" s="2" t="s">
        <v>2339</v>
      </c>
      <c r="D110" s="2"/>
      <c r="E110" s="23">
        <v>75</v>
      </c>
      <c r="F110" s="2">
        <f t="shared" si="1"/>
        <v>0</v>
      </c>
      <c r="G110" s="2"/>
      <c r="H110" s="2"/>
    </row>
    <row r="111" spans="2:8" x14ac:dyDescent="0.25">
      <c r="B111" s="3">
        <v>45597</v>
      </c>
      <c r="C111" s="2" t="s">
        <v>2339</v>
      </c>
      <c r="D111" s="2"/>
      <c r="E111" s="23">
        <v>75</v>
      </c>
      <c r="F111" s="2">
        <f t="shared" si="1"/>
        <v>0</v>
      </c>
      <c r="G111" s="2"/>
      <c r="H111" s="2"/>
    </row>
    <row r="112" spans="2:8" x14ac:dyDescent="0.25">
      <c r="B112" s="3">
        <v>45598</v>
      </c>
      <c r="C112" s="2" t="s">
        <v>2339</v>
      </c>
      <c r="D112" s="2"/>
      <c r="E112" s="23">
        <v>75</v>
      </c>
      <c r="F112" s="2">
        <f t="shared" si="1"/>
        <v>0</v>
      </c>
      <c r="G112" s="2"/>
      <c r="H112" s="2"/>
    </row>
    <row r="113" spans="2:8" x14ac:dyDescent="0.25">
      <c r="B113" s="3">
        <v>45599</v>
      </c>
      <c r="C113" s="2" t="s">
        <v>2339</v>
      </c>
      <c r="D113" s="2"/>
      <c r="E113" s="23">
        <v>75</v>
      </c>
      <c r="F113" s="2">
        <f t="shared" si="1"/>
        <v>0</v>
      </c>
      <c r="G113" s="2"/>
      <c r="H113" s="2"/>
    </row>
    <row r="114" spans="2:8" x14ac:dyDescent="0.25">
      <c r="B114" s="3">
        <v>45600</v>
      </c>
      <c r="C114" s="2" t="s">
        <v>2339</v>
      </c>
      <c r="D114" s="2"/>
      <c r="E114" s="23">
        <v>75</v>
      </c>
      <c r="F114" s="2">
        <f t="shared" si="1"/>
        <v>0</v>
      </c>
      <c r="G114" s="2"/>
      <c r="H114" s="2"/>
    </row>
    <row r="115" spans="2:8" x14ac:dyDescent="0.25">
      <c r="B115" s="3">
        <v>45601</v>
      </c>
      <c r="C115" s="2" t="s">
        <v>2339</v>
      </c>
      <c r="D115" s="2"/>
      <c r="E115" s="23">
        <v>75</v>
      </c>
      <c r="F115" s="2">
        <f t="shared" si="1"/>
        <v>0</v>
      </c>
      <c r="G115" s="2"/>
      <c r="H115" s="2"/>
    </row>
    <row r="116" spans="2:8" x14ac:dyDescent="0.25">
      <c r="B116" s="3">
        <v>45602</v>
      </c>
      <c r="C116" s="2" t="s">
        <v>2339</v>
      </c>
      <c r="D116" s="2"/>
      <c r="E116" s="23">
        <v>75</v>
      </c>
      <c r="F116" s="2">
        <f t="shared" si="1"/>
        <v>0</v>
      </c>
      <c r="G116" s="2"/>
      <c r="H116" s="2"/>
    </row>
    <row r="117" spans="2:8" x14ac:dyDescent="0.25">
      <c r="B117" s="3">
        <v>45603</v>
      </c>
      <c r="C117" s="2"/>
      <c r="D117" s="2"/>
      <c r="E117" s="23">
        <v>75</v>
      </c>
      <c r="F117" s="2">
        <f t="shared" si="1"/>
        <v>0</v>
      </c>
      <c r="G117" s="2"/>
      <c r="H117" s="2"/>
    </row>
    <row r="118" spans="2:8" x14ac:dyDescent="0.25">
      <c r="B118" s="3">
        <v>45604</v>
      </c>
      <c r="C118" s="2"/>
      <c r="D118" s="2"/>
      <c r="E118" s="23">
        <v>75</v>
      </c>
      <c r="F118" s="2">
        <f t="shared" si="1"/>
        <v>0</v>
      </c>
      <c r="G118" s="2"/>
      <c r="H118" s="2"/>
    </row>
    <row r="119" spans="2:8" x14ac:dyDescent="0.25">
      <c r="B119" s="3">
        <v>45605</v>
      </c>
      <c r="C119" s="2"/>
      <c r="D119" s="2"/>
      <c r="E119" s="23">
        <v>75</v>
      </c>
      <c r="F119" s="2">
        <f t="shared" si="1"/>
        <v>0</v>
      </c>
      <c r="G119" s="2"/>
      <c r="H119" s="2"/>
    </row>
    <row r="120" spans="2:8" x14ac:dyDescent="0.25">
      <c r="B120" s="3">
        <v>45606</v>
      </c>
      <c r="C120" s="2" t="s">
        <v>2468</v>
      </c>
      <c r="D120" s="2"/>
      <c r="E120" s="23">
        <v>75</v>
      </c>
      <c r="F120" s="2">
        <f t="shared" si="1"/>
        <v>0</v>
      </c>
      <c r="G120" s="2"/>
      <c r="H120" s="2"/>
    </row>
    <row r="121" spans="2:8" x14ac:dyDescent="0.25">
      <c r="B121" s="3">
        <v>45607</v>
      </c>
      <c r="C121" s="2" t="s">
        <v>2488</v>
      </c>
      <c r="D121" s="2"/>
      <c r="E121" s="23">
        <v>75</v>
      </c>
      <c r="F121" s="2">
        <f t="shared" si="1"/>
        <v>0</v>
      </c>
      <c r="G121" s="2"/>
      <c r="H121" s="2"/>
    </row>
    <row r="122" spans="2:8" x14ac:dyDescent="0.25">
      <c r="B122" s="3">
        <v>45608</v>
      </c>
      <c r="C122" s="2" t="s">
        <v>2490</v>
      </c>
      <c r="D122" s="2"/>
      <c r="E122" s="23">
        <v>75</v>
      </c>
      <c r="F122" s="2">
        <f t="shared" si="1"/>
        <v>0</v>
      </c>
      <c r="G122" s="2"/>
      <c r="H122" s="2"/>
    </row>
    <row r="123" spans="2:8" x14ac:dyDescent="0.25">
      <c r="B123" s="3">
        <v>45609</v>
      </c>
      <c r="C123" s="2" t="s">
        <v>2501</v>
      </c>
      <c r="D123" s="2"/>
      <c r="E123" s="23">
        <v>75</v>
      </c>
      <c r="F123" s="2">
        <f t="shared" si="1"/>
        <v>0</v>
      </c>
      <c r="G123" s="2"/>
      <c r="H123" s="2"/>
    </row>
    <row r="124" spans="2:8" x14ac:dyDescent="0.25">
      <c r="B124" s="3">
        <v>45610</v>
      </c>
      <c r="C124" s="2" t="s">
        <v>2507</v>
      </c>
      <c r="D124" s="2"/>
      <c r="E124" s="23">
        <v>75</v>
      </c>
      <c r="F124" s="2">
        <f t="shared" si="1"/>
        <v>0</v>
      </c>
      <c r="G124" s="2"/>
      <c r="H124" s="2"/>
    </row>
    <row r="125" spans="2:8" x14ac:dyDescent="0.25">
      <c r="B125" s="3">
        <v>45611</v>
      </c>
      <c r="C125" s="2" t="s">
        <v>2525</v>
      </c>
      <c r="D125" s="2"/>
      <c r="E125" s="23">
        <v>75</v>
      </c>
      <c r="F125" s="2">
        <f t="shared" si="1"/>
        <v>0</v>
      </c>
      <c r="G125" s="2"/>
      <c r="H125" s="2"/>
    </row>
    <row r="126" spans="2:8" x14ac:dyDescent="0.25">
      <c r="B126" s="3">
        <v>45612</v>
      </c>
      <c r="C126" s="2" t="s">
        <v>2525</v>
      </c>
      <c r="D126" s="2"/>
      <c r="E126" s="2"/>
      <c r="F126" s="2">
        <f t="shared" si="1"/>
        <v>-75</v>
      </c>
      <c r="G126" s="2"/>
      <c r="H126" s="2"/>
    </row>
    <row r="127" spans="2:8" x14ac:dyDescent="0.25">
      <c r="B127" s="3">
        <v>45613</v>
      </c>
      <c r="C127" s="2" t="s">
        <v>2525</v>
      </c>
      <c r="D127" s="2"/>
      <c r="E127" s="2"/>
      <c r="F127" s="2"/>
      <c r="G127" s="2"/>
      <c r="H127" s="2"/>
    </row>
    <row r="128" spans="2:8" x14ac:dyDescent="0.25">
      <c r="B128" s="3">
        <v>45614</v>
      </c>
      <c r="C128" s="2"/>
      <c r="D128" s="2"/>
      <c r="E128" s="2"/>
      <c r="F128" s="2"/>
      <c r="G128" s="2"/>
      <c r="H128" s="2"/>
    </row>
    <row r="129" spans="2:8" x14ac:dyDescent="0.25">
      <c r="B129" s="3">
        <v>45615</v>
      </c>
      <c r="C129" s="2" t="s">
        <v>2563</v>
      </c>
      <c r="D129" s="2"/>
      <c r="E129" s="2"/>
      <c r="F129" s="2"/>
      <c r="G129" s="2"/>
      <c r="H129" s="2"/>
    </row>
    <row r="130" spans="2:8" x14ac:dyDescent="0.25">
      <c r="B130" s="3">
        <v>45616</v>
      </c>
      <c r="C130" s="2"/>
      <c r="D130" s="2"/>
      <c r="E130" s="2"/>
      <c r="F130" s="2"/>
      <c r="G130" s="2"/>
      <c r="H130" s="2"/>
    </row>
    <row r="131" spans="2:8" x14ac:dyDescent="0.25">
      <c r="B131" s="3">
        <v>45617</v>
      </c>
      <c r="C131" s="2"/>
      <c r="D131" s="2"/>
      <c r="E131" s="2"/>
      <c r="F131" s="2"/>
      <c r="G131" s="2"/>
      <c r="H131" s="2"/>
    </row>
    <row r="132" spans="2:8" x14ac:dyDescent="0.25">
      <c r="B132" s="3">
        <v>45618</v>
      </c>
      <c r="C132" s="2" t="s">
        <v>2588</v>
      </c>
      <c r="D132" s="2"/>
      <c r="E132" s="2"/>
      <c r="F132" s="2"/>
      <c r="G132" s="2"/>
      <c r="H132" s="2"/>
    </row>
    <row r="133" spans="2:8" x14ac:dyDescent="0.25">
      <c r="B133" s="3">
        <v>45619</v>
      </c>
      <c r="C133" s="2"/>
      <c r="D133" s="2"/>
      <c r="E133" s="2"/>
      <c r="F133" s="2"/>
      <c r="G133" s="2"/>
      <c r="H133" s="2"/>
    </row>
    <row r="134" spans="2:8" x14ac:dyDescent="0.25">
      <c r="B134" s="3">
        <v>45620</v>
      </c>
      <c r="C134" s="2"/>
      <c r="D134" s="2"/>
      <c r="E134" s="2"/>
      <c r="F134" s="2"/>
      <c r="G134" s="2"/>
      <c r="H134" s="2"/>
    </row>
    <row r="135" spans="2:8" x14ac:dyDescent="0.25">
      <c r="B135" s="3">
        <v>45621</v>
      </c>
      <c r="C135" s="2" t="s">
        <v>2612</v>
      </c>
      <c r="D135" s="2"/>
      <c r="E135" s="2"/>
      <c r="F135" s="2"/>
      <c r="G135" s="2"/>
      <c r="H135" s="2"/>
    </row>
    <row r="136" spans="2:8" x14ac:dyDescent="0.25">
      <c r="B136" s="3">
        <v>45622</v>
      </c>
      <c r="C136" s="2" t="s">
        <v>1166</v>
      </c>
      <c r="D136" s="2"/>
      <c r="E136" s="2"/>
      <c r="F136" s="2"/>
      <c r="G136" s="2"/>
      <c r="H136" s="2"/>
    </row>
    <row r="137" spans="2:8" x14ac:dyDescent="0.25">
      <c r="B137" s="3">
        <v>45623</v>
      </c>
      <c r="C137" s="2"/>
      <c r="D137" s="2"/>
      <c r="E137" s="2"/>
      <c r="F137" s="2"/>
      <c r="G137" s="2"/>
      <c r="H137" s="2"/>
    </row>
    <row r="138" spans="2:8" x14ac:dyDescent="0.25">
      <c r="B138" s="3">
        <v>45624</v>
      </c>
      <c r="C138" s="2" t="s">
        <v>2635</v>
      </c>
      <c r="D138" s="2"/>
      <c r="E138" s="2"/>
      <c r="F138" s="2"/>
      <c r="G138" s="2"/>
      <c r="H138" s="2"/>
    </row>
    <row r="139" spans="2:8" x14ac:dyDescent="0.25">
      <c r="B139" s="3">
        <v>45625</v>
      </c>
      <c r="C139" s="2"/>
      <c r="D139" s="2"/>
      <c r="E139" s="2"/>
      <c r="F139" s="2"/>
      <c r="G139" s="2"/>
      <c r="H139" s="2"/>
    </row>
    <row r="140" spans="2:8" x14ac:dyDescent="0.25">
      <c r="B140" s="3">
        <v>45626</v>
      </c>
      <c r="C140" s="2" t="s">
        <v>2644</v>
      </c>
      <c r="D140" s="2"/>
      <c r="E140" s="2"/>
      <c r="F140" s="2"/>
      <c r="G140" s="2"/>
      <c r="H140" s="2"/>
    </row>
    <row r="141" spans="2:8" x14ac:dyDescent="0.25">
      <c r="B141" s="3">
        <v>45627</v>
      </c>
      <c r="C141" s="2"/>
      <c r="D141" s="2"/>
      <c r="E141" s="2"/>
      <c r="F141" s="2"/>
      <c r="G141" s="2"/>
      <c r="H141" s="2"/>
    </row>
    <row r="142" spans="2:8" x14ac:dyDescent="0.25">
      <c r="B142" s="3">
        <v>45628</v>
      </c>
      <c r="C142" s="2"/>
      <c r="D142" s="2"/>
      <c r="E142" s="2"/>
      <c r="F142" s="2"/>
      <c r="G142" s="2"/>
      <c r="H142" s="2"/>
    </row>
    <row r="143" spans="2:8" x14ac:dyDescent="0.25">
      <c r="B143" s="3">
        <v>45629</v>
      </c>
      <c r="C143" s="2"/>
      <c r="D143" s="2"/>
      <c r="E143" s="2"/>
      <c r="F143" s="2"/>
      <c r="G143" s="2"/>
      <c r="H143" s="2"/>
    </row>
    <row r="144" spans="2:8" x14ac:dyDescent="0.25">
      <c r="B144" s="3">
        <v>45630</v>
      </c>
      <c r="C144" s="2"/>
      <c r="D144" s="2"/>
      <c r="E144" s="2"/>
      <c r="F144" s="2"/>
      <c r="G144" s="2"/>
      <c r="H144" s="2"/>
    </row>
    <row r="145" spans="2:8" x14ac:dyDescent="0.25">
      <c r="B145" s="3">
        <v>45631</v>
      </c>
      <c r="C145" s="2"/>
      <c r="D145" s="2"/>
      <c r="E145" s="2"/>
      <c r="F145" s="2"/>
      <c r="G145" s="2"/>
      <c r="H145" s="2"/>
    </row>
    <row r="146" spans="2:8" x14ac:dyDescent="0.25">
      <c r="B146" s="2"/>
      <c r="C146" s="2"/>
      <c r="D146" s="2"/>
      <c r="E146" s="2"/>
      <c r="F146" s="2"/>
      <c r="G146" s="2"/>
      <c r="H146" s="2"/>
    </row>
    <row r="147" spans="2:8" x14ac:dyDescent="0.25">
      <c r="B147" s="2"/>
      <c r="C147" s="2"/>
      <c r="D147" s="2"/>
      <c r="E147" s="2"/>
      <c r="F147" s="2"/>
      <c r="G147" s="2"/>
      <c r="H147" s="2"/>
    </row>
    <row r="148" spans="2:8" x14ac:dyDescent="0.25">
      <c r="B148" s="2"/>
      <c r="C148" s="2"/>
      <c r="D148" s="2"/>
      <c r="E148" s="2"/>
      <c r="F148" s="2"/>
      <c r="G148" s="2"/>
      <c r="H148" s="2"/>
    </row>
    <row r="149" spans="2:8" x14ac:dyDescent="0.25">
      <c r="B149" s="2"/>
      <c r="C149" s="2"/>
      <c r="D149" s="2"/>
      <c r="E149" s="2"/>
      <c r="F149" s="2"/>
      <c r="G149" s="2"/>
      <c r="H149" s="2"/>
    </row>
    <row r="150" spans="2:8" x14ac:dyDescent="0.25">
      <c r="B150" s="2"/>
      <c r="C150" s="2"/>
      <c r="D150" s="2"/>
      <c r="E150" s="2"/>
      <c r="F150" s="2"/>
      <c r="G150" s="2"/>
      <c r="H150" s="2"/>
    </row>
    <row r="151" spans="2:8" x14ac:dyDescent="0.25">
      <c r="B151" s="2"/>
      <c r="C151" s="2"/>
      <c r="D151" s="2"/>
      <c r="E151" s="2"/>
      <c r="F151" s="2"/>
      <c r="G151" s="2"/>
      <c r="H151" s="2"/>
    </row>
    <row r="152" spans="2:8" x14ac:dyDescent="0.25">
      <c r="B152" s="2"/>
      <c r="C152" s="2"/>
      <c r="D152" s="2"/>
      <c r="E152" s="2"/>
      <c r="F152" s="2"/>
      <c r="G152" s="2"/>
      <c r="H152" s="2"/>
    </row>
    <row r="153" spans="2:8" x14ac:dyDescent="0.25">
      <c r="B153" s="2"/>
      <c r="C153" s="2"/>
      <c r="D153" s="2"/>
      <c r="E153" s="2"/>
      <c r="F153" s="2"/>
      <c r="G153" s="2"/>
      <c r="H153" s="2"/>
    </row>
    <row r="154" spans="2:8" x14ac:dyDescent="0.25">
      <c r="B154" s="2"/>
      <c r="C154" s="2"/>
      <c r="D154" s="2"/>
      <c r="E154" s="2"/>
      <c r="F154" s="2"/>
      <c r="G154" s="2"/>
      <c r="H154" s="2"/>
    </row>
    <row r="155" spans="2:8" x14ac:dyDescent="0.25">
      <c r="B155" s="2"/>
      <c r="C155" s="2"/>
      <c r="D155" s="2"/>
      <c r="E155" s="2"/>
      <c r="F155" s="2"/>
      <c r="G155" s="2"/>
      <c r="H155" s="2"/>
    </row>
    <row r="156" spans="2:8" x14ac:dyDescent="0.25">
      <c r="B156" s="2"/>
      <c r="C156" s="2"/>
      <c r="D156" s="2"/>
      <c r="E156" s="2"/>
      <c r="F156" s="2"/>
      <c r="G156" s="2"/>
      <c r="H156" s="2"/>
    </row>
    <row r="157" spans="2:8" x14ac:dyDescent="0.25">
      <c r="B157" s="2"/>
      <c r="C157" s="2"/>
      <c r="D157" s="2"/>
      <c r="E157" s="2"/>
      <c r="F157" s="2"/>
      <c r="G157" s="2"/>
      <c r="H157" s="2"/>
    </row>
    <row r="158" spans="2:8" x14ac:dyDescent="0.25">
      <c r="B158" s="2"/>
      <c r="C158" s="2"/>
      <c r="D158" s="2"/>
      <c r="E158" s="2"/>
      <c r="F158" s="2"/>
      <c r="G158" s="2"/>
      <c r="H158" s="2"/>
    </row>
    <row r="159" spans="2:8" x14ac:dyDescent="0.25">
      <c r="B159" s="2"/>
      <c r="C159" s="2"/>
      <c r="D159" s="2"/>
      <c r="E159" s="2"/>
      <c r="F159" s="2"/>
      <c r="G159" s="2"/>
      <c r="H159" s="2"/>
    </row>
    <row r="160" spans="2:8" x14ac:dyDescent="0.25">
      <c r="B160" s="2"/>
      <c r="C160" s="2"/>
      <c r="D160" s="2"/>
      <c r="E160" s="2"/>
      <c r="F160" s="2"/>
      <c r="G160" s="2"/>
      <c r="H160" s="2"/>
    </row>
    <row r="161" spans="2:8" x14ac:dyDescent="0.25">
      <c r="B161" s="2"/>
      <c r="C161" s="2"/>
      <c r="D161" s="2"/>
      <c r="E161" s="2"/>
      <c r="F161" s="2"/>
      <c r="G161" s="2"/>
      <c r="H161" s="2"/>
    </row>
    <row r="162" spans="2:8" x14ac:dyDescent="0.25">
      <c r="B162" s="2"/>
      <c r="C162" s="2"/>
      <c r="D162" s="2"/>
      <c r="E162" s="2"/>
      <c r="F162" s="2"/>
      <c r="G162" s="2"/>
      <c r="H162" s="2"/>
    </row>
    <row r="163" spans="2:8" x14ac:dyDescent="0.25">
      <c r="B163" s="2"/>
      <c r="C163" s="2"/>
      <c r="D163" s="2"/>
      <c r="E163" s="2"/>
      <c r="F163" s="2"/>
      <c r="G163" s="2"/>
      <c r="H163" s="2"/>
    </row>
  </sheetData>
  <pageMargins left="0.7" right="0.7" top="0.75" bottom="0.75" header="0.3" footer="0.3"/>
  <pageSetup paperSize="9" orientation="landscape" horizontalDpi="4294967293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92D050"/>
  </sheetPr>
  <dimension ref="B4:G50"/>
  <sheetViews>
    <sheetView topLeftCell="A34" workbookViewId="0">
      <selection activeCell="C40" sqref="C40"/>
    </sheetView>
  </sheetViews>
  <sheetFormatPr defaultRowHeight="15" x14ac:dyDescent="0.25"/>
  <cols>
    <col min="2" max="2" width="18" bestFit="1" customWidth="1"/>
    <col min="3" max="3" width="72" bestFit="1" customWidth="1"/>
    <col min="4" max="4" width="44.5703125" bestFit="1" customWidth="1"/>
    <col min="5" max="5" width="11.85546875" bestFit="1" customWidth="1"/>
    <col min="7" max="7" width="11" bestFit="1" customWidth="1"/>
  </cols>
  <sheetData>
    <row r="4" spans="2:7" ht="15.75" x14ac:dyDescent="0.25">
      <c r="B4" s="10" t="s">
        <v>0</v>
      </c>
      <c r="C4" s="11" t="s">
        <v>1</v>
      </c>
      <c r="D4" s="11" t="s">
        <v>2</v>
      </c>
      <c r="E4" s="11" t="s">
        <v>934</v>
      </c>
      <c r="F4" s="11" t="s">
        <v>1095</v>
      </c>
      <c r="G4" s="11" t="s">
        <v>1507</v>
      </c>
    </row>
    <row r="5" spans="2:7" x14ac:dyDescent="0.25">
      <c r="B5" s="3">
        <v>45502</v>
      </c>
      <c r="C5" s="2" t="s">
        <v>805</v>
      </c>
      <c r="D5" s="2"/>
      <c r="E5" s="23"/>
      <c r="F5" s="2"/>
      <c r="G5" s="2"/>
    </row>
    <row r="6" spans="2:7" x14ac:dyDescent="0.25">
      <c r="B6" s="3">
        <v>45504</v>
      </c>
      <c r="C6" s="2" t="s">
        <v>805</v>
      </c>
      <c r="D6" s="2"/>
      <c r="E6" s="23"/>
      <c r="F6" s="2"/>
      <c r="G6" s="2"/>
    </row>
    <row r="7" spans="2:7" x14ac:dyDescent="0.25">
      <c r="B7" s="3">
        <v>45506</v>
      </c>
      <c r="C7" s="2" t="s">
        <v>1335</v>
      </c>
      <c r="D7" s="2" t="s">
        <v>1352</v>
      </c>
      <c r="E7" s="23"/>
      <c r="F7" s="2"/>
      <c r="G7" s="2"/>
    </row>
    <row r="8" spans="2:7" x14ac:dyDescent="0.25">
      <c r="B8" s="3">
        <v>45509</v>
      </c>
      <c r="C8" s="2" t="s">
        <v>1386</v>
      </c>
      <c r="D8" s="2" t="s">
        <v>813</v>
      </c>
      <c r="E8" s="23"/>
      <c r="F8" s="2"/>
      <c r="G8" s="2"/>
    </row>
    <row r="9" spans="2:7" x14ac:dyDescent="0.25">
      <c r="B9" s="3">
        <v>45510</v>
      </c>
      <c r="C9" s="2" t="s">
        <v>1398</v>
      </c>
      <c r="D9" s="2"/>
      <c r="E9" s="23"/>
      <c r="F9" s="2"/>
      <c r="G9" s="2"/>
    </row>
    <row r="10" spans="2:7" x14ac:dyDescent="0.25">
      <c r="B10" s="3">
        <v>45511</v>
      </c>
      <c r="C10" s="2" t="s">
        <v>1405</v>
      </c>
      <c r="D10" s="2"/>
      <c r="E10" s="23"/>
      <c r="F10" s="2"/>
      <c r="G10" s="2"/>
    </row>
    <row r="11" spans="2:7" x14ac:dyDescent="0.25">
      <c r="B11" s="3">
        <v>45512</v>
      </c>
      <c r="C11" s="2" t="s">
        <v>1418</v>
      </c>
      <c r="D11" s="2"/>
      <c r="E11" s="23"/>
      <c r="F11" s="2"/>
      <c r="G11" s="2"/>
    </row>
    <row r="12" spans="2:7" x14ac:dyDescent="0.25">
      <c r="B12" s="3">
        <v>45513</v>
      </c>
      <c r="C12" s="2" t="s">
        <v>1431</v>
      </c>
      <c r="D12" s="2" t="s">
        <v>1468</v>
      </c>
      <c r="E12" s="23">
        <v>0</v>
      </c>
      <c r="F12" s="2"/>
      <c r="G12" s="2"/>
    </row>
    <row r="13" spans="2:7" x14ac:dyDescent="0.25">
      <c r="B13" s="3">
        <v>45513</v>
      </c>
      <c r="C13" s="2" t="s">
        <v>1433</v>
      </c>
      <c r="D13" s="2" t="s">
        <v>1467</v>
      </c>
      <c r="E13" s="23">
        <v>6</v>
      </c>
      <c r="F13" s="2">
        <f>E13-E12</f>
        <v>6</v>
      </c>
      <c r="G13" s="2"/>
    </row>
    <row r="14" spans="2:7" x14ac:dyDescent="0.25">
      <c r="B14" s="3">
        <v>45514</v>
      </c>
      <c r="C14" s="2" t="s">
        <v>1444</v>
      </c>
      <c r="D14" s="2" t="s">
        <v>1466</v>
      </c>
      <c r="E14" s="23">
        <v>30</v>
      </c>
      <c r="F14" s="2">
        <f t="shared" ref="F14:F37" si="0">E14-E13</f>
        <v>24</v>
      </c>
      <c r="G14" s="2"/>
    </row>
    <row r="15" spans="2:7" x14ac:dyDescent="0.25">
      <c r="B15" s="3">
        <v>45515</v>
      </c>
      <c r="C15" s="2" t="s">
        <v>1445</v>
      </c>
      <c r="D15" s="2" t="s">
        <v>1587</v>
      </c>
      <c r="E15" s="23">
        <v>40</v>
      </c>
      <c r="F15" s="2">
        <f t="shared" si="0"/>
        <v>10</v>
      </c>
      <c r="G15" s="2"/>
    </row>
    <row r="16" spans="2:7" x14ac:dyDescent="0.25">
      <c r="B16" s="3">
        <v>45516</v>
      </c>
      <c r="C16" s="2" t="s">
        <v>1449</v>
      </c>
      <c r="D16" s="2" t="s">
        <v>1465</v>
      </c>
      <c r="E16" s="23">
        <v>45</v>
      </c>
      <c r="F16" s="2">
        <f t="shared" si="0"/>
        <v>5</v>
      </c>
      <c r="G16" s="2"/>
    </row>
    <row r="17" spans="2:7" x14ac:dyDescent="0.25">
      <c r="B17" s="3">
        <v>45517</v>
      </c>
      <c r="C17" s="2" t="s">
        <v>1463</v>
      </c>
      <c r="D17" s="2" t="s">
        <v>1464</v>
      </c>
      <c r="E17" s="23">
        <v>56</v>
      </c>
      <c r="F17" s="2">
        <f t="shared" si="0"/>
        <v>11</v>
      </c>
      <c r="G17" s="2"/>
    </row>
    <row r="18" spans="2:7" x14ac:dyDescent="0.25">
      <c r="B18" s="3">
        <v>45518</v>
      </c>
      <c r="C18" s="2" t="s">
        <v>1483</v>
      </c>
      <c r="D18" s="2"/>
      <c r="E18" s="23">
        <v>61</v>
      </c>
      <c r="F18" s="2">
        <f t="shared" si="0"/>
        <v>5</v>
      </c>
      <c r="G18" s="2"/>
    </row>
    <row r="19" spans="2:7" x14ac:dyDescent="0.25">
      <c r="B19" s="3">
        <v>45519</v>
      </c>
      <c r="C19" s="2" t="s">
        <v>1505</v>
      </c>
      <c r="D19" s="2"/>
      <c r="E19" s="23">
        <v>64</v>
      </c>
      <c r="F19" s="2">
        <f t="shared" si="0"/>
        <v>3</v>
      </c>
      <c r="G19" s="2"/>
    </row>
    <row r="20" spans="2:7" x14ac:dyDescent="0.25">
      <c r="B20" s="3">
        <v>45520</v>
      </c>
      <c r="C20" s="2" t="s">
        <v>1505</v>
      </c>
      <c r="D20" s="2"/>
      <c r="E20" s="23">
        <v>64</v>
      </c>
      <c r="F20" s="2">
        <f t="shared" si="0"/>
        <v>0</v>
      </c>
      <c r="G20" s="2"/>
    </row>
    <row r="21" spans="2:7" x14ac:dyDescent="0.25">
      <c r="B21" s="3">
        <v>45521</v>
      </c>
      <c r="C21" s="2" t="s">
        <v>480</v>
      </c>
      <c r="D21" s="2"/>
      <c r="E21" s="23">
        <v>64</v>
      </c>
      <c r="F21" s="2">
        <f t="shared" si="0"/>
        <v>0</v>
      </c>
      <c r="G21" s="2"/>
    </row>
    <row r="22" spans="2:7" x14ac:dyDescent="0.25">
      <c r="B22" s="3">
        <v>45522</v>
      </c>
      <c r="C22" s="2" t="s">
        <v>1527</v>
      </c>
      <c r="D22" s="2"/>
      <c r="E22" s="25">
        <v>70</v>
      </c>
      <c r="F22" s="2">
        <f t="shared" si="0"/>
        <v>6</v>
      </c>
      <c r="G22" s="2"/>
    </row>
    <row r="23" spans="2:7" x14ac:dyDescent="0.25">
      <c r="B23" s="3">
        <v>45523</v>
      </c>
      <c r="C23" s="2" t="s">
        <v>1552</v>
      </c>
      <c r="D23" s="2"/>
      <c r="E23" s="23">
        <v>76</v>
      </c>
      <c r="F23" s="2">
        <f t="shared" si="0"/>
        <v>6</v>
      </c>
      <c r="G23" s="2"/>
    </row>
    <row r="24" spans="2:7" x14ac:dyDescent="0.25">
      <c r="B24" s="3">
        <v>45524</v>
      </c>
      <c r="C24" s="2" t="s">
        <v>1553</v>
      </c>
      <c r="D24" s="2"/>
      <c r="E24" s="23">
        <v>81</v>
      </c>
      <c r="F24" s="2">
        <f t="shared" si="0"/>
        <v>5</v>
      </c>
      <c r="G24" s="2"/>
    </row>
    <row r="25" spans="2:7" x14ac:dyDescent="0.25">
      <c r="B25" s="3">
        <v>45525</v>
      </c>
      <c r="C25" s="2" t="s">
        <v>1557</v>
      </c>
      <c r="D25" s="2"/>
      <c r="E25" s="23">
        <v>84</v>
      </c>
      <c r="F25" s="2">
        <f t="shared" si="0"/>
        <v>3</v>
      </c>
      <c r="G25" s="2"/>
    </row>
    <row r="26" spans="2:7" x14ac:dyDescent="0.25">
      <c r="B26" s="3">
        <v>45526</v>
      </c>
      <c r="C26" s="2" t="s">
        <v>1557</v>
      </c>
      <c r="D26" s="2"/>
      <c r="E26" s="23">
        <v>81</v>
      </c>
      <c r="F26" s="2">
        <f t="shared" si="0"/>
        <v>-3</v>
      </c>
      <c r="G26" s="2"/>
    </row>
    <row r="27" spans="2:7" x14ac:dyDescent="0.25">
      <c r="B27" s="3">
        <v>45527</v>
      </c>
      <c r="C27" s="2" t="s">
        <v>1590</v>
      </c>
      <c r="D27" s="2" t="s">
        <v>1591</v>
      </c>
      <c r="E27" s="23">
        <v>89</v>
      </c>
      <c r="F27" s="2">
        <f t="shared" si="0"/>
        <v>8</v>
      </c>
      <c r="G27" s="2"/>
    </row>
    <row r="28" spans="2:7" x14ac:dyDescent="0.25">
      <c r="B28" s="3">
        <v>45528</v>
      </c>
      <c r="C28" s="2" t="s">
        <v>1557</v>
      </c>
      <c r="D28" s="2"/>
      <c r="E28" s="23">
        <v>92</v>
      </c>
      <c r="F28" s="2">
        <f t="shared" si="0"/>
        <v>3</v>
      </c>
      <c r="G28" s="2"/>
    </row>
    <row r="29" spans="2:7" x14ac:dyDescent="0.25">
      <c r="B29" s="3">
        <v>45529</v>
      </c>
      <c r="C29" s="2" t="s">
        <v>1557</v>
      </c>
      <c r="D29" s="2"/>
      <c r="E29" s="23">
        <v>94</v>
      </c>
      <c r="F29" s="2">
        <f t="shared" si="0"/>
        <v>2</v>
      </c>
      <c r="G29" s="2"/>
    </row>
    <row r="30" spans="2:7" x14ac:dyDescent="0.25">
      <c r="B30" s="3">
        <v>45530</v>
      </c>
      <c r="C30" s="2" t="s">
        <v>649</v>
      </c>
      <c r="D30" s="2"/>
      <c r="E30" s="23">
        <v>96</v>
      </c>
      <c r="F30" s="2">
        <f t="shared" si="0"/>
        <v>2</v>
      </c>
      <c r="G30" s="2"/>
    </row>
    <row r="31" spans="2:7" x14ac:dyDescent="0.25">
      <c r="B31" s="3">
        <v>45531</v>
      </c>
      <c r="C31" s="2" t="s">
        <v>1634</v>
      </c>
      <c r="D31" s="2" t="s">
        <v>1639</v>
      </c>
      <c r="E31" s="23">
        <v>98</v>
      </c>
      <c r="F31" s="2">
        <f t="shared" si="0"/>
        <v>2</v>
      </c>
      <c r="G31" s="2"/>
    </row>
    <row r="32" spans="2:7" x14ac:dyDescent="0.25">
      <c r="B32" s="3">
        <v>45532</v>
      </c>
      <c r="C32" s="2" t="s">
        <v>1640</v>
      </c>
      <c r="D32" s="2" t="s">
        <v>1637</v>
      </c>
      <c r="E32" s="23">
        <v>98</v>
      </c>
      <c r="F32" s="2">
        <f t="shared" si="0"/>
        <v>0</v>
      </c>
      <c r="G32" s="2"/>
    </row>
    <row r="33" spans="2:7" x14ac:dyDescent="0.25">
      <c r="B33" s="3">
        <v>45533</v>
      </c>
      <c r="C33" s="2" t="s">
        <v>1653</v>
      </c>
      <c r="D33" s="2"/>
      <c r="E33" s="23">
        <v>40</v>
      </c>
      <c r="F33" s="2">
        <f t="shared" si="0"/>
        <v>-58</v>
      </c>
      <c r="G33" s="2"/>
    </row>
    <row r="34" spans="2:7" x14ac:dyDescent="0.25">
      <c r="B34" s="3">
        <v>45534</v>
      </c>
      <c r="C34" s="2" t="s">
        <v>1678</v>
      </c>
      <c r="D34" s="2" t="s">
        <v>1679</v>
      </c>
      <c r="E34" s="23">
        <v>90</v>
      </c>
      <c r="F34" s="2">
        <f t="shared" si="0"/>
        <v>50</v>
      </c>
      <c r="G34" s="2"/>
    </row>
    <row r="35" spans="2:7" x14ac:dyDescent="0.25">
      <c r="B35" s="3">
        <v>45535</v>
      </c>
      <c r="C35" s="2" t="s">
        <v>149</v>
      </c>
      <c r="D35" s="2" t="s">
        <v>1684</v>
      </c>
      <c r="E35" s="23">
        <v>98</v>
      </c>
      <c r="F35" s="2">
        <f t="shared" si="0"/>
        <v>8</v>
      </c>
      <c r="G35" s="2"/>
    </row>
    <row r="36" spans="2:7" x14ac:dyDescent="0.25">
      <c r="B36" s="3">
        <v>45536</v>
      </c>
      <c r="C36" s="2" t="s">
        <v>1699</v>
      </c>
      <c r="D36" s="2"/>
      <c r="E36" s="23">
        <v>98</v>
      </c>
      <c r="F36" s="2">
        <f t="shared" si="0"/>
        <v>0</v>
      </c>
      <c r="G36" s="2"/>
    </row>
    <row r="37" spans="2:7" x14ac:dyDescent="0.25">
      <c r="B37" s="3">
        <v>45537</v>
      </c>
      <c r="C37" s="2" t="s">
        <v>1709</v>
      </c>
      <c r="D37" s="2"/>
      <c r="E37" s="23"/>
      <c r="F37" s="2">
        <f t="shared" si="0"/>
        <v>-98</v>
      </c>
      <c r="G37" s="2"/>
    </row>
    <row r="38" spans="2:7" x14ac:dyDescent="0.25">
      <c r="B38" s="3">
        <v>45538</v>
      </c>
      <c r="C38" s="2" t="s">
        <v>1722</v>
      </c>
      <c r="D38" s="2"/>
      <c r="E38" s="23"/>
      <c r="F38" s="2"/>
      <c r="G38" s="2"/>
    </row>
    <row r="39" spans="2:7" x14ac:dyDescent="0.25">
      <c r="B39" s="3">
        <v>45545</v>
      </c>
      <c r="C39" s="2" t="s">
        <v>1166</v>
      </c>
      <c r="D39" s="2"/>
      <c r="E39" s="23"/>
      <c r="F39" s="2"/>
      <c r="G39" s="2"/>
    </row>
    <row r="40" spans="2:7" x14ac:dyDescent="0.25">
      <c r="B40" s="3">
        <v>45546</v>
      </c>
      <c r="C40" s="2"/>
      <c r="D40" s="2"/>
      <c r="E40" s="23"/>
      <c r="F40" s="2"/>
      <c r="G40" s="2"/>
    </row>
    <row r="41" spans="2:7" x14ac:dyDescent="0.25">
      <c r="B41" s="3">
        <v>45547</v>
      </c>
      <c r="C41" s="2"/>
      <c r="D41" s="2"/>
      <c r="E41" s="23"/>
      <c r="F41" s="2"/>
      <c r="G41" s="2"/>
    </row>
    <row r="42" spans="2:7" x14ac:dyDescent="0.25">
      <c r="B42" s="2"/>
      <c r="C42" s="2"/>
      <c r="D42" s="2"/>
      <c r="E42" s="2"/>
      <c r="F42" s="2"/>
      <c r="G42" s="2"/>
    </row>
    <row r="43" spans="2:7" x14ac:dyDescent="0.25">
      <c r="B43" s="2"/>
      <c r="C43" s="2"/>
      <c r="D43" s="2"/>
      <c r="E43" s="2"/>
      <c r="F43" s="2"/>
      <c r="G43" s="2"/>
    </row>
    <row r="44" spans="2:7" x14ac:dyDescent="0.25">
      <c r="B44" s="2"/>
      <c r="C44" s="2"/>
      <c r="D44" s="2"/>
      <c r="E44" s="2"/>
      <c r="F44" s="2"/>
      <c r="G44" s="2"/>
    </row>
    <row r="45" spans="2:7" x14ac:dyDescent="0.25">
      <c r="B45" s="2"/>
      <c r="C45" s="2"/>
      <c r="D45" s="2"/>
      <c r="E45" s="2"/>
      <c r="F45" s="2"/>
      <c r="G45" s="2"/>
    </row>
    <row r="46" spans="2:7" x14ac:dyDescent="0.25">
      <c r="B46" s="2"/>
      <c r="C46" s="2"/>
      <c r="D46" s="2"/>
      <c r="E46" s="2"/>
      <c r="F46" s="2"/>
      <c r="G46" s="2"/>
    </row>
    <row r="47" spans="2:7" x14ac:dyDescent="0.25">
      <c r="B47" s="2"/>
      <c r="C47" s="2"/>
      <c r="D47" s="2"/>
      <c r="E47" s="2"/>
      <c r="F47" s="2"/>
      <c r="G47" s="2"/>
    </row>
    <row r="48" spans="2:7" x14ac:dyDescent="0.25">
      <c r="B48" s="2"/>
      <c r="C48" s="2"/>
      <c r="D48" s="2"/>
      <c r="E48" s="2"/>
      <c r="F48" s="2"/>
      <c r="G48" s="2"/>
    </row>
    <row r="49" spans="2:7" x14ac:dyDescent="0.25">
      <c r="B49" s="2"/>
      <c r="C49" s="2"/>
      <c r="D49" s="2"/>
      <c r="E49" s="2"/>
      <c r="F49" s="2"/>
      <c r="G49" s="2"/>
    </row>
    <row r="50" spans="2:7" x14ac:dyDescent="0.25">
      <c r="B50" s="2"/>
      <c r="C50" s="2"/>
      <c r="D50" s="2"/>
      <c r="E50" s="2"/>
      <c r="F50" s="2"/>
      <c r="G50" s="2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92D050"/>
  </sheetPr>
  <dimension ref="B2:G50"/>
  <sheetViews>
    <sheetView topLeftCell="A13" workbookViewId="0">
      <selection activeCell="C11" sqref="C11"/>
    </sheetView>
  </sheetViews>
  <sheetFormatPr defaultRowHeight="15" x14ac:dyDescent="0.25"/>
  <cols>
    <col min="2" max="2" width="18" bestFit="1" customWidth="1"/>
    <col min="3" max="3" width="72" bestFit="1" customWidth="1"/>
    <col min="4" max="4" width="44.5703125" bestFit="1" customWidth="1"/>
    <col min="5" max="5" width="11.85546875" bestFit="1" customWidth="1"/>
    <col min="7" max="7" width="11" bestFit="1" customWidth="1"/>
  </cols>
  <sheetData>
    <row r="2" spans="2:7" x14ac:dyDescent="0.25">
      <c r="C2" t="s">
        <v>954</v>
      </c>
    </row>
    <row r="4" spans="2:7" ht="15.75" x14ac:dyDescent="0.25">
      <c r="B4" s="10" t="s">
        <v>0</v>
      </c>
      <c r="C4" s="11" t="s">
        <v>1</v>
      </c>
      <c r="D4" s="11" t="s">
        <v>2</v>
      </c>
      <c r="E4" s="11" t="s">
        <v>934</v>
      </c>
      <c r="F4" s="11" t="s">
        <v>1095</v>
      </c>
      <c r="G4" s="11" t="s">
        <v>1507</v>
      </c>
    </row>
    <row r="5" spans="2:7" x14ac:dyDescent="0.25">
      <c r="B5" s="3">
        <v>45518</v>
      </c>
      <c r="C5" s="2" t="s">
        <v>1484</v>
      </c>
      <c r="D5" s="2" t="s">
        <v>1485</v>
      </c>
      <c r="E5" s="23"/>
      <c r="F5" s="2"/>
      <c r="G5" s="2"/>
    </row>
    <row r="6" spans="2:7" x14ac:dyDescent="0.25">
      <c r="B6" s="3"/>
      <c r="C6" s="2" t="s">
        <v>1503</v>
      </c>
      <c r="D6" s="2" t="s">
        <v>1506</v>
      </c>
      <c r="E6" s="23"/>
      <c r="F6" s="2"/>
      <c r="G6" s="2"/>
    </row>
    <row r="7" spans="2:7" x14ac:dyDescent="0.25">
      <c r="B7" s="3">
        <v>45522</v>
      </c>
      <c r="C7" s="2"/>
      <c r="D7" s="2"/>
      <c r="E7" s="23"/>
      <c r="F7" s="2"/>
      <c r="G7" s="2"/>
    </row>
    <row r="8" spans="2:7" x14ac:dyDescent="0.25">
      <c r="B8" s="3">
        <v>45523</v>
      </c>
      <c r="C8" s="2"/>
      <c r="D8" s="2"/>
      <c r="E8" s="23"/>
      <c r="F8" s="2"/>
      <c r="G8" s="2"/>
    </row>
    <row r="9" spans="2:7" x14ac:dyDescent="0.25">
      <c r="B9" s="3">
        <v>45524</v>
      </c>
      <c r="C9" s="2"/>
      <c r="D9" s="2"/>
      <c r="E9" s="23"/>
      <c r="F9" s="2"/>
      <c r="G9" s="2"/>
    </row>
    <row r="10" spans="2:7" x14ac:dyDescent="0.25">
      <c r="B10" s="3">
        <v>45525</v>
      </c>
      <c r="C10" s="2"/>
      <c r="D10" s="2"/>
      <c r="E10" s="23"/>
      <c r="F10" s="2"/>
      <c r="G10" s="2"/>
    </row>
    <row r="11" spans="2:7" x14ac:dyDescent="0.25">
      <c r="B11" s="3">
        <v>45526</v>
      </c>
      <c r="C11" s="2"/>
      <c r="D11" s="2"/>
      <c r="E11" s="23"/>
      <c r="F11" s="2"/>
      <c r="G11" s="2"/>
    </row>
    <row r="12" spans="2:7" x14ac:dyDescent="0.25">
      <c r="B12" s="3">
        <v>45527</v>
      </c>
      <c r="C12" s="2" t="s">
        <v>1581</v>
      </c>
      <c r="D12" s="2"/>
      <c r="E12" s="23">
        <v>70</v>
      </c>
      <c r="F12" s="2"/>
      <c r="G12" s="2"/>
    </row>
    <row r="13" spans="2:7" x14ac:dyDescent="0.25">
      <c r="B13" s="3">
        <v>45528</v>
      </c>
      <c r="C13" s="2" t="s">
        <v>1609</v>
      </c>
      <c r="D13" s="2"/>
      <c r="E13" s="23">
        <v>100</v>
      </c>
      <c r="F13" s="2"/>
      <c r="G13" s="2"/>
    </row>
    <row r="14" spans="2:7" x14ac:dyDescent="0.25">
      <c r="B14" s="3">
        <v>45529</v>
      </c>
      <c r="C14" s="2"/>
      <c r="D14" s="2"/>
      <c r="E14" s="23">
        <v>100</v>
      </c>
      <c r="F14" s="2"/>
      <c r="G14" s="2"/>
    </row>
    <row r="15" spans="2:7" x14ac:dyDescent="0.25">
      <c r="B15" s="3">
        <v>45530</v>
      </c>
      <c r="C15" s="2" t="s">
        <v>1610</v>
      </c>
      <c r="D15" s="2"/>
      <c r="E15" s="23">
        <v>100</v>
      </c>
      <c r="F15" s="2"/>
      <c r="G15" s="2"/>
    </row>
    <row r="16" spans="2:7" x14ac:dyDescent="0.25">
      <c r="B16" s="3">
        <v>45531</v>
      </c>
      <c r="C16" s="2" t="s">
        <v>1528</v>
      </c>
      <c r="D16" s="2"/>
      <c r="E16" s="23">
        <v>100</v>
      </c>
      <c r="F16" s="2"/>
      <c r="G16" s="2"/>
    </row>
    <row r="17" spans="2:7" x14ac:dyDescent="0.25">
      <c r="B17" s="3">
        <v>45538</v>
      </c>
      <c r="C17" s="2"/>
      <c r="D17" s="2" t="s">
        <v>1722</v>
      </c>
      <c r="E17" s="23"/>
      <c r="F17" s="2"/>
      <c r="G17" s="2"/>
    </row>
    <row r="18" spans="2:7" x14ac:dyDescent="0.25">
      <c r="B18" s="3"/>
      <c r="C18" s="2"/>
      <c r="D18" s="2"/>
      <c r="E18" s="23"/>
      <c r="F18" s="2"/>
      <c r="G18" s="2"/>
    </row>
    <row r="19" spans="2:7" x14ac:dyDescent="0.25">
      <c r="B19" s="3"/>
      <c r="C19" s="2"/>
      <c r="D19" s="2"/>
      <c r="E19" s="23"/>
      <c r="F19" s="2"/>
      <c r="G19" s="2"/>
    </row>
    <row r="20" spans="2:7" x14ac:dyDescent="0.25">
      <c r="B20" s="2"/>
      <c r="C20" s="2"/>
      <c r="D20" s="2"/>
      <c r="E20" s="2"/>
      <c r="F20" s="2"/>
      <c r="G20" s="2"/>
    </row>
    <row r="21" spans="2:7" x14ac:dyDescent="0.25">
      <c r="B21" s="2"/>
      <c r="C21" s="2"/>
      <c r="D21" s="2"/>
      <c r="E21" s="2"/>
      <c r="F21" s="2"/>
      <c r="G21" s="2"/>
    </row>
    <row r="22" spans="2:7" x14ac:dyDescent="0.25">
      <c r="B22" s="2"/>
      <c r="C22" s="2"/>
      <c r="D22" s="2"/>
      <c r="E22" s="2"/>
      <c r="F22" s="2"/>
      <c r="G22" s="2"/>
    </row>
    <row r="23" spans="2:7" x14ac:dyDescent="0.25">
      <c r="B23" s="2"/>
      <c r="C23" s="2"/>
      <c r="D23" s="2"/>
      <c r="E23" s="2"/>
      <c r="F23" s="2"/>
      <c r="G23" s="2"/>
    </row>
    <row r="24" spans="2:7" x14ac:dyDescent="0.25">
      <c r="B24" s="2"/>
      <c r="C24" s="2"/>
      <c r="D24" s="2"/>
      <c r="E24" s="2"/>
      <c r="F24" s="2"/>
      <c r="G24" s="2"/>
    </row>
    <row r="25" spans="2:7" x14ac:dyDescent="0.25">
      <c r="B25" s="2"/>
      <c r="C25" s="2"/>
      <c r="D25" s="2"/>
      <c r="E25" s="2"/>
      <c r="F25" s="2"/>
      <c r="G25" s="2"/>
    </row>
    <row r="26" spans="2:7" x14ac:dyDescent="0.25">
      <c r="B26" s="2"/>
      <c r="C26" s="2"/>
      <c r="D26" s="2"/>
      <c r="E26" s="2"/>
      <c r="F26" s="2"/>
      <c r="G26" s="2"/>
    </row>
    <row r="27" spans="2:7" x14ac:dyDescent="0.25">
      <c r="B27" s="2"/>
      <c r="C27" s="2"/>
      <c r="D27" s="2"/>
      <c r="E27" s="2"/>
      <c r="F27" s="2"/>
      <c r="G27" s="2"/>
    </row>
    <row r="28" spans="2:7" x14ac:dyDescent="0.25">
      <c r="B28" s="2"/>
      <c r="C28" s="2"/>
      <c r="D28" s="2"/>
      <c r="E28" s="2"/>
      <c r="F28" s="2"/>
      <c r="G28" s="2"/>
    </row>
    <row r="29" spans="2:7" x14ac:dyDescent="0.25">
      <c r="B29" s="2"/>
      <c r="C29" s="2"/>
      <c r="D29" s="2"/>
      <c r="E29" s="2"/>
      <c r="F29" s="2"/>
      <c r="G29" s="2"/>
    </row>
    <row r="30" spans="2:7" x14ac:dyDescent="0.25">
      <c r="B30" s="2"/>
      <c r="C30" s="2"/>
      <c r="D30" s="2"/>
      <c r="E30" s="2"/>
      <c r="F30" s="2"/>
      <c r="G30" s="2"/>
    </row>
    <row r="31" spans="2:7" x14ac:dyDescent="0.25">
      <c r="B31" s="2"/>
      <c r="C31" s="2"/>
      <c r="D31" s="2"/>
      <c r="E31" s="2"/>
      <c r="F31" s="2"/>
      <c r="G31" s="2"/>
    </row>
    <row r="32" spans="2:7" x14ac:dyDescent="0.25">
      <c r="B32" s="2"/>
      <c r="C32" s="2"/>
      <c r="D32" s="2"/>
      <c r="E32" s="2"/>
      <c r="F32" s="2"/>
      <c r="G32" s="2"/>
    </row>
    <row r="33" spans="7:7" x14ac:dyDescent="0.25">
      <c r="G33" s="2"/>
    </row>
    <row r="34" spans="7:7" x14ac:dyDescent="0.25">
      <c r="G34" s="2"/>
    </row>
    <row r="35" spans="7:7" x14ac:dyDescent="0.25">
      <c r="G35" s="2"/>
    </row>
    <row r="36" spans="7:7" x14ac:dyDescent="0.25">
      <c r="G36" s="2"/>
    </row>
    <row r="37" spans="7:7" x14ac:dyDescent="0.25">
      <c r="G37" s="2"/>
    </row>
    <row r="38" spans="7:7" x14ac:dyDescent="0.25">
      <c r="G38" s="2"/>
    </row>
    <row r="39" spans="7:7" x14ac:dyDescent="0.25">
      <c r="G39" s="2"/>
    </row>
    <row r="40" spans="7:7" x14ac:dyDescent="0.25">
      <c r="G40" s="2"/>
    </row>
    <row r="41" spans="7:7" x14ac:dyDescent="0.25">
      <c r="G41" s="2"/>
    </row>
    <row r="42" spans="7:7" x14ac:dyDescent="0.25">
      <c r="G42" s="2"/>
    </row>
    <row r="43" spans="7:7" x14ac:dyDescent="0.25">
      <c r="G43" s="2"/>
    </row>
    <row r="44" spans="7:7" x14ac:dyDescent="0.25">
      <c r="G44" s="2"/>
    </row>
    <row r="45" spans="7:7" x14ac:dyDescent="0.25">
      <c r="G45" s="2"/>
    </row>
    <row r="46" spans="7:7" x14ac:dyDescent="0.25">
      <c r="G46" s="2"/>
    </row>
    <row r="47" spans="7:7" x14ac:dyDescent="0.25">
      <c r="G47" s="2"/>
    </row>
    <row r="48" spans="7:7" x14ac:dyDescent="0.25">
      <c r="G48" s="2"/>
    </row>
    <row r="49" spans="7:7" x14ac:dyDescent="0.25">
      <c r="G49" s="2"/>
    </row>
    <row r="50" spans="7:7" x14ac:dyDescent="0.25">
      <c r="G50" s="2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00B050"/>
  </sheetPr>
  <dimension ref="B2:G163"/>
  <sheetViews>
    <sheetView showGridLines="0" topLeftCell="A148" zoomScaleNormal="100" workbookViewId="0">
      <selection activeCell="C158" sqref="C158"/>
    </sheetView>
  </sheetViews>
  <sheetFormatPr defaultRowHeight="15" x14ac:dyDescent="0.25"/>
  <cols>
    <col min="2" max="2" width="18" bestFit="1" customWidth="1"/>
    <col min="3" max="3" width="72" bestFit="1" customWidth="1"/>
    <col min="4" max="4" width="42.140625" bestFit="1" customWidth="1"/>
    <col min="7" max="7" width="11" bestFit="1" customWidth="1"/>
  </cols>
  <sheetData>
    <row r="2" spans="2:7" x14ac:dyDescent="0.25">
      <c r="C2" t="s">
        <v>1795</v>
      </c>
    </row>
    <row r="4" spans="2:7" ht="15.75" x14ac:dyDescent="0.25">
      <c r="B4" s="10" t="s">
        <v>0</v>
      </c>
      <c r="C4" s="11" t="s">
        <v>1</v>
      </c>
      <c r="D4" s="11" t="s">
        <v>2</v>
      </c>
      <c r="E4" s="11" t="s">
        <v>934</v>
      </c>
      <c r="F4" s="11" t="s">
        <v>1095</v>
      </c>
      <c r="G4" s="11" t="s">
        <v>1507</v>
      </c>
    </row>
    <row r="5" spans="2:7" x14ac:dyDescent="0.25">
      <c r="B5" s="3">
        <v>45543</v>
      </c>
      <c r="C5" s="2" t="s">
        <v>1796</v>
      </c>
      <c r="D5" s="2"/>
      <c r="E5" s="23"/>
      <c r="F5" s="2"/>
      <c r="G5" s="2"/>
    </row>
    <row r="6" spans="2:7" x14ac:dyDescent="0.25">
      <c r="B6" s="3">
        <v>45544</v>
      </c>
      <c r="C6" s="2" t="s">
        <v>1828</v>
      </c>
      <c r="D6" s="2"/>
      <c r="E6" s="23">
        <v>0</v>
      </c>
      <c r="F6" s="2"/>
      <c r="G6" s="2"/>
    </row>
    <row r="7" spans="2:7" x14ac:dyDescent="0.25">
      <c r="B7" s="3">
        <v>45545</v>
      </c>
      <c r="C7" s="2" t="s">
        <v>1829</v>
      </c>
      <c r="D7" s="2"/>
      <c r="E7" s="23">
        <v>3</v>
      </c>
      <c r="F7" s="2">
        <f>E7-E6</f>
        <v>3</v>
      </c>
      <c r="G7" s="2"/>
    </row>
    <row r="8" spans="2:7" x14ac:dyDescent="0.25">
      <c r="B8" s="3">
        <v>45546</v>
      </c>
      <c r="C8" s="2" t="s">
        <v>1852</v>
      </c>
      <c r="D8" s="2"/>
      <c r="E8" s="23">
        <v>17</v>
      </c>
      <c r="F8" s="2">
        <f t="shared" ref="F8:F45" si="0">E8-E7</f>
        <v>14</v>
      </c>
      <c r="G8" s="2"/>
    </row>
    <row r="9" spans="2:7" x14ac:dyDescent="0.25">
      <c r="B9" s="3">
        <v>45547</v>
      </c>
      <c r="C9" s="2" t="s">
        <v>1851</v>
      </c>
      <c r="D9" s="2"/>
      <c r="E9" s="23">
        <v>20</v>
      </c>
      <c r="F9" s="2">
        <f t="shared" si="0"/>
        <v>3</v>
      </c>
      <c r="G9" s="2"/>
    </row>
    <row r="10" spans="2:7" x14ac:dyDescent="0.25">
      <c r="B10" s="3">
        <v>45548</v>
      </c>
      <c r="C10" s="2" t="s">
        <v>480</v>
      </c>
      <c r="D10" s="2"/>
      <c r="E10" s="23">
        <v>20</v>
      </c>
      <c r="F10" s="2">
        <f t="shared" si="0"/>
        <v>0</v>
      </c>
      <c r="G10" s="2"/>
    </row>
    <row r="11" spans="2:7" x14ac:dyDescent="0.25">
      <c r="B11" s="3">
        <v>45549</v>
      </c>
      <c r="C11" s="2" t="s">
        <v>1903</v>
      </c>
      <c r="D11" s="2"/>
      <c r="E11" s="23">
        <v>25</v>
      </c>
      <c r="F11" s="2">
        <f t="shared" si="0"/>
        <v>5</v>
      </c>
      <c r="G11" s="2"/>
    </row>
    <row r="12" spans="2:7" x14ac:dyDescent="0.25">
      <c r="B12" s="3">
        <v>45550</v>
      </c>
      <c r="C12" s="2" t="s">
        <v>1904</v>
      </c>
      <c r="D12" s="2"/>
      <c r="E12" s="23">
        <v>31</v>
      </c>
      <c r="F12" s="2">
        <f t="shared" si="0"/>
        <v>6</v>
      </c>
      <c r="G12" s="2"/>
    </row>
    <row r="13" spans="2:7" x14ac:dyDescent="0.25">
      <c r="B13" s="3">
        <v>45551</v>
      </c>
      <c r="C13" s="2" t="s">
        <v>1905</v>
      </c>
      <c r="D13" s="2"/>
      <c r="E13" s="23">
        <v>34</v>
      </c>
      <c r="F13" s="2">
        <f t="shared" si="0"/>
        <v>3</v>
      </c>
      <c r="G13" s="2"/>
    </row>
    <row r="14" spans="2:7" x14ac:dyDescent="0.25">
      <c r="B14" s="3">
        <v>45552</v>
      </c>
      <c r="C14" s="2" t="s">
        <v>1519</v>
      </c>
      <c r="D14" s="2"/>
      <c r="E14" s="23">
        <v>52</v>
      </c>
      <c r="F14" s="2">
        <f t="shared" si="0"/>
        <v>18</v>
      </c>
      <c r="G14" s="2"/>
    </row>
    <row r="15" spans="2:7" x14ac:dyDescent="0.25">
      <c r="B15" s="3">
        <v>45553</v>
      </c>
      <c r="C15" s="2" t="s">
        <v>1934</v>
      </c>
      <c r="D15" s="2"/>
      <c r="E15" s="23">
        <v>58</v>
      </c>
      <c r="F15" s="2">
        <f t="shared" si="0"/>
        <v>6</v>
      </c>
      <c r="G15" s="2"/>
    </row>
    <row r="16" spans="2:7" x14ac:dyDescent="0.25">
      <c r="B16" s="3">
        <v>45554</v>
      </c>
      <c r="C16" s="2" t="s">
        <v>1944</v>
      </c>
      <c r="D16" s="2"/>
      <c r="E16" s="23">
        <v>67</v>
      </c>
      <c r="F16" s="2">
        <f t="shared" si="0"/>
        <v>9</v>
      </c>
      <c r="G16" s="2"/>
    </row>
    <row r="17" spans="2:7" x14ac:dyDescent="0.25">
      <c r="B17" s="3">
        <v>45555</v>
      </c>
      <c r="C17" s="2" t="s">
        <v>480</v>
      </c>
      <c r="D17" s="2"/>
      <c r="E17" s="23">
        <v>67</v>
      </c>
      <c r="F17" s="2">
        <f t="shared" si="0"/>
        <v>0</v>
      </c>
      <c r="G17" s="2"/>
    </row>
    <row r="18" spans="2:7" x14ac:dyDescent="0.25">
      <c r="B18" s="3">
        <v>45556</v>
      </c>
      <c r="C18" s="2" t="s">
        <v>1970</v>
      </c>
      <c r="D18" s="2"/>
      <c r="E18" s="33">
        <v>75</v>
      </c>
      <c r="F18" s="2">
        <f t="shared" si="0"/>
        <v>8</v>
      </c>
      <c r="G18" s="2"/>
    </row>
    <row r="19" spans="2:7" x14ac:dyDescent="0.25">
      <c r="B19" s="3">
        <v>45557</v>
      </c>
      <c r="C19" s="2" t="s">
        <v>1971</v>
      </c>
      <c r="D19" s="2"/>
      <c r="E19" s="23">
        <v>40</v>
      </c>
      <c r="F19" s="2">
        <f t="shared" si="0"/>
        <v>-35</v>
      </c>
      <c r="G19" s="2"/>
    </row>
    <row r="20" spans="2:7" x14ac:dyDescent="0.25">
      <c r="B20" s="3">
        <v>45558</v>
      </c>
      <c r="C20" s="2" t="s">
        <v>1971</v>
      </c>
      <c r="D20" s="2"/>
      <c r="E20" s="23">
        <v>50</v>
      </c>
      <c r="F20" s="2">
        <f t="shared" si="0"/>
        <v>10</v>
      </c>
      <c r="G20" s="2"/>
    </row>
    <row r="21" spans="2:7" x14ac:dyDescent="0.25">
      <c r="B21" s="3">
        <v>45559</v>
      </c>
      <c r="C21" s="2" t="s">
        <v>1971</v>
      </c>
      <c r="D21" s="2"/>
      <c r="E21" s="23">
        <v>70</v>
      </c>
      <c r="F21" s="2">
        <f t="shared" si="0"/>
        <v>20</v>
      </c>
      <c r="G21" s="2"/>
    </row>
    <row r="22" spans="2:7" x14ac:dyDescent="0.25">
      <c r="B22" s="3">
        <v>45560</v>
      </c>
      <c r="C22" s="2" t="s">
        <v>480</v>
      </c>
      <c r="D22" s="2"/>
      <c r="E22" s="23">
        <v>70</v>
      </c>
      <c r="F22" s="2">
        <f t="shared" si="0"/>
        <v>0</v>
      </c>
      <c r="G22" s="2"/>
    </row>
    <row r="23" spans="2:7" x14ac:dyDescent="0.25">
      <c r="B23" s="3">
        <v>45561</v>
      </c>
      <c r="C23" s="2" t="s">
        <v>1971</v>
      </c>
      <c r="D23" s="2"/>
      <c r="E23" s="33">
        <v>75</v>
      </c>
      <c r="F23" s="2">
        <f t="shared" si="0"/>
        <v>5</v>
      </c>
      <c r="G23" s="2"/>
    </row>
    <row r="24" spans="2:7" x14ac:dyDescent="0.25">
      <c r="B24" s="3">
        <v>45562</v>
      </c>
      <c r="C24" s="2" t="s">
        <v>480</v>
      </c>
      <c r="D24" s="2"/>
      <c r="E24" s="23">
        <v>75</v>
      </c>
      <c r="F24" s="2">
        <f t="shared" si="0"/>
        <v>0</v>
      </c>
      <c r="G24" s="2"/>
    </row>
    <row r="25" spans="2:7" x14ac:dyDescent="0.25">
      <c r="B25" s="3">
        <v>45563</v>
      </c>
      <c r="C25" s="2" t="s">
        <v>2029</v>
      </c>
      <c r="D25" s="2"/>
      <c r="E25" s="23">
        <v>75</v>
      </c>
      <c r="F25" s="2">
        <f t="shared" si="0"/>
        <v>0</v>
      </c>
      <c r="G25" s="2"/>
    </row>
    <row r="26" spans="2:7" x14ac:dyDescent="0.25">
      <c r="B26" s="3">
        <v>45564</v>
      </c>
      <c r="C26" s="2" t="s">
        <v>480</v>
      </c>
      <c r="D26" s="2"/>
      <c r="E26" s="23">
        <v>75</v>
      </c>
      <c r="F26" s="2">
        <f t="shared" si="0"/>
        <v>0</v>
      </c>
      <c r="G26" s="2"/>
    </row>
    <row r="27" spans="2:7" x14ac:dyDescent="0.25">
      <c r="B27" s="3">
        <v>45565</v>
      </c>
      <c r="C27" s="2" t="s">
        <v>2047</v>
      </c>
      <c r="D27" s="2"/>
      <c r="E27" s="23">
        <v>75</v>
      </c>
      <c r="F27" s="2">
        <f t="shared" si="0"/>
        <v>0</v>
      </c>
      <c r="G27" s="2"/>
    </row>
    <row r="28" spans="2:7" x14ac:dyDescent="0.25">
      <c r="B28" s="3">
        <v>45566</v>
      </c>
      <c r="C28" s="2" t="s">
        <v>2065</v>
      </c>
      <c r="D28" s="2"/>
      <c r="E28" s="23">
        <v>86</v>
      </c>
      <c r="F28" s="2">
        <f t="shared" si="0"/>
        <v>11</v>
      </c>
      <c r="G28" s="2"/>
    </row>
    <row r="29" spans="2:7" x14ac:dyDescent="0.25">
      <c r="B29" s="3">
        <v>45567</v>
      </c>
      <c r="C29" s="2" t="s">
        <v>2076</v>
      </c>
      <c r="D29" s="2"/>
      <c r="E29" s="23">
        <v>70</v>
      </c>
      <c r="F29" s="2">
        <f t="shared" si="0"/>
        <v>-16</v>
      </c>
      <c r="G29" s="2"/>
    </row>
    <row r="30" spans="2:7" x14ac:dyDescent="0.25">
      <c r="B30" s="3">
        <v>45568</v>
      </c>
      <c r="C30" s="2"/>
      <c r="D30" s="2"/>
      <c r="E30" s="23"/>
      <c r="F30" s="2">
        <f t="shared" si="0"/>
        <v>-70</v>
      </c>
      <c r="G30" s="2"/>
    </row>
    <row r="31" spans="2:7" x14ac:dyDescent="0.25">
      <c r="B31" s="3">
        <v>45569</v>
      </c>
      <c r="C31" s="2" t="s">
        <v>480</v>
      </c>
      <c r="D31" s="2"/>
      <c r="E31" s="23"/>
      <c r="F31" s="2">
        <f t="shared" si="0"/>
        <v>0</v>
      </c>
      <c r="G31" s="2"/>
    </row>
    <row r="32" spans="2:7" x14ac:dyDescent="0.25">
      <c r="B32" s="3">
        <v>45570</v>
      </c>
      <c r="C32" s="2"/>
      <c r="D32" s="2"/>
      <c r="E32" s="23"/>
      <c r="F32" s="2">
        <f t="shared" si="0"/>
        <v>0</v>
      </c>
      <c r="G32" s="2"/>
    </row>
    <row r="33" spans="2:7" x14ac:dyDescent="0.25">
      <c r="B33" s="3">
        <v>45571</v>
      </c>
      <c r="C33" s="2" t="s">
        <v>2121</v>
      </c>
      <c r="D33" s="2"/>
      <c r="E33" s="23">
        <v>90</v>
      </c>
      <c r="F33" s="2">
        <f t="shared" si="0"/>
        <v>90</v>
      </c>
      <c r="G33" s="2"/>
    </row>
    <row r="34" spans="2:7" x14ac:dyDescent="0.25">
      <c r="B34" s="3">
        <v>45572</v>
      </c>
      <c r="C34" s="2" t="s">
        <v>1827</v>
      </c>
      <c r="D34" s="2"/>
      <c r="E34" s="23">
        <v>90</v>
      </c>
      <c r="F34" s="2">
        <f t="shared" si="0"/>
        <v>0</v>
      </c>
      <c r="G34" s="2"/>
    </row>
    <row r="35" spans="2:7" x14ac:dyDescent="0.25">
      <c r="B35" s="3">
        <v>45573</v>
      </c>
      <c r="C35" s="2" t="s">
        <v>2146</v>
      </c>
      <c r="D35" s="2" t="s">
        <v>2147</v>
      </c>
      <c r="E35" s="23">
        <v>90</v>
      </c>
      <c r="F35" s="2">
        <f t="shared" si="0"/>
        <v>0</v>
      </c>
      <c r="G35" s="2"/>
    </row>
    <row r="36" spans="2:7" x14ac:dyDescent="0.25">
      <c r="B36" s="3">
        <v>45574</v>
      </c>
      <c r="C36" s="2" t="s">
        <v>480</v>
      </c>
      <c r="D36" s="2"/>
      <c r="E36" s="23">
        <v>90</v>
      </c>
      <c r="F36" s="2">
        <f t="shared" si="0"/>
        <v>0</v>
      </c>
      <c r="G36" s="2"/>
    </row>
    <row r="37" spans="2:7" x14ac:dyDescent="0.25">
      <c r="B37" s="3">
        <v>45575</v>
      </c>
      <c r="C37" s="2" t="s">
        <v>2170</v>
      </c>
      <c r="D37" s="2"/>
      <c r="E37" s="23">
        <v>90</v>
      </c>
      <c r="F37" s="2">
        <f t="shared" si="0"/>
        <v>0</v>
      </c>
      <c r="G37" s="2"/>
    </row>
    <row r="38" spans="2:7" x14ac:dyDescent="0.25">
      <c r="B38" s="3">
        <v>45576</v>
      </c>
      <c r="C38" s="2" t="s">
        <v>480</v>
      </c>
      <c r="D38" s="2"/>
      <c r="E38" s="23">
        <v>90</v>
      </c>
      <c r="F38" s="2">
        <f t="shared" si="0"/>
        <v>0</v>
      </c>
      <c r="G38" s="2"/>
    </row>
    <row r="39" spans="2:7" x14ac:dyDescent="0.25">
      <c r="B39" s="3">
        <v>45577</v>
      </c>
      <c r="C39" s="2" t="s">
        <v>1178</v>
      </c>
      <c r="D39" s="2"/>
      <c r="E39" s="23">
        <v>90</v>
      </c>
      <c r="F39" s="2">
        <f t="shared" si="0"/>
        <v>0</v>
      </c>
      <c r="G39" s="2"/>
    </row>
    <row r="40" spans="2:7" x14ac:dyDescent="0.25">
      <c r="B40" s="3">
        <v>45578</v>
      </c>
      <c r="C40" s="2" t="s">
        <v>2199</v>
      </c>
      <c r="D40" s="2"/>
      <c r="E40" s="23">
        <v>90</v>
      </c>
      <c r="F40" s="2">
        <f t="shared" si="0"/>
        <v>0</v>
      </c>
      <c r="G40" s="2"/>
    </row>
    <row r="41" spans="2:7" x14ac:dyDescent="0.25">
      <c r="B41" s="3">
        <v>45579</v>
      </c>
      <c r="C41" s="2" t="s">
        <v>2201</v>
      </c>
      <c r="D41" s="2"/>
      <c r="E41" s="23">
        <v>95</v>
      </c>
      <c r="F41" s="2">
        <f t="shared" si="0"/>
        <v>5</v>
      </c>
      <c r="G41" s="2"/>
    </row>
    <row r="42" spans="2:7" x14ac:dyDescent="0.25">
      <c r="B42" s="3">
        <v>45580</v>
      </c>
      <c r="C42" s="2" t="s">
        <v>2202</v>
      </c>
      <c r="D42" s="2"/>
      <c r="E42" s="23">
        <v>110</v>
      </c>
      <c r="F42" s="2">
        <f t="shared" si="0"/>
        <v>15</v>
      </c>
      <c r="G42" s="2"/>
    </row>
    <row r="43" spans="2:7" x14ac:dyDescent="0.25">
      <c r="B43" s="3">
        <v>45581</v>
      </c>
      <c r="C43" s="2" t="s">
        <v>2212</v>
      </c>
      <c r="D43" s="2"/>
      <c r="E43" s="23">
        <v>110</v>
      </c>
      <c r="F43" s="2">
        <f t="shared" si="0"/>
        <v>0</v>
      </c>
      <c r="G43" s="2"/>
    </row>
    <row r="44" spans="2:7" x14ac:dyDescent="0.25">
      <c r="B44" s="3">
        <v>45582</v>
      </c>
      <c r="C44" s="2" t="s">
        <v>2219</v>
      </c>
      <c r="D44" s="2"/>
      <c r="E44" s="23">
        <v>110</v>
      </c>
      <c r="F44" s="2">
        <f t="shared" si="0"/>
        <v>0</v>
      </c>
      <c r="G44" s="2"/>
    </row>
    <row r="45" spans="2:7" x14ac:dyDescent="0.25">
      <c r="B45" s="3">
        <v>45583</v>
      </c>
      <c r="C45" s="2" t="s">
        <v>2236</v>
      </c>
      <c r="D45" s="2"/>
      <c r="E45" s="23">
        <v>110</v>
      </c>
      <c r="F45" s="2">
        <f t="shared" si="0"/>
        <v>0</v>
      </c>
      <c r="G45" s="2"/>
    </row>
    <row r="46" spans="2:7" x14ac:dyDescent="0.25">
      <c r="B46" s="3">
        <v>45584</v>
      </c>
      <c r="C46" s="2" t="s">
        <v>2254</v>
      </c>
      <c r="D46" s="2"/>
      <c r="E46" s="23">
        <v>110</v>
      </c>
      <c r="F46" s="2"/>
      <c r="G46" s="2"/>
    </row>
    <row r="47" spans="2:7" x14ac:dyDescent="0.25">
      <c r="B47" s="3">
        <v>45585</v>
      </c>
      <c r="C47" s="2" t="s">
        <v>2254</v>
      </c>
      <c r="D47" s="2"/>
      <c r="E47" s="23">
        <v>110</v>
      </c>
      <c r="F47" s="2"/>
      <c r="G47" s="2"/>
    </row>
    <row r="48" spans="2:7" x14ac:dyDescent="0.25">
      <c r="B48" s="3">
        <v>45586</v>
      </c>
      <c r="C48" s="2" t="s">
        <v>2254</v>
      </c>
      <c r="D48" s="2"/>
      <c r="E48" s="23">
        <v>110</v>
      </c>
      <c r="F48" s="2"/>
      <c r="G48" s="2"/>
    </row>
    <row r="49" spans="2:7" x14ac:dyDescent="0.25">
      <c r="B49" s="3">
        <v>45587</v>
      </c>
      <c r="C49" s="2" t="s">
        <v>2254</v>
      </c>
      <c r="D49" s="2" t="s">
        <v>2276</v>
      </c>
      <c r="E49" s="23">
        <v>110</v>
      </c>
      <c r="F49" s="2"/>
      <c r="G49" s="2"/>
    </row>
    <row r="50" spans="2:7" x14ac:dyDescent="0.25">
      <c r="B50" s="3">
        <v>45588</v>
      </c>
      <c r="C50" s="2" t="s">
        <v>2254</v>
      </c>
      <c r="D50" s="2"/>
      <c r="E50" s="23">
        <v>110</v>
      </c>
      <c r="F50" s="2"/>
      <c r="G50" s="2"/>
    </row>
    <row r="51" spans="2:7" x14ac:dyDescent="0.25">
      <c r="B51" s="3">
        <v>45589</v>
      </c>
      <c r="C51" s="2" t="s">
        <v>480</v>
      </c>
      <c r="D51" s="2"/>
      <c r="E51" s="23">
        <v>110</v>
      </c>
      <c r="F51" s="2"/>
      <c r="G51" s="2"/>
    </row>
    <row r="52" spans="2:7" x14ac:dyDescent="0.25">
      <c r="B52" s="3">
        <v>45590</v>
      </c>
      <c r="C52" s="2" t="s">
        <v>480</v>
      </c>
      <c r="D52" s="2"/>
      <c r="E52" s="23">
        <v>110</v>
      </c>
      <c r="F52" s="2"/>
      <c r="G52" s="2"/>
    </row>
    <row r="53" spans="2:7" x14ac:dyDescent="0.25">
      <c r="B53" s="3">
        <v>45591</v>
      </c>
      <c r="C53" s="2" t="s">
        <v>2308</v>
      </c>
      <c r="D53" s="2"/>
      <c r="E53" s="23">
        <v>110</v>
      </c>
      <c r="F53" s="2"/>
      <c r="G53" s="2"/>
    </row>
    <row r="54" spans="2:7" x14ac:dyDescent="0.25">
      <c r="B54" s="3">
        <v>45592</v>
      </c>
      <c r="C54" s="2"/>
      <c r="D54" s="2"/>
      <c r="E54" s="23">
        <v>110</v>
      </c>
      <c r="F54" s="2"/>
      <c r="G54" s="2"/>
    </row>
    <row r="55" spans="2:7" x14ac:dyDescent="0.25">
      <c r="B55" s="3">
        <v>45593</v>
      </c>
      <c r="C55" s="2"/>
      <c r="D55" s="2"/>
      <c r="E55" s="2"/>
      <c r="F55" s="2"/>
      <c r="G55" s="2"/>
    </row>
    <row r="56" spans="2:7" x14ac:dyDescent="0.25">
      <c r="B56" s="3">
        <v>45594</v>
      </c>
      <c r="C56" s="2"/>
      <c r="D56" s="2"/>
      <c r="E56" s="2"/>
      <c r="F56" s="2"/>
      <c r="G56" s="2"/>
    </row>
    <row r="57" spans="2:7" x14ac:dyDescent="0.25">
      <c r="B57" s="3">
        <v>45595</v>
      </c>
      <c r="C57" s="2"/>
      <c r="D57" s="2"/>
      <c r="E57" s="2"/>
      <c r="F57" s="2"/>
      <c r="G57" s="2"/>
    </row>
    <row r="58" spans="2:7" x14ac:dyDescent="0.25">
      <c r="B58" s="3">
        <v>45596</v>
      </c>
      <c r="C58" s="2"/>
      <c r="D58" s="2" t="s">
        <v>2383</v>
      </c>
      <c r="E58" s="2"/>
      <c r="F58" s="2"/>
      <c r="G58" s="2"/>
    </row>
    <row r="59" spans="2:7" x14ac:dyDescent="0.25">
      <c r="B59" s="3">
        <v>45597</v>
      </c>
      <c r="C59" s="2"/>
      <c r="D59" s="2"/>
      <c r="E59" s="2"/>
      <c r="F59" s="2"/>
      <c r="G59" s="2"/>
    </row>
    <row r="60" spans="2:7" x14ac:dyDescent="0.25">
      <c r="B60" s="3">
        <v>45598</v>
      </c>
      <c r="C60" s="2"/>
      <c r="D60" s="2"/>
      <c r="E60" s="2"/>
      <c r="F60" s="2"/>
      <c r="G60" s="2"/>
    </row>
    <row r="61" spans="2:7" x14ac:dyDescent="0.25">
      <c r="B61" s="3">
        <v>45599</v>
      </c>
      <c r="C61" s="2"/>
      <c r="D61" s="2"/>
      <c r="E61" s="2"/>
      <c r="F61" s="2"/>
      <c r="G61" s="2"/>
    </row>
    <row r="62" spans="2:7" x14ac:dyDescent="0.25">
      <c r="B62" s="3">
        <v>45600</v>
      </c>
      <c r="C62" s="2"/>
      <c r="D62" s="2"/>
      <c r="E62" s="2"/>
      <c r="F62" s="2"/>
      <c r="G62" s="2"/>
    </row>
    <row r="63" spans="2:7" x14ac:dyDescent="0.25">
      <c r="B63" s="3">
        <v>45601</v>
      </c>
      <c r="C63" s="2"/>
      <c r="D63" s="2"/>
      <c r="E63" s="2"/>
      <c r="F63" s="2"/>
      <c r="G63" s="2"/>
    </row>
    <row r="64" spans="2:7" x14ac:dyDescent="0.25">
      <c r="B64" s="3">
        <v>45602</v>
      </c>
      <c r="C64" s="2"/>
      <c r="D64" s="2"/>
      <c r="E64" s="2"/>
      <c r="F64" s="2"/>
      <c r="G64" s="2"/>
    </row>
    <row r="65" spans="2:7" x14ac:dyDescent="0.25">
      <c r="B65" s="3">
        <v>45603</v>
      </c>
      <c r="C65" s="2"/>
      <c r="D65" s="2"/>
      <c r="E65" s="2"/>
      <c r="F65" s="2"/>
      <c r="G65" s="2"/>
    </row>
    <row r="66" spans="2:7" x14ac:dyDescent="0.25">
      <c r="B66" s="3">
        <v>45604</v>
      </c>
      <c r="C66" s="2" t="s">
        <v>2437</v>
      </c>
      <c r="D66" s="2" t="s">
        <v>2438</v>
      </c>
      <c r="E66" s="2"/>
      <c r="F66" s="2"/>
      <c r="G66" s="2"/>
    </row>
    <row r="67" spans="2:7" x14ac:dyDescent="0.25">
      <c r="B67" s="3">
        <v>45605</v>
      </c>
      <c r="C67" s="2"/>
      <c r="D67" s="2"/>
      <c r="E67" s="2"/>
      <c r="F67" s="2"/>
      <c r="G67" s="2"/>
    </row>
    <row r="68" spans="2:7" x14ac:dyDescent="0.25">
      <c r="B68" s="3">
        <v>45606</v>
      </c>
      <c r="C68" s="2"/>
      <c r="D68" s="2"/>
      <c r="E68" s="2"/>
      <c r="F68" s="2"/>
      <c r="G68" s="2"/>
    </row>
    <row r="69" spans="2:7" x14ac:dyDescent="0.25">
      <c r="B69" s="3">
        <v>45607</v>
      </c>
      <c r="C69" s="2"/>
      <c r="D69" s="2" t="s">
        <v>2502</v>
      </c>
      <c r="E69" s="2"/>
      <c r="F69" s="2"/>
      <c r="G69" s="2"/>
    </row>
    <row r="70" spans="2:7" x14ac:dyDescent="0.25">
      <c r="B70" s="3">
        <v>45608</v>
      </c>
      <c r="C70" s="2"/>
      <c r="D70" s="2"/>
      <c r="E70" s="2"/>
      <c r="F70" s="2"/>
      <c r="G70" s="2"/>
    </row>
    <row r="71" spans="2:7" x14ac:dyDescent="0.25">
      <c r="B71" s="3">
        <v>45609</v>
      </c>
      <c r="C71" s="2"/>
      <c r="D71" s="2"/>
      <c r="E71" s="2"/>
      <c r="F71" s="2"/>
      <c r="G71" s="2"/>
    </row>
    <row r="72" spans="2:7" x14ac:dyDescent="0.25">
      <c r="B72" s="3">
        <v>45610</v>
      </c>
      <c r="C72" s="2"/>
      <c r="D72" s="2"/>
      <c r="E72" s="2"/>
      <c r="F72" s="2"/>
      <c r="G72" s="2"/>
    </row>
    <row r="73" spans="2:7" x14ac:dyDescent="0.25">
      <c r="B73" s="3">
        <v>45611</v>
      </c>
      <c r="C73" s="2"/>
      <c r="D73" s="2"/>
      <c r="E73" s="2"/>
      <c r="F73" s="2"/>
      <c r="G73" s="2"/>
    </row>
    <row r="74" spans="2:7" x14ac:dyDescent="0.25">
      <c r="B74" s="3">
        <v>45612</v>
      </c>
      <c r="C74" s="2"/>
      <c r="D74" s="2"/>
      <c r="E74" s="2"/>
      <c r="F74" s="2"/>
      <c r="G74" s="2"/>
    </row>
    <row r="75" spans="2:7" x14ac:dyDescent="0.25">
      <c r="B75" s="3">
        <v>45613</v>
      </c>
      <c r="C75" s="2"/>
      <c r="D75" s="2"/>
      <c r="E75" s="2"/>
      <c r="F75" s="2"/>
      <c r="G75" s="2"/>
    </row>
    <row r="76" spans="2:7" x14ac:dyDescent="0.25">
      <c r="B76" s="3">
        <v>45614</v>
      </c>
      <c r="C76" s="2"/>
      <c r="D76" s="2"/>
      <c r="E76" s="2"/>
      <c r="F76" s="2"/>
      <c r="G76" s="2"/>
    </row>
    <row r="77" spans="2:7" x14ac:dyDescent="0.25">
      <c r="B77" s="3">
        <v>45615</v>
      </c>
      <c r="C77" s="2"/>
      <c r="D77" s="2"/>
      <c r="E77" s="2"/>
      <c r="F77" s="2"/>
      <c r="G77" s="2"/>
    </row>
    <row r="78" spans="2:7" x14ac:dyDescent="0.25">
      <c r="B78" s="3">
        <v>45616</v>
      </c>
      <c r="C78" s="2"/>
      <c r="D78" s="2"/>
      <c r="E78" s="2"/>
      <c r="F78" s="2"/>
      <c r="G78" s="2"/>
    </row>
    <row r="79" spans="2:7" x14ac:dyDescent="0.25">
      <c r="B79" s="3">
        <v>45617</v>
      </c>
      <c r="C79" s="2"/>
      <c r="D79" s="2"/>
      <c r="E79" s="2"/>
      <c r="F79" s="2"/>
      <c r="G79" s="2"/>
    </row>
    <row r="80" spans="2:7" x14ac:dyDescent="0.25">
      <c r="B80" s="3">
        <v>45618</v>
      </c>
      <c r="C80" s="2"/>
      <c r="D80" s="2"/>
      <c r="E80" s="2"/>
      <c r="F80" s="2"/>
      <c r="G80" s="2"/>
    </row>
    <row r="81" spans="2:7" x14ac:dyDescent="0.25">
      <c r="B81" s="3">
        <v>45619</v>
      </c>
      <c r="C81" s="2"/>
      <c r="D81" s="2"/>
      <c r="E81" s="2"/>
      <c r="F81" s="2"/>
      <c r="G81" s="2"/>
    </row>
    <row r="82" spans="2:7" x14ac:dyDescent="0.25">
      <c r="B82" s="3">
        <v>45620</v>
      </c>
      <c r="C82" s="2"/>
      <c r="D82" s="2"/>
      <c r="E82" s="2"/>
      <c r="F82" s="2"/>
      <c r="G82" s="2"/>
    </row>
    <row r="83" spans="2:7" x14ac:dyDescent="0.25">
      <c r="B83" s="3">
        <v>45621</v>
      </c>
      <c r="C83" s="2"/>
      <c r="D83" s="2"/>
      <c r="E83" s="2"/>
      <c r="F83" s="2"/>
      <c r="G83" s="2"/>
    </row>
    <row r="84" spans="2:7" x14ac:dyDescent="0.25">
      <c r="B84" s="3">
        <v>45622</v>
      </c>
      <c r="C84" s="2"/>
      <c r="D84" s="2"/>
      <c r="E84" s="2"/>
      <c r="F84" s="2"/>
      <c r="G84" s="2"/>
    </row>
    <row r="85" spans="2:7" x14ac:dyDescent="0.25">
      <c r="B85" s="3">
        <v>45623</v>
      </c>
      <c r="C85" s="2"/>
      <c r="D85" s="2"/>
      <c r="E85" s="2"/>
      <c r="F85" s="2"/>
      <c r="G85" s="2"/>
    </row>
    <row r="86" spans="2:7" x14ac:dyDescent="0.25">
      <c r="B86" s="3">
        <v>45624</v>
      </c>
      <c r="C86" s="2"/>
      <c r="D86" s="2"/>
      <c r="E86" s="2"/>
      <c r="F86" s="2"/>
      <c r="G86" s="2"/>
    </row>
    <row r="87" spans="2:7" x14ac:dyDescent="0.25">
      <c r="B87" s="3">
        <v>45625</v>
      </c>
      <c r="C87" s="2"/>
      <c r="D87" s="2"/>
      <c r="E87" s="2"/>
      <c r="F87" s="2"/>
      <c r="G87" s="2"/>
    </row>
    <row r="88" spans="2:7" x14ac:dyDescent="0.25">
      <c r="B88" s="3">
        <v>45626</v>
      </c>
      <c r="C88" s="2"/>
      <c r="D88" s="2"/>
      <c r="E88" s="2"/>
      <c r="F88" s="2"/>
      <c r="G88" s="2"/>
    </row>
    <row r="89" spans="2:7" x14ac:dyDescent="0.25">
      <c r="B89" s="3">
        <v>45627</v>
      </c>
      <c r="C89" s="2"/>
      <c r="D89" s="2"/>
      <c r="E89" s="2"/>
      <c r="F89" s="2"/>
      <c r="G89" s="2"/>
    </row>
    <row r="90" spans="2:7" x14ac:dyDescent="0.25">
      <c r="B90" s="3">
        <v>45628</v>
      </c>
      <c r="C90" s="2" t="s">
        <v>2665</v>
      </c>
      <c r="D90" s="2"/>
      <c r="E90" s="2"/>
      <c r="F90" s="2"/>
      <c r="G90" s="2"/>
    </row>
    <row r="91" spans="2:7" x14ac:dyDescent="0.25">
      <c r="B91" s="3">
        <v>45629</v>
      </c>
      <c r="C91" s="2" t="s">
        <v>2677</v>
      </c>
      <c r="D91" s="2"/>
      <c r="E91" s="2"/>
      <c r="F91" s="2"/>
      <c r="G91" s="2"/>
    </row>
    <row r="92" spans="2:7" x14ac:dyDescent="0.25">
      <c r="B92" s="3">
        <v>45630</v>
      </c>
      <c r="C92" s="2"/>
      <c r="D92" s="2"/>
      <c r="E92" s="2"/>
      <c r="F92" s="2"/>
      <c r="G92" s="2"/>
    </row>
    <row r="93" spans="2:7" x14ac:dyDescent="0.25">
      <c r="B93" s="3">
        <v>45631</v>
      </c>
      <c r="C93" s="2"/>
      <c r="D93" s="2"/>
      <c r="E93" s="2"/>
      <c r="F93" s="2"/>
      <c r="G93" s="2"/>
    </row>
    <row r="94" spans="2:7" x14ac:dyDescent="0.25">
      <c r="B94" s="3">
        <v>45632</v>
      </c>
      <c r="C94" s="2" t="s">
        <v>2708</v>
      </c>
      <c r="D94" s="2"/>
      <c r="E94" s="2"/>
      <c r="F94" s="2"/>
      <c r="G94" s="2"/>
    </row>
    <row r="95" spans="2:7" x14ac:dyDescent="0.25">
      <c r="B95" s="3">
        <v>45633</v>
      </c>
      <c r="C95" s="2"/>
      <c r="D95" s="2"/>
      <c r="E95" s="2"/>
      <c r="F95" s="2"/>
      <c r="G95" s="2"/>
    </row>
    <row r="96" spans="2:7" x14ac:dyDescent="0.25">
      <c r="B96" s="3">
        <v>45634</v>
      </c>
      <c r="C96" s="2"/>
      <c r="D96" s="2"/>
      <c r="E96" s="2"/>
      <c r="F96" s="2"/>
      <c r="G96" s="2"/>
    </row>
    <row r="97" spans="2:7" x14ac:dyDescent="0.25">
      <c r="B97" s="3">
        <v>45635</v>
      </c>
      <c r="C97" s="2"/>
      <c r="D97" s="2"/>
      <c r="E97" s="2"/>
      <c r="F97" s="2"/>
      <c r="G97" s="2"/>
    </row>
    <row r="98" spans="2:7" x14ac:dyDescent="0.25">
      <c r="B98" s="3">
        <v>45636</v>
      </c>
      <c r="C98" s="2"/>
      <c r="D98" s="2"/>
      <c r="E98" s="2"/>
      <c r="F98" s="2"/>
      <c r="G98" s="2"/>
    </row>
    <row r="99" spans="2:7" x14ac:dyDescent="0.25">
      <c r="B99" s="3">
        <v>45637</v>
      </c>
      <c r="C99" s="2"/>
      <c r="D99" s="2"/>
      <c r="E99" s="2"/>
      <c r="F99" s="2"/>
      <c r="G99" s="2"/>
    </row>
    <row r="100" spans="2:7" x14ac:dyDescent="0.25">
      <c r="B100" s="3">
        <v>45638</v>
      </c>
      <c r="C100" s="2"/>
      <c r="D100" s="2"/>
      <c r="E100" s="2"/>
      <c r="F100" s="2"/>
      <c r="G100" s="2"/>
    </row>
    <row r="101" spans="2:7" x14ac:dyDescent="0.25">
      <c r="B101" s="3">
        <v>45639</v>
      </c>
      <c r="C101" s="2"/>
      <c r="D101" s="2"/>
      <c r="E101" s="2"/>
      <c r="F101" s="2"/>
      <c r="G101" s="2"/>
    </row>
    <row r="102" spans="2:7" x14ac:dyDescent="0.25">
      <c r="B102" s="3">
        <v>45640</v>
      </c>
      <c r="C102" s="2"/>
      <c r="D102" s="2"/>
      <c r="E102" s="2"/>
      <c r="F102" s="2"/>
      <c r="G102" s="2"/>
    </row>
    <row r="103" spans="2:7" x14ac:dyDescent="0.25">
      <c r="B103" s="3">
        <v>45641</v>
      </c>
      <c r="C103" s="2"/>
      <c r="D103" s="2"/>
      <c r="E103" s="2"/>
      <c r="F103" s="2"/>
      <c r="G103" s="2"/>
    </row>
    <row r="104" spans="2:7" x14ac:dyDescent="0.25">
      <c r="B104" s="3">
        <v>45642</v>
      </c>
      <c r="C104" s="2"/>
      <c r="D104" s="2"/>
      <c r="E104" s="2"/>
      <c r="F104" s="2"/>
      <c r="G104" s="2"/>
    </row>
    <row r="105" spans="2:7" x14ac:dyDescent="0.25">
      <c r="B105" s="3">
        <v>45643</v>
      </c>
      <c r="C105" s="2" t="s">
        <v>2805</v>
      </c>
      <c r="D105" s="2" t="s">
        <v>2818</v>
      </c>
      <c r="E105" s="2"/>
      <c r="F105" s="2"/>
      <c r="G105" s="2"/>
    </row>
    <row r="106" spans="2:7" x14ac:dyDescent="0.25">
      <c r="B106" s="3">
        <v>45644</v>
      </c>
      <c r="C106" s="2" t="s">
        <v>2816</v>
      </c>
      <c r="D106" s="2"/>
      <c r="E106" s="23">
        <v>0</v>
      </c>
      <c r="F106" s="2"/>
      <c r="G106" s="2"/>
    </row>
    <row r="107" spans="2:7" x14ac:dyDescent="0.25">
      <c r="B107" s="3">
        <v>45645</v>
      </c>
      <c r="C107" s="2" t="s">
        <v>2826</v>
      </c>
      <c r="D107" s="2" t="s">
        <v>2829</v>
      </c>
      <c r="E107" s="23">
        <v>56</v>
      </c>
      <c r="F107" s="2">
        <f>E107-E106</f>
        <v>56</v>
      </c>
      <c r="G107" s="2"/>
    </row>
    <row r="108" spans="2:7" x14ac:dyDescent="0.25">
      <c r="B108" s="3">
        <v>45646</v>
      </c>
      <c r="C108" s="2" t="s">
        <v>2837</v>
      </c>
      <c r="D108" s="2"/>
      <c r="E108" s="23">
        <v>56</v>
      </c>
      <c r="F108" s="2">
        <f t="shared" ref="F108:F154" si="1">E108-E107</f>
        <v>0</v>
      </c>
      <c r="G108" s="2"/>
    </row>
    <row r="109" spans="2:7" x14ac:dyDescent="0.25">
      <c r="B109" s="3">
        <v>45647</v>
      </c>
      <c r="C109" s="2" t="s">
        <v>2851</v>
      </c>
      <c r="D109" s="2"/>
      <c r="E109" s="23">
        <v>90</v>
      </c>
      <c r="F109" s="2">
        <f t="shared" si="1"/>
        <v>34</v>
      </c>
      <c r="G109" s="2"/>
    </row>
    <row r="110" spans="2:7" x14ac:dyDescent="0.25">
      <c r="B110" s="3">
        <v>45648</v>
      </c>
      <c r="C110" s="2" t="s">
        <v>2852</v>
      </c>
      <c r="D110" s="2"/>
      <c r="E110" s="23">
        <v>105</v>
      </c>
      <c r="F110" s="2">
        <f t="shared" si="1"/>
        <v>15</v>
      </c>
      <c r="G110" s="2"/>
    </row>
    <row r="111" spans="2:7" x14ac:dyDescent="0.25">
      <c r="B111" s="3">
        <v>45649</v>
      </c>
      <c r="C111" s="2" t="s">
        <v>2880</v>
      </c>
      <c r="D111" s="2" t="s">
        <v>2881</v>
      </c>
      <c r="E111" s="23">
        <v>108</v>
      </c>
      <c r="F111" s="2">
        <f t="shared" si="1"/>
        <v>3</v>
      </c>
      <c r="G111" s="2"/>
    </row>
    <row r="112" spans="2:7" x14ac:dyDescent="0.25">
      <c r="B112" s="3">
        <v>45650</v>
      </c>
      <c r="C112" s="2" t="s">
        <v>2900</v>
      </c>
      <c r="D112" s="2"/>
      <c r="E112" s="23">
        <v>108</v>
      </c>
      <c r="F112" s="2">
        <f t="shared" si="1"/>
        <v>0</v>
      </c>
      <c r="G112" s="2"/>
    </row>
    <row r="113" spans="2:7" x14ac:dyDescent="0.25">
      <c r="B113" s="3">
        <v>45651</v>
      </c>
      <c r="C113" s="2" t="s">
        <v>2907</v>
      </c>
      <c r="D113" s="2"/>
      <c r="E113" s="23">
        <v>108</v>
      </c>
      <c r="F113" s="2">
        <f t="shared" si="1"/>
        <v>0</v>
      </c>
      <c r="G113" s="2"/>
    </row>
    <row r="114" spans="2:7" x14ac:dyDescent="0.25">
      <c r="B114" s="3">
        <v>45652</v>
      </c>
      <c r="C114" s="2" t="s">
        <v>2917</v>
      </c>
      <c r="D114" s="2"/>
      <c r="E114" s="23">
        <v>108</v>
      </c>
      <c r="F114" s="2">
        <f t="shared" si="1"/>
        <v>0</v>
      </c>
      <c r="G114" s="2"/>
    </row>
    <row r="115" spans="2:7" x14ac:dyDescent="0.25">
      <c r="B115" s="3">
        <v>45653</v>
      </c>
      <c r="C115" s="2" t="s">
        <v>2928</v>
      </c>
      <c r="D115" s="2"/>
      <c r="E115" s="23">
        <v>108</v>
      </c>
      <c r="F115" s="2">
        <f t="shared" si="1"/>
        <v>0</v>
      </c>
      <c r="G115" s="2"/>
    </row>
    <row r="116" spans="2:7" x14ac:dyDescent="0.25">
      <c r="B116" s="3">
        <v>45654</v>
      </c>
      <c r="C116" s="2" t="s">
        <v>2951</v>
      </c>
      <c r="D116" s="2"/>
      <c r="E116" s="23">
        <v>106</v>
      </c>
      <c r="F116" s="2">
        <f t="shared" si="1"/>
        <v>-2</v>
      </c>
      <c r="G116" s="2"/>
    </row>
    <row r="117" spans="2:7" x14ac:dyDescent="0.25">
      <c r="B117" s="3">
        <v>45655</v>
      </c>
      <c r="C117" s="2" t="s">
        <v>2952</v>
      </c>
      <c r="D117" s="2"/>
      <c r="E117" s="23">
        <v>109</v>
      </c>
      <c r="F117" s="2">
        <f t="shared" si="1"/>
        <v>3</v>
      </c>
      <c r="G117" s="2"/>
    </row>
    <row r="118" spans="2:7" x14ac:dyDescent="0.25">
      <c r="B118" s="3">
        <v>45656</v>
      </c>
      <c r="C118" s="2"/>
      <c r="D118" s="2"/>
      <c r="E118" s="23">
        <v>109</v>
      </c>
      <c r="F118" s="2">
        <f t="shared" si="1"/>
        <v>0</v>
      </c>
      <c r="G118" s="2"/>
    </row>
    <row r="119" spans="2:7" x14ac:dyDescent="0.25">
      <c r="B119" s="3">
        <v>45657</v>
      </c>
      <c r="C119" s="2"/>
      <c r="D119" s="2"/>
      <c r="E119" s="23">
        <v>109</v>
      </c>
      <c r="F119" s="2">
        <f t="shared" si="1"/>
        <v>0</v>
      </c>
      <c r="G119" s="2"/>
    </row>
    <row r="120" spans="2:7" x14ac:dyDescent="0.25">
      <c r="B120" s="4">
        <v>45658</v>
      </c>
      <c r="C120" s="2" t="s">
        <v>2977</v>
      </c>
      <c r="D120" s="2"/>
      <c r="E120" s="23">
        <v>118</v>
      </c>
      <c r="F120" s="2">
        <f t="shared" si="1"/>
        <v>9</v>
      </c>
      <c r="G120" s="2"/>
    </row>
    <row r="121" spans="2:7" x14ac:dyDescent="0.25">
      <c r="B121" s="4">
        <v>45659</v>
      </c>
      <c r="C121" s="2" t="s">
        <v>2990</v>
      </c>
      <c r="D121" s="2"/>
      <c r="E121" s="23">
        <v>118</v>
      </c>
      <c r="F121" s="2">
        <f t="shared" si="1"/>
        <v>0</v>
      </c>
      <c r="G121" s="2"/>
    </row>
    <row r="122" spans="2:7" x14ac:dyDescent="0.25">
      <c r="B122" s="4">
        <v>45660</v>
      </c>
      <c r="C122" s="2" t="s">
        <v>3002</v>
      </c>
      <c r="D122" s="2"/>
      <c r="E122" s="23">
        <v>118</v>
      </c>
      <c r="F122" s="2">
        <f t="shared" si="1"/>
        <v>0</v>
      </c>
      <c r="G122" s="2"/>
    </row>
    <row r="123" spans="2:7" x14ac:dyDescent="0.25">
      <c r="B123" s="4">
        <v>45661</v>
      </c>
      <c r="C123" s="2" t="s">
        <v>2928</v>
      </c>
      <c r="D123" s="2"/>
      <c r="E123" s="23">
        <v>118</v>
      </c>
      <c r="F123" s="2">
        <f t="shared" si="1"/>
        <v>0</v>
      </c>
      <c r="G123" s="2"/>
    </row>
    <row r="124" spans="2:7" x14ac:dyDescent="0.25">
      <c r="B124" s="4">
        <v>45662</v>
      </c>
      <c r="C124" s="2" t="s">
        <v>3052</v>
      </c>
      <c r="D124" s="2"/>
      <c r="E124" s="23">
        <v>123</v>
      </c>
      <c r="F124" s="2">
        <f t="shared" si="1"/>
        <v>5</v>
      </c>
      <c r="G124" s="2"/>
    </row>
    <row r="125" spans="2:7" x14ac:dyDescent="0.25">
      <c r="B125" s="4">
        <v>45663</v>
      </c>
      <c r="C125" s="2" t="s">
        <v>3051</v>
      </c>
      <c r="D125" s="2"/>
      <c r="E125" s="23">
        <v>126</v>
      </c>
      <c r="F125" s="2">
        <f t="shared" si="1"/>
        <v>3</v>
      </c>
      <c r="G125" s="2"/>
    </row>
    <row r="126" spans="2:7" x14ac:dyDescent="0.25">
      <c r="B126" s="4">
        <v>45664</v>
      </c>
      <c r="C126" s="2" t="s">
        <v>3067</v>
      </c>
      <c r="D126" s="2"/>
      <c r="E126" s="23">
        <v>126</v>
      </c>
      <c r="F126" s="2">
        <f t="shared" si="1"/>
        <v>0</v>
      </c>
      <c r="G126" s="2"/>
    </row>
    <row r="127" spans="2:7" x14ac:dyDescent="0.25">
      <c r="B127" s="4">
        <v>45665</v>
      </c>
      <c r="C127" s="2" t="s">
        <v>3076</v>
      </c>
      <c r="D127" s="2" t="s">
        <v>3077</v>
      </c>
      <c r="E127" s="23">
        <v>130</v>
      </c>
      <c r="F127" s="2">
        <f t="shared" si="1"/>
        <v>4</v>
      </c>
      <c r="G127" s="2"/>
    </row>
    <row r="128" spans="2:7" x14ac:dyDescent="0.25">
      <c r="B128" s="4">
        <v>45666</v>
      </c>
      <c r="C128" s="2" t="s">
        <v>3096</v>
      </c>
      <c r="D128" s="2" t="s">
        <v>3087</v>
      </c>
      <c r="E128" s="23">
        <v>133</v>
      </c>
      <c r="F128" s="2">
        <f t="shared" si="1"/>
        <v>3</v>
      </c>
      <c r="G128" s="2"/>
    </row>
    <row r="129" spans="2:7" x14ac:dyDescent="0.25">
      <c r="B129" s="4">
        <v>45667</v>
      </c>
      <c r="C129" s="2" t="s">
        <v>3097</v>
      </c>
      <c r="D129" s="2"/>
      <c r="E129" s="23">
        <v>136</v>
      </c>
      <c r="F129" s="2">
        <f t="shared" si="1"/>
        <v>3</v>
      </c>
      <c r="G129" s="2"/>
    </row>
    <row r="130" spans="2:7" x14ac:dyDescent="0.25">
      <c r="B130" s="4">
        <v>45668</v>
      </c>
      <c r="C130" s="2" t="s">
        <v>3112</v>
      </c>
      <c r="D130" s="2"/>
      <c r="E130" s="23">
        <v>137</v>
      </c>
      <c r="F130" s="2">
        <f t="shared" si="1"/>
        <v>1</v>
      </c>
      <c r="G130" s="2"/>
    </row>
    <row r="131" spans="2:7" x14ac:dyDescent="0.25">
      <c r="B131" s="4">
        <v>45669</v>
      </c>
      <c r="C131" s="2" t="s">
        <v>3111</v>
      </c>
      <c r="D131" s="2"/>
      <c r="E131" s="23">
        <v>137</v>
      </c>
      <c r="F131" s="2">
        <f t="shared" si="1"/>
        <v>0</v>
      </c>
      <c r="G131" s="2"/>
    </row>
    <row r="132" spans="2:7" x14ac:dyDescent="0.25">
      <c r="B132" s="4">
        <v>45670</v>
      </c>
      <c r="C132" s="2" t="s">
        <v>3120</v>
      </c>
      <c r="D132" s="2"/>
      <c r="E132" s="23">
        <v>138</v>
      </c>
      <c r="F132" s="2">
        <f t="shared" si="1"/>
        <v>1</v>
      </c>
      <c r="G132" s="2"/>
    </row>
    <row r="133" spans="2:7" x14ac:dyDescent="0.25">
      <c r="B133" s="4">
        <v>45671</v>
      </c>
      <c r="C133" s="2" t="s">
        <v>3134</v>
      </c>
      <c r="D133" s="2"/>
      <c r="E133" s="23">
        <v>138</v>
      </c>
      <c r="F133" s="2">
        <f t="shared" si="1"/>
        <v>0</v>
      </c>
      <c r="G133" s="2"/>
    </row>
    <row r="134" spans="2:7" x14ac:dyDescent="0.25">
      <c r="B134" s="4">
        <v>45672</v>
      </c>
      <c r="C134" s="2" t="s">
        <v>3140</v>
      </c>
      <c r="D134" s="2"/>
      <c r="E134" s="23">
        <v>138</v>
      </c>
      <c r="F134" s="2">
        <f t="shared" si="1"/>
        <v>0</v>
      </c>
      <c r="G134" s="2"/>
    </row>
    <row r="135" spans="2:7" x14ac:dyDescent="0.25">
      <c r="B135" s="4">
        <v>45673</v>
      </c>
      <c r="C135" s="2" t="s">
        <v>3158</v>
      </c>
      <c r="D135" s="2"/>
      <c r="E135" s="23">
        <v>138</v>
      </c>
      <c r="F135" s="2">
        <f t="shared" si="1"/>
        <v>0</v>
      </c>
      <c r="G135" s="2"/>
    </row>
    <row r="136" spans="2:7" x14ac:dyDescent="0.25">
      <c r="B136" s="4">
        <v>45674</v>
      </c>
      <c r="C136" s="2" t="s">
        <v>3167</v>
      </c>
      <c r="D136" s="2"/>
      <c r="E136" s="23">
        <v>138</v>
      </c>
      <c r="F136" s="2">
        <f t="shared" si="1"/>
        <v>0</v>
      </c>
      <c r="G136" s="2"/>
    </row>
    <row r="137" spans="2:7" x14ac:dyDescent="0.25">
      <c r="B137" s="4">
        <v>45675</v>
      </c>
      <c r="C137" s="2" t="s">
        <v>3179</v>
      </c>
      <c r="D137" s="2"/>
      <c r="E137" s="23">
        <v>143</v>
      </c>
      <c r="F137" s="2">
        <f t="shared" si="1"/>
        <v>5</v>
      </c>
      <c r="G137" s="2"/>
    </row>
    <row r="138" spans="2:7" x14ac:dyDescent="0.25">
      <c r="B138" s="4">
        <v>45676</v>
      </c>
      <c r="C138" s="2" t="s">
        <v>2463</v>
      </c>
      <c r="D138" s="2"/>
      <c r="E138" s="23">
        <v>143</v>
      </c>
      <c r="F138" s="2">
        <f t="shared" si="1"/>
        <v>0</v>
      </c>
      <c r="G138" s="2"/>
    </row>
    <row r="139" spans="2:7" x14ac:dyDescent="0.25">
      <c r="B139" s="4">
        <v>45677</v>
      </c>
      <c r="C139" s="2" t="s">
        <v>3180</v>
      </c>
      <c r="D139" s="2" t="s">
        <v>3181</v>
      </c>
      <c r="E139" s="23">
        <v>143</v>
      </c>
      <c r="F139" s="2">
        <f t="shared" si="1"/>
        <v>0</v>
      </c>
      <c r="G139" s="2"/>
    </row>
    <row r="140" spans="2:7" x14ac:dyDescent="0.25">
      <c r="B140" s="4">
        <v>45678</v>
      </c>
      <c r="C140" s="2" t="s">
        <v>3189</v>
      </c>
      <c r="D140" s="2"/>
      <c r="E140" s="23">
        <v>143</v>
      </c>
      <c r="F140" s="2">
        <f t="shared" si="1"/>
        <v>0</v>
      </c>
      <c r="G140" s="2"/>
    </row>
    <row r="141" spans="2:7" x14ac:dyDescent="0.25">
      <c r="B141" s="4">
        <v>45679</v>
      </c>
      <c r="C141" s="2" t="s">
        <v>3203</v>
      </c>
      <c r="D141" s="2"/>
      <c r="E141" s="23">
        <v>143</v>
      </c>
      <c r="F141" s="2">
        <f t="shared" si="1"/>
        <v>0</v>
      </c>
      <c r="G141" s="2"/>
    </row>
    <row r="142" spans="2:7" x14ac:dyDescent="0.25">
      <c r="B142" s="4">
        <v>45680</v>
      </c>
      <c r="C142" s="2" t="s">
        <v>3202</v>
      </c>
      <c r="D142" s="2"/>
      <c r="E142" s="23">
        <v>143</v>
      </c>
      <c r="F142" s="2">
        <f t="shared" si="1"/>
        <v>0</v>
      </c>
      <c r="G142" s="2"/>
    </row>
    <row r="143" spans="2:7" x14ac:dyDescent="0.25">
      <c r="B143" s="4">
        <v>45681</v>
      </c>
      <c r="C143" s="2"/>
      <c r="D143" s="2"/>
      <c r="E143" s="23">
        <v>143</v>
      </c>
      <c r="F143" s="2">
        <f t="shared" si="1"/>
        <v>0</v>
      </c>
      <c r="G143" s="2"/>
    </row>
    <row r="144" spans="2:7" x14ac:dyDescent="0.25">
      <c r="B144" s="4">
        <v>45682</v>
      </c>
      <c r="C144" s="2"/>
      <c r="D144" s="2"/>
      <c r="E144" s="23">
        <v>143</v>
      </c>
      <c r="F144" s="2">
        <f t="shared" si="1"/>
        <v>0</v>
      </c>
      <c r="G144" s="2"/>
    </row>
    <row r="145" spans="2:7" x14ac:dyDescent="0.25">
      <c r="B145" s="4">
        <v>45683</v>
      </c>
      <c r="C145" s="2"/>
      <c r="D145" s="2"/>
      <c r="E145" s="23">
        <v>143</v>
      </c>
      <c r="F145" s="2">
        <f t="shared" si="1"/>
        <v>0</v>
      </c>
      <c r="G145" s="2"/>
    </row>
    <row r="146" spans="2:7" x14ac:dyDescent="0.25">
      <c r="B146" s="4">
        <v>45684</v>
      </c>
      <c r="C146" s="2" t="s">
        <v>3243</v>
      </c>
      <c r="D146" s="2"/>
      <c r="E146" s="23">
        <v>143</v>
      </c>
      <c r="F146" s="2">
        <f t="shared" si="1"/>
        <v>0</v>
      </c>
      <c r="G146" s="2"/>
    </row>
    <row r="147" spans="2:7" x14ac:dyDescent="0.25">
      <c r="B147" s="4">
        <v>45685</v>
      </c>
      <c r="C147" s="2" t="s">
        <v>3242</v>
      </c>
      <c r="D147" s="2"/>
      <c r="E147" s="23">
        <v>143</v>
      </c>
      <c r="F147" s="2">
        <f t="shared" si="1"/>
        <v>0</v>
      </c>
      <c r="G147" s="2"/>
    </row>
    <row r="148" spans="2:7" x14ac:dyDescent="0.25">
      <c r="B148" s="4">
        <v>45686</v>
      </c>
      <c r="C148" s="2" t="s">
        <v>1178</v>
      </c>
      <c r="D148" s="2"/>
      <c r="E148" s="23">
        <v>143</v>
      </c>
      <c r="F148" s="2">
        <f t="shared" si="1"/>
        <v>0</v>
      </c>
      <c r="G148" s="2"/>
    </row>
    <row r="149" spans="2:7" x14ac:dyDescent="0.25">
      <c r="B149" s="4">
        <v>45687</v>
      </c>
      <c r="C149" s="2" t="s">
        <v>1166</v>
      </c>
      <c r="D149" s="2"/>
      <c r="E149" s="23">
        <v>143</v>
      </c>
      <c r="F149" s="2">
        <f t="shared" si="1"/>
        <v>0</v>
      </c>
      <c r="G149" s="2"/>
    </row>
    <row r="150" spans="2:7" x14ac:dyDescent="0.25">
      <c r="B150" s="4">
        <v>45688</v>
      </c>
      <c r="C150" s="2" t="s">
        <v>1166</v>
      </c>
      <c r="D150" s="2"/>
      <c r="E150" s="23">
        <v>143</v>
      </c>
      <c r="F150" s="2">
        <f t="shared" si="1"/>
        <v>0</v>
      </c>
      <c r="G150" s="2"/>
    </row>
    <row r="151" spans="2:7" x14ac:dyDescent="0.25">
      <c r="B151" s="4">
        <v>45689</v>
      </c>
      <c r="C151" s="2"/>
      <c r="D151" s="2"/>
      <c r="E151" s="23">
        <v>143</v>
      </c>
      <c r="F151" s="2">
        <f t="shared" si="1"/>
        <v>0</v>
      </c>
      <c r="G151" s="2"/>
    </row>
    <row r="152" spans="2:7" x14ac:dyDescent="0.25">
      <c r="B152" s="4">
        <v>45690</v>
      </c>
      <c r="C152" s="2"/>
      <c r="D152" s="2"/>
      <c r="E152" s="23">
        <v>143</v>
      </c>
      <c r="F152" s="2">
        <f t="shared" si="1"/>
        <v>0</v>
      </c>
      <c r="G152" s="2"/>
    </row>
    <row r="153" spans="2:7" x14ac:dyDescent="0.25">
      <c r="B153" s="4">
        <v>45691</v>
      </c>
      <c r="C153" s="2"/>
      <c r="D153" s="2" t="s">
        <v>1166</v>
      </c>
      <c r="E153" s="23">
        <v>143</v>
      </c>
      <c r="F153" s="2">
        <f t="shared" si="1"/>
        <v>0</v>
      </c>
      <c r="G153" s="2"/>
    </row>
    <row r="154" spans="2:7" x14ac:dyDescent="0.25">
      <c r="B154" s="4">
        <v>45692</v>
      </c>
      <c r="C154" s="2"/>
      <c r="D154" s="2" t="s">
        <v>1166</v>
      </c>
      <c r="E154" s="23">
        <v>143</v>
      </c>
      <c r="F154" s="2">
        <f t="shared" si="1"/>
        <v>0</v>
      </c>
      <c r="G154" s="2"/>
    </row>
    <row r="155" spans="2:7" x14ac:dyDescent="0.25">
      <c r="B155" s="4">
        <v>45693</v>
      </c>
      <c r="C155" s="2" t="s">
        <v>3310</v>
      </c>
      <c r="D155" s="2"/>
      <c r="E155" s="2"/>
      <c r="F155" s="2"/>
      <c r="G155" s="2"/>
    </row>
    <row r="156" spans="2:7" x14ac:dyDescent="0.25">
      <c r="B156" s="4">
        <v>45694</v>
      </c>
      <c r="C156" s="2" t="s">
        <v>3310</v>
      </c>
      <c r="D156" s="2"/>
      <c r="E156" s="2"/>
      <c r="F156" s="2"/>
      <c r="G156" s="2"/>
    </row>
    <row r="157" spans="2:7" x14ac:dyDescent="0.25">
      <c r="B157" s="4">
        <v>45695</v>
      </c>
      <c r="C157" s="2" t="s">
        <v>3310</v>
      </c>
      <c r="D157" s="2"/>
      <c r="E157" s="2"/>
      <c r="F157" s="2"/>
      <c r="G157" s="2"/>
    </row>
    <row r="158" spans="2:7" x14ac:dyDescent="0.25">
      <c r="B158" s="4">
        <v>45696</v>
      </c>
      <c r="C158" s="2"/>
      <c r="D158" s="2"/>
      <c r="E158" s="2"/>
      <c r="F158" s="2"/>
      <c r="G158" s="2"/>
    </row>
    <row r="159" spans="2:7" x14ac:dyDescent="0.25">
      <c r="B159" s="4">
        <v>45697</v>
      </c>
      <c r="C159" s="2"/>
      <c r="D159" s="2"/>
      <c r="E159" s="2"/>
      <c r="F159" s="2"/>
      <c r="G159" s="2"/>
    </row>
    <row r="160" spans="2:7" x14ac:dyDescent="0.25">
      <c r="B160" s="4">
        <v>45698</v>
      </c>
      <c r="C160" s="2"/>
      <c r="D160" s="2"/>
      <c r="E160" s="2"/>
      <c r="F160" s="2"/>
      <c r="G160" s="2"/>
    </row>
    <row r="161" spans="2:7" x14ac:dyDescent="0.25">
      <c r="B161" s="2"/>
      <c r="C161" s="2"/>
      <c r="D161" s="2"/>
      <c r="E161" s="2"/>
      <c r="F161" s="2"/>
      <c r="G161" s="2"/>
    </row>
    <row r="162" spans="2:7" x14ac:dyDescent="0.25">
      <c r="B162" s="2"/>
      <c r="C162" s="2"/>
      <c r="D162" s="2"/>
      <c r="E162" s="2"/>
      <c r="F162" s="2"/>
      <c r="G162" s="2"/>
    </row>
    <row r="163" spans="2:7" x14ac:dyDescent="0.25">
      <c r="B163" s="2"/>
      <c r="C163" s="2"/>
      <c r="D163" s="2"/>
      <c r="E163" s="2"/>
      <c r="F163" s="2"/>
      <c r="G163" s="2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92D050"/>
  </sheetPr>
  <dimension ref="B2:G50"/>
  <sheetViews>
    <sheetView topLeftCell="A13" workbookViewId="0">
      <selection activeCell="D31" sqref="D31"/>
    </sheetView>
  </sheetViews>
  <sheetFormatPr defaultRowHeight="15" x14ac:dyDescent="0.25"/>
  <cols>
    <col min="2" max="2" width="18" bestFit="1" customWidth="1"/>
    <col min="3" max="3" width="72" bestFit="1" customWidth="1"/>
    <col min="4" max="4" width="42.140625" bestFit="1" customWidth="1"/>
    <col min="7" max="7" width="11" bestFit="1" customWidth="1"/>
  </cols>
  <sheetData>
    <row r="2" spans="2:7" x14ac:dyDescent="0.25">
      <c r="C2" t="s">
        <v>954</v>
      </c>
    </row>
    <row r="4" spans="2:7" ht="15.75" x14ac:dyDescent="0.25">
      <c r="B4" s="10" t="s">
        <v>0</v>
      </c>
      <c r="C4" s="11" t="s">
        <v>1</v>
      </c>
      <c r="D4" s="11" t="s">
        <v>2</v>
      </c>
      <c r="E4" s="11" t="s">
        <v>934</v>
      </c>
      <c r="F4" s="11" t="s">
        <v>1095</v>
      </c>
      <c r="G4" s="11" t="s">
        <v>1507</v>
      </c>
    </row>
    <row r="5" spans="2:7" x14ac:dyDescent="0.25">
      <c r="B5" s="3">
        <v>45560</v>
      </c>
      <c r="C5" s="2" t="s">
        <v>805</v>
      </c>
      <c r="D5" s="2"/>
      <c r="E5" s="23">
        <v>0</v>
      </c>
      <c r="F5" s="2"/>
      <c r="G5" s="2"/>
    </row>
    <row r="6" spans="2:7" x14ac:dyDescent="0.25">
      <c r="B6" s="3">
        <v>45561</v>
      </c>
      <c r="C6" s="2" t="s">
        <v>2011</v>
      </c>
      <c r="D6" s="2"/>
      <c r="E6" s="23">
        <v>45</v>
      </c>
      <c r="F6" s="2">
        <f>E6-E5</f>
        <v>45</v>
      </c>
      <c r="G6" s="2"/>
    </row>
    <row r="7" spans="2:7" x14ac:dyDescent="0.25">
      <c r="B7" s="3">
        <v>45562</v>
      </c>
      <c r="C7" s="2" t="s">
        <v>2027</v>
      </c>
      <c r="D7" s="2"/>
      <c r="E7" s="23">
        <v>66</v>
      </c>
      <c r="F7" s="2">
        <f t="shared" ref="F7:F15" si="0">E7-E6</f>
        <v>21</v>
      </c>
      <c r="G7" s="2"/>
    </row>
    <row r="8" spans="2:7" x14ac:dyDescent="0.25">
      <c r="B8" s="3">
        <v>45563</v>
      </c>
      <c r="C8" s="2" t="s">
        <v>2028</v>
      </c>
      <c r="D8" s="2"/>
      <c r="E8" s="23">
        <v>75</v>
      </c>
      <c r="F8" s="2">
        <f t="shared" si="0"/>
        <v>9</v>
      </c>
      <c r="G8" s="2"/>
    </row>
    <row r="9" spans="2:7" x14ac:dyDescent="0.25">
      <c r="B9" s="3">
        <v>45564</v>
      </c>
      <c r="C9" s="2"/>
      <c r="D9" s="2"/>
      <c r="E9" s="23"/>
      <c r="F9" s="2">
        <f t="shared" si="0"/>
        <v>-75</v>
      </c>
      <c r="G9" s="2"/>
    </row>
    <row r="10" spans="2:7" x14ac:dyDescent="0.25">
      <c r="B10" s="3">
        <v>45565</v>
      </c>
      <c r="C10" s="2"/>
      <c r="D10" s="2"/>
      <c r="E10" s="23"/>
      <c r="F10" s="2">
        <f t="shared" si="0"/>
        <v>0</v>
      </c>
      <c r="G10" s="2"/>
    </row>
    <row r="11" spans="2:7" x14ac:dyDescent="0.25">
      <c r="B11" s="3">
        <v>45566</v>
      </c>
      <c r="C11" s="2"/>
      <c r="D11" s="2"/>
      <c r="E11" s="23"/>
      <c r="F11" s="2">
        <f t="shared" si="0"/>
        <v>0</v>
      </c>
      <c r="G11" s="2"/>
    </row>
    <row r="12" spans="2:7" x14ac:dyDescent="0.25">
      <c r="B12" s="3">
        <v>45567</v>
      </c>
      <c r="C12" s="2" t="s">
        <v>1178</v>
      </c>
      <c r="D12" s="2"/>
      <c r="E12" s="23">
        <v>100</v>
      </c>
      <c r="F12" s="2">
        <f t="shared" si="0"/>
        <v>100</v>
      </c>
      <c r="G12" s="2"/>
    </row>
    <row r="13" spans="2:7" x14ac:dyDescent="0.25">
      <c r="B13" s="3">
        <v>45568</v>
      </c>
      <c r="C13" s="2" t="s">
        <v>1166</v>
      </c>
      <c r="D13" s="2"/>
      <c r="E13" s="23">
        <v>100</v>
      </c>
      <c r="F13" s="2">
        <f t="shared" si="0"/>
        <v>0</v>
      </c>
      <c r="G13" s="2"/>
    </row>
    <row r="14" spans="2:7" x14ac:dyDescent="0.25">
      <c r="B14" s="3">
        <v>45569</v>
      </c>
      <c r="C14" s="2"/>
      <c r="D14" s="2"/>
      <c r="E14" s="23"/>
      <c r="F14" s="2">
        <f t="shared" si="0"/>
        <v>-100</v>
      </c>
      <c r="G14" s="2"/>
    </row>
    <row r="15" spans="2:7" x14ac:dyDescent="0.25">
      <c r="B15" s="3">
        <v>45570</v>
      </c>
      <c r="C15" s="2"/>
      <c r="D15" s="2"/>
      <c r="E15" s="23"/>
      <c r="F15" s="2">
        <f t="shared" si="0"/>
        <v>0</v>
      </c>
      <c r="G15" s="2"/>
    </row>
    <row r="16" spans="2:7" x14ac:dyDescent="0.25">
      <c r="B16" s="3">
        <v>45571</v>
      </c>
      <c r="C16" s="2"/>
      <c r="D16" s="2"/>
      <c r="E16" s="23"/>
      <c r="F16" s="2"/>
      <c r="G16" s="2"/>
    </row>
    <row r="17" spans="2:7" x14ac:dyDescent="0.25">
      <c r="B17" s="3">
        <v>45572</v>
      </c>
      <c r="C17" s="2"/>
      <c r="D17" s="2"/>
      <c r="E17" s="23"/>
      <c r="F17" s="2"/>
      <c r="G17" s="2"/>
    </row>
    <row r="18" spans="2:7" x14ac:dyDescent="0.25">
      <c r="B18" s="3">
        <v>45573</v>
      </c>
      <c r="C18" s="2"/>
      <c r="D18" s="2"/>
      <c r="E18" s="23"/>
      <c r="F18" s="2"/>
      <c r="G18" s="2"/>
    </row>
    <row r="19" spans="2:7" x14ac:dyDescent="0.25">
      <c r="B19" s="3">
        <v>45574</v>
      </c>
      <c r="C19" s="2"/>
      <c r="D19" s="2"/>
      <c r="E19" s="23"/>
      <c r="F19" s="2"/>
      <c r="G19" s="2"/>
    </row>
    <row r="20" spans="2:7" x14ac:dyDescent="0.25">
      <c r="B20" s="3">
        <v>45575</v>
      </c>
      <c r="C20" s="2" t="s">
        <v>1166</v>
      </c>
      <c r="D20" s="2"/>
      <c r="E20" s="23"/>
      <c r="F20" s="2"/>
      <c r="G20" s="2"/>
    </row>
    <row r="21" spans="2:7" x14ac:dyDescent="0.25">
      <c r="B21" s="3">
        <v>45576</v>
      </c>
      <c r="C21" s="2" t="s">
        <v>1166</v>
      </c>
      <c r="D21" s="2"/>
      <c r="E21" s="23"/>
      <c r="F21" s="2"/>
      <c r="G21" s="2"/>
    </row>
    <row r="22" spans="2:7" x14ac:dyDescent="0.25">
      <c r="B22" s="3">
        <v>45577</v>
      </c>
      <c r="C22" s="2" t="s">
        <v>1166</v>
      </c>
      <c r="D22" s="2"/>
      <c r="E22" s="23"/>
      <c r="F22" s="2"/>
      <c r="G22" s="2"/>
    </row>
    <row r="23" spans="2:7" x14ac:dyDescent="0.25">
      <c r="B23" s="3"/>
      <c r="C23" s="2"/>
      <c r="D23" s="2"/>
      <c r="E23" s="23"/>
      <c r="F23" s="2"/>
      <c r="G23" s="2"/>
    </row>
    <row r="24" spans="2:7" x14ac:dyDescent="0.25">
      <c r="B24" s="3"/>
      <c r="C24" s="2"/>
      <c r="D24" s="2"/>
      <c r="E24" s="23"/>
      <c r="F24" s="2"/>
      <c r="G24" s="2"/>
    </row>
    <row r="25" spans="2:7" x14ac:dyDescent="0.25">
      <c r="B25" s="3"/>
      <c r="C25" s="2"/>
      <c r="D25" s="2"/>
      <c r="E25" s="23"/>
      <c r="F25" s="2"/>
      <c r="G25" s="2"/>
    </row>
    <row r="26" spans="2:7" x14ac:dyDescent="0.25">
      <c r="B26" s="3"/>
      <c r="C26" s="2"/>
      <c r="D26" s="2"/>
      <c r="E26" s="23"/>
      <c r="F26" s="2"/>
      <c r="G26" s="2"/>
    </row>
    <row r="27" spans="2:7" x14ac:dyDescent="0.25">
      <c r="B27" s="3"/>
      <c r="C27" s="2"/>
      <c r="D27" s="2"/>
      <c r="E27" s="23"/>
      <c r="F27" s="2"/>
      <c r="G27" s="2"/>
    </row>
    <row r="28" spans="2:7" x14ac:dyDescent="0.25">
      <c r="B28" s="3"/>
      <c r="C28" s="2"/>
      <c r="D28" s="2"/>
      <c r="E28" s="23"/>
      <c r="F28" s="2"/>
      <c r="G28" s="2"/>
    </row>
    <row r="29" spans="2:7" x14ac:dyDescent="0.25">
      <c r="B29" s="3"/>
      <c r="C29" s="2"/>
      <c r="D29" s="2"/>
      <c r="E29" s="23"/>
      <c r="F29" s="2"/>
      <c r="G29" s="2"/>
    </row>
    <row r="30" spans="2:7" x14ac:dyDescent="0.25">
      <c r="B30" s="3"/>
      <c r="C30" s="2"/>
      <c r="D30" s="2"/>
      <c r="E30" s="23"/>
      <c r="F30" s="2"/>
      <c r="G30" s="2"/>
    </row>
    <row r="31" spans="2:7" x14ac:dyDescent="0.25">
      <c r="B31" s="3"/>
      <c r="C31" s="2"/>
      <c r="D31" s="2"/>
      <c r="E31" s="23"/>
      <c r="F31" s="2"/>
      <c r="G31" s="2"/>
    </row>
    <row r="32" spans="2:7" x14ac:dyDescent="0.25">
      <c r="B32" s="3"/>
      <c r="C32" s="2"/>
      <c r="D32" s="2"/>
      <c r="E32" s="23"/>
      <c r="F32" s="2"/>
      <c r="G32" s="2"/>
    </row>
    <row r="33" spans="2:7" x14ac:dyDescent="0.25">
      <c r="B33" s="3"/>
      <c r="C33" s="2"/>
      <c r="D33" s="2"/>
      <c r="E33" s="23"/>
      <c r="F33" s="2"/>
      <c r="G33" s="2"/>
    </row>
    <row r="34" spans="2:7" x14ac:dyDescent="0.25">
      <c r="B34" s="3"/>
      <c r="C34" s="2"/>
      <c r="D34" s="2"/>
      <c r="E34" s="23"/>
      <c r="F34" s="2"/>
      <c r="G34" s="2"/>
    </row>
    <row r="35" spans="2:7" x14ac:dyDescent="0.25">
      <c r="B35" s="3"/>
      <c r="C35" s="2"/>
      <c r="D35" s="2"/>
      <c r="E35" s="23"/>
      <c r="F35" s="2"/>
      <c r="G35" s="2"/>
    </row>
    <row r="36" spans="2:7" x14ac:dyDescent="0.25">
      <c r="B36" s="3"/>
      <c r="C36" s="2"/>
      <c r="D36" s="2"/>
      <c r="E36" s="23"/>
      <c r="F36" s="2"/>
      <c r="G36" s="2"/>
    </row>
    <row r="37" spans="2:7" x14ac:dyDescent="0.25">
      <c r="B37" s="3"/>
      <c r="C37" s="2"/>
      <c r="D37" s="2"/>
      <c r="E37" s="23"/>
      <c r="F37" s="2"/>
      <c r="G37" s="2"/>
    </row>
    <row r="38" spans="2:7" x14ac:dyDescent="0.25">
      <c r="B38" s="3"/>
      <c r="C38" s="2"/>
      <c r="D38" s="2"/>
      <c r="E38" s="23"/>
      <c r="F38" s="2"/>
      <c r="G38" s="2"/>
    </row>
    <row r="39" spans="2:7" x14ac:dyDescent="0.25">
      <c r="B39" s="3"/>
      <c r="C39" s="2"/>
      <c r="D39" s="2"/>
      <c r="E39" s="23"/>
      <c r="F39" s="2"/>
      <c r="G39" s="2"/>
    </row>
    <row r="40" spans="2:7" x14ac:dyDescent="0.25">
      <c r="B40" s="3"/>
      <c r="C40" s="2"/>
      <c r="D40" s="2"/>
      <c r="E40" s="23"/>
      <c r="F40" s="2"/>
      <c r="G40" s="2"/>
    </row>
    <row r="41" spans="2:7" x14ac:dyDescent="0.25">
      <c r="B41" s="2"/>
      <c r="C41" s="2"/>
      <c r="D41" s="2"/>
      <c r="E41" s="23"/>
      <c r="F41" s="2">
        <f t="shared" ref="F41:F47" si="1">E41-E40</f>
        <v>0</v>
      </c>
      <c r="G41" s="2"/>
    </row>
    <row r="42" spans="2:7" x14ac:dyDescent="0.25">
      <c r="B42" s="2"/>
      <c r="C42" s="2"/>
      <c r="D42" s="2"/>
      <c r="E42" s="23"/>
      <c r="F42" s="2">
        <f t="shared" si="1"/>
        <v>0</v>
      </c>
      <c r="G42" s="2"/>
    </row>
    <row r="43" spans="2:7" x14ac:dyDescent="0.25">
      <c r="B43" s="2"/>
      <c r="C43" s="2"/>
      <c r="D43" s="2"/>
      <c r="E43" s="23"/>
      <c r="F43" s="2">
        <f t="shared" si="1"/>
        <v>0</v>
      </c>
      <c r="G43" s="2"/>
    </row>
    <row r="44" spans="2:7" x14ac:dyDescent="0.25">
      <c r="B44" s="2"/>
      <c r="C44" s="2"/>
      <c r="D44" s="2"/>
      <c r="E44" s="23"/>
      <c r="F44" s="2">
        <f t="shared" si="1"/>
        <v>0</v>
      </c>
      <c r="G44" s="2"/>
    </row>
    <row r="45" spans="2:7" x14ac:dyDescent="0.25">
      <c r="B45" s="2"/>
      <c r="C45" s="2"/>
      <c r="D45" s="2"/>
      <c r="E45" s="23"/>
      <c r="F45" s="2">
        <f t="shared" si="1"/>
        <v>0</v>
      </c>
      <c r="G45" s="2"/>
    </row>
    <row r="46" spans="2:7" x14ac:dyDescent="0.25">
      <c r="B46" s="2"/>
      <c r="C46" s="2"/>
      <c r="D46" s="2"/>
      <c r="E46" s="23"/>
      <c r="F46" s="2">
        <f t="shared" si="1"/>
        <v>0</v>
      </c>
      <c r="G46" s="2"/>
    </row>
    <row r="47" spans="2:7" x14ac:dyDescent="0.25">
      <c r="B47" s="2"/>
      <c r="C47" s="2"/>
      <c r="D47" s="2"/>
      <c r="E47" s="23"/>
      <c r="F47" s="2">
        <f t="shared" si="1"/>
        <v>0</v>
      </c>
      <c r="G47" s="2"/>
    </row>
    <row r="48" spans="2:7" x14ac:dyDescent="0.25">
      <c r="B48" s="2"/>
      <c r="C48" s="2"/>
      <c r="D48" s="2"/>
      <c r="E48" s="2"/>
      <c r="F48" s="2"/>
      <c r="G48" s="2"/>
    </row>
    <row r="49" spans="2:7" x14ac:dyDescent="0.25">
      <c r="B49" s="2"/>
      <c r="C49" s="2"/>
      <c r="D49" s="2"/>
      <c r="E49" s="2"/>
      <c r="F49" s="2"/>
      <c r="G49" s="2"/>
    </row>
    <row r="50" spans="2:7" x14ac:dyDescent="0.25">
      <c r="B50" s="2"/>
      <c r="C50" s="2"/>
      <c r="D50" s="2"/>
      <c r="E50" s="2"/>
      <c r="F50" s="2"/>
      <c r="G50" s="2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92D050"/>
  </sheetPr>
  <dimension ref="B2:G85"/>
  <sheetViews>
    <sheetView topLeftCell="A71" zoomScale="85" zoomScaleNormal="85" workbookViewId="0">
      <selection activeCell="C75" sqref="C75"/>
    </sheetView>
  </sheetViews>
  <sheetFormatPr defaultRowHeight="15" x14ac:dyDescent="0.25"/>
  <cols>
    <col min="2" max="2" width="18" bestFit="1" customWidth="1"/>
    <col min="3" max="3" width="72" bestFit="1" customWidth="1"/>
    <col min="4" max="4" width="44.5703125" bestFit="1" customWidth="1"/>
    <col min="5" max="5" width="11.85546875" style="27" bestFit="1" customWidth="1"/>
    <col min="7" max="7" width="11" bestFit="1" customWidth="1"/>
  </cols>
  <sheetData>
    <row r="2" spans="2:7" x14ac:dyDescent="0.25">
      <c r="C2" t="s">
        <v>1301</v>
      </c>
    </row>
    <row r="4" spans="2:7" ht="15.75" x14ac:dyDescent="0.25">
      <c r="B4" s="10" t="s">
        <v>0</v>
      </c>
      <c r="C4" s="11" t="s">
        <v>1</v>
      </c>
      <c r="D4" s="11" t="s">
        <v>2</v>
      </c>
      <c r="E4" s="11" t="s">
        <v>934</v>
      </c>
      <c r="F4" s="11" t="s">
        <v>1095</v>
      </c>
      <c r="G4" s="11" t="s">
        <v>1507</v>
      </c>
    </row>
    <row r="5" spans="2:7" x14ac:dyDescent="0.25">
      <c r="B5" s="3">
        <v>45501</v>
      </c>
      <c r="C5" s="2" t="s">
        <v>805</v>
      </c>
      <c r="D5" s="2"/>
      <c r="E5" s="25"/>
      <c r="F5" s="2"/>
      <c r="G5" s="2"/>
    </row>
    <row r="6" spans="2:7" x14ac:dyDescent="0.25">
      <c r="B6" s="3">
        <v>45502</v>
      </c>
      <c r="C6" s="2" t="s">
        <v>1302</v>
      </c>
      <c r="D6" s="2"/>
      <c r="E6" s="25"/>
      <c r="F6" s="2"/>
      <c r="G6" s="2"/>
    </row>
    <row r="7" spans="2:7" x14ac:dyDescent="0.25">
      <c r="B7" s="3">
        <v>45503</v>
      </c>
      <c r="C7" s="2" t="s">
        <v>1315</v>
      </c>
      <c r="D7" s="2"/>
      <c r="E7" s="25">
        <v>0</v>
      </c>
      <c r="F7" s="2"/>
      <c r="G7" s="2"/>
    </row>
    <row r="8" spans="2:7" x14ac:dyDescent="0.25">
      <c r="B8" s="3">
        <v>45504</v>
      </c>
      <c r="C8" s="2" t="s">
        <v>1323</v>
      </c>
      <c r="D8" s="2"/>
      <c r="E8" s="25">
        <v>7</v>
      </c>
      <c r="F8" s="2">
        <f>E8-E7</f>
        <v>7</v>
      </c>
      <c r="G8" s="2"/>
    </row>
    <row r="9" spans="2:7" x14ac:dyDescent="0.25">
      <c r="B9" s="3">
        <v>45505</v>
      </c>
      <c r="C9" s="2" t="s">
        <v>1333</v>
      </c>
      <c r="D9" s="2"/>
      <c r="E9" s="25">
        <v>11</v>
      </c>
      <c r="F9" s="2">
        <f t="shared" ref="F9:F70" si="0">E9-E8</f>
        <v>4</v>
      </c>
      <c r="G9" s="2"/>
    </row>
    <row r="10" spans="2:7" x14ac:dyDescent="0.25">
      <c r="B10" s="3">
        <v>45506</v>
      </c>
      <c r="C10" s="2" t="s">
        <v>1336</v>
      </c>
      <c r="D10" s="2"/>
      <c r="E10" s="25">
        <v>13</v>
      </c>
      <c r="F10" s="2">
        <f t="shared" si="0"/>
        <v>2</v>
      </c>
      <c r="G10" s="2"/>
    </row>
    <row r="11" spans="2:7" x14ac:dyDescent="0.25">
      <c r="B11" s="3">
        <v>45508</v>
      </c>
      <c r="C11" s="2" t="s">
        <v>1373</v>
      </c>
      <c r="D11" s="2"/>
      <c r="E11" s="25">
        <v>21</v>
      </c>
      <c r="F11" s="2">
        <f t="shared" si="0"/>
        <v>8</v>
      </c>
      <c r="G11" s="2"/>
    </row>
    <row r="12" spans="2:7" x14ac:dyDescent="0.25">
      <c r="B12" s="3">
        <v>45509</v>
      </c>
      <c r="C12" s="2" t="s">
        <v>1385</v>
      </c>
      <c r="D12" s="2"/>
      <c r="E12" s="25">
        <v>25</v>
      </c>
      <c r="F12" s="2">
        <f t="shared" si="0"/>
        <v>4</v>
      </c>
      <c r="G12" s="2"/>
    </row>
    <row r="13" spans="2:7" x14ac:dyDescent="0.25">
      <c r="B13" s="3">
        <v>45510</v>
      </c>
      <c r="C13" s="2" t="s">
        <v>1397</v>
      </c>
      <c r="D13" s="2"/>
      <c r="E13" s="25">
        <v>30.5</v>
      </c>
      <c r="F13" s="2">
        <f t="shared" si="0"/>
        <v>5.5</v>
      </c>
      <c r="G13" s="2"/>
    </row>
    <row r="14" spans="2:7" x14ac:dyDescent="0.25">
      <c r="B14" s="3">
        <v>45511</v>
      </c>
      <c r="C14" s="2" t="s">
        <v>1404</v>
      </c>
      <c r="D14" s="2"/>
      <c r="E14" s="25">
        <v>34</v>
      </c>
      <c r="F14" s="2">
        <f t="shared" si="0"/>
        <v>3.5</v>
      </c>
      <c r="G14" s="2"/>
    </row>
    <row r="15" spans="2:7" x14ac:dyDescent="0.25">
      <c r="B15" s="3">
        <v>45512</v>
      </c>
      <c r="C15" s="2" t="s">
        <v>1417</v>
      </c>
      <c r="D15" s="2"/>
      <c r="E15" s="25">
        <v>37</v>
      </c>
      <c r="F15" s="2">
        <f t="shared" si="0"/>
        <v>3</v>
      </c>
      <c r="G15" s="2"/>
    </row>
    <row r="16" spans="2:7" x14ac:dyDescent="0.25">
      <c r="B16" s="3">
        <v>45513</v>
      </c>
      <c r="C16" s="2" t="s">
        <v>1430</v>
      </c>
      <c r="D16" s="2"/>
      <c r="E16" s="25">
        <v>39.5</v>
      </c>
      <c r="F16" s="2">
        <f t="shared" si="0"/>
        <v>2.5</v>
      </c>
      <c r="G16" s="2"/>
    </row>
    <row r="17" spans="2:7" x14ac:dyDescent="0.25">
      <c r="B17" s="3">
        <v>45514</v>
      </c>
      <c r="C17" s="2" t="s">
        <v>1443</v>
      </c>
      <c r="D17" s="2"/>
      <c r="E17" s="25">
        <v>42</v>
      </c>
      <c r="F17" s="2">
        <f t="shared" si="0"/>
        <v>2.5</v>
      </c>
      <c r="G17" s="2"/>
    </row>
    <row r="18" spans="2:7" x14ac:dyDescent="0.25">
      <c r="B18" s="3">
        <v>45516</v>
      </c>
      <c r="C18" s="2" t="s">
        <v>1450</v>
      </c>
      <c r="D18" s="2"/>
      <c r="E18" s="25">
        <v>48</v>
      </c>
      <c r="F18" s="2">
        <f t="shared" si="0"/>
        <v>6</v>
      </c>
      <c r="G18" s="2"/>
    </row>
    <row r="19" spans="2:7" x14ac:dyDescent="0.25">
      <c r="B19" s="3">
        <v>45517</v>
      </c>
      <c r="C19" s="2" t="s">
        <v>1469</v>
      </c>
      <c r="D19" s="2" t="s">
        <v>1475</v>
      </c>
      <c r="E19" s="25">
        <v>51</v>
      </c>
      <c r="F19" s="2">
        <f t="shared" si="0"/>
        <v>3</v>
      </c>
      <c r="G19" s="2"/>
    </row>
    <row r="20" spans="2:7" x14ac:dyDescent="0.25">
      <c r="B20" s="3">
        <v>45518</v>
      </c>
      <c r="C20" s="2" t="s">
        <v>1482</v>
      </c>
      <c r="D20" s="2"/>
      <c r="E20" s="25">
        <v>53.5</v>
      </c>
      <c r="F20" s="2">
        <f t="shared" si="0"/>
        <v>2.5</v>
      </c>
      <c r="G20" s="2"/>
    </row>
    <row r="21" spans="2:7" x14ac:dyDescent="0.25">
      <c r="B21" s="3">
        <v>45519</v>
      </c>
      <c r="C21" s="2" t="s">
        <v>1492</v>
      </c>
      <c r="D21" s="2" t="s">
        <v>1493</v>
      </c>
      <c r="E21" s="25">
        <v>53.5</v>
      </c>
      <c r="F21" s="2">
        <f t="shared" si="0"/>
        <v>0</v>
      </c>
      <c r="G21" s="2"/>
    </row>
    <row r="22" spans="2:7" x14ac:dyDescent="0.25">
      <c r="B22" s="3">
        <v>45520</v>
      </c>
      <c r="C22" s="2" t="s">
        <v>1525</v>
      </c>
      <c r="D22" s="2" t="s">
        <v>1504</v>
      </c>
      <c r="E22" s="25">
        <v>56</v>
      </c>
      <c r="F22" s="2">
        <f t="shared" si="0"/>
        <v>2.5</v>
      </c>
      <c r="G22" s="2">
        <v>2</v>
      </c>
    </row>
    <row r="23" spans="2:7" x14ac:dyDescent="0.25">
      <c r="B23" s="3">
        <v>45521</v>
      </c>
      <c r="C23" s="2" t="s">
        <v>1524</v>
      </c>
      <c r="D23" s="2"/>
      <c r="E23" s="25">
        <v>56</v>
      </c>
      <c r="F23" s="2">
        <f t="shared" si="0"/>
        <v>0</v>
      </c>
      <c r="G23" s="2"/>
    </row>
    <row r="24" spans="2:7" x14ac:dyDescent="0.25">
      <c r="B24" s="3">
        <v>45522</v>
      </c>
      <c r="C24" s="2" t="s">
        <v>1526</v>
      </c>
      <c r="D24" s="2"/>
      <c r="E24" s="25">
        <v>58</v>
      </c>
      <c r="F24" s="2">
        <f t="shared" si="0"/>
        <v>2</v>
      </c>
      <c r="G24" s="2">
        <v>3</v>
      </c>
    </row>
    <row r="25" spans="2:7" x14ac:dyDescent="0.25">
      <c r="B25" s="3">
        <v>45523</v>
      </c>
      <c r="C25" s="2" t="s">
        <v>1529</v>
      </c>
      <c r="D25" s="2" t="s">
        <v>1530</v>
      </c>
      <c r="E25" s="25">
        <v>60</v>
      </c>
      <c r="F25" s="2">
        <f t="shared" si="0"/>
        <v>2</v>
      </c>
      <c r="G25" s="2"/>
    </row>
    <row r="26" spans="2:7" x14ac:dyDescent="0.25">
      <c r="B26" s="3">
        <v>45524</v>
      </c>
      <c r="C26" s="2" t="s">
        <v>1551</v>
      </c>
      <c r="D26" s="2"/>
      <c r="E26" s="25">
        <v>63</v>
      </c>
      <c r="F26" s="2">
        <f t="shared" si="0"/>
        <v>3</v>
      </c>
      <c r="G26" s="2">
        <v>3</v>
      </c>
    </row>
    <row r="27" spans="2:7" x14ac:dyDescent="0.25">
      <c r="B27" s="3">
        <v>45525</v>
      </c>
      <c r="C27" s="2" t="s">
        <v>1561</v>
      </c>
      <c r="D27" s="2"/>
      <c r="E27" s="25">
        <v>65</v>
      </c>
      <c r="F27" s="2">
        <f t="shared" si="0"/>
        <v>2</v>
      </c>
      <c r="G27" s="2"/>
    </row>
    <row r="28" spans="2:7" x14ac:dyDescent="0.25">
      <c r="B28" s="3">
        <v>45526</v>
      </c>
      <c r="C28" s="2" t="s">
        <v>1560</v>
      </c>
      <c r="D28" s="2"/>
      <c r="E28" s="25">
        <v>67.5</v>
      </c>
      <c r="F28" s="2">
        <f t="shared" si="0"/>
        <v>2.5</v>
      </c>
      <c r="G28" s="2">
        <v>2</v>
      </c>
    </row>
    <row r="29" spans="2:7" x14ac:dyDescent="0.25">
      <c r="B29" s="3">
        <v>45527</v>
      </c>
      <c r="C29" s="2" t="s">
        <v>1589</v>
      </c>
      <c r="D29" s="2"/>
      <c r="E29" s="25">
        <v>69.5</v>
      </c>
      <c r="F29" s="2">
        <f t="shared" si="0"/>
        <v>2</v>
      </c>
      <c r="G29" s="2"/>
    </row>
    <row r="30" spans="2:7" x14ac:dyDescent="0.25">
      <c r="B30" s="3">
        <v>45528</v>
      </c>
      <c r="C30" s="2" t="s">
        <v>1606</v>
      </c>
      <c r="D30" s="2"/>
      <c r="E30" s="25">
        <v>72</v>
      </c>
      <c r="F30" s="2">
        <f t="shared" si="0"/>
        <v>2.5</v>
      </c>
      <c r="G30" s="2"/>
    </row>
    <row r="31" spans="2:7" x14ac:dyDescent="0.25">
      <c r="B31" s="3">
        <v>45529</v>
      </c>
      <c r="C31" s="2" t="s">
        <v>1605</v>
      </c>
      <c r="D31" s="2"/>
      <c r="E31" s="25">
        <v>74</v>
      </c>
      <c r="F31" s="2">
        <f t="shared" si="0"/>
        <v>2</v>
      </c>
      <c r="G31" s="2">
        <v>3</v>
      </c>
    </row>
    <row r="32" spans="2:7" x14ac:dyDescent="0.25">
      <c r="B32" s="3">
        <v>45530</v>
      </c>
      <c r="C32" s="2" t="s">
        <v>1636</v>
      </c>
      <c r="D32" s="2"/>
      <c r="E32" s="25">
        <v>74</v>
      </c>
      <c r="F32" s="2">
        <f t="shared" si="0"/>
        <v>0</v>
      </c>
      <c r="G32" s="2"/>
    </row>
    <row r="33" spans="2:7" x14ac:dyDescent="0.25">
      <c r="B33" s="3">
        <v>45531</v>
      </c>
      <c r="C33" s="2" t="s">
        <v>1631</v>
      </c>
      <c r="D33" s="2"/>
      <c r="E33" s="25">
        <v>76.5</v>
      </c>
      <c r="F33" s="2">
        <f t="shared" si="0"/>
        <v>2.5</v>
      </c>
      <c r="G33" s="2"/>
    </row>
    <row r="34" spans="2:7" x14ac:dyDescent="0.25">
      <c r="B34" s="3">
        <v>45532</v>
      </c>
      <c r="C34" s="2" t="s">
        <v>1644</v>
      </c>
      <c r="D34" s="2"/>
      <c r="E34" s="25">
        <v>79</v>
      </c>
      <c r="F34" s="2">
        <f t="shared" si="0"/>
        <v>2.5</v>
      </c>
      <c r="G34" s="2"/>
    </row>
    <row r="35" spans="2:7" x14ac:dyDescent="0.25">
      <c r="B35" s="3">
        <v>45533</v>
      </c>
      <c r="C35" s="2" t="s">
        <v>1654</v>
      </c>
      <c r="D35" s="2" t="s">
        <v>1668</v>
      </c>
      <c r="E35" s="25">
        <v>82</v>
      </c>
      <c r="F35" s="2">
        <f t="shared" si="0"/>
        <v>3</v>
      </c>
      <c r="G35" s="2"/>
    </row>
    <row r="36" spans="2:7" x14ac:dyDescent="0.25">
      <c r="B36" s="3">
        <v>45534</v>
      </c>
      <c r="C36" s="2" t="s">
        <v>1673</v>
      </c>
      <c r="D36" s="2"/>
      <c r="E36" s="25">
        <v>83.5</v>
      </c>
      <c r="F36" s="2">
        <f t="shared" si="0"/>
        <v>1.5</v>
      </c>
      <c r="G36" s="2"/>
    </row>
    <row r="37" spans="2:7" x14ac:dyDescent="0.25">
      <c r="B37" s="3">
        <v>45535</v>
      </c>
      <c r="C37" s="2" t="s">
        <v>1697</v>
      </c>
      <c r="D37" s="2"/>
      <c r="E37" s="25">
        <v>85.5</v>
      </c>
      <c r="F37" s="2">
        <f t="shared" si="0"/>
        <v>2</v>
      </c>
      <c r="G37" s="2"/>
    </row>
    <row r="38" spans="2:7" x14ac:dyDescent="0.25">
      <c r="B38" s="3">
        <v>45536</v>
      </c>
      <c r="C38" s="2" t="s">
        <v>1698</v>
      </c>
      <c r="D38" s="2" t="s">
        <v>1704</v>
      </c>
      <c r="E38" s="25">
        <v>85.5</v>
      </c>
      <c r="F38" s="2">
        <f t="shared" si="0"/>
        <v>0</v>
      </c>
      <c r="G38" s="2"/>
    </row>
    <row r="39" spans="2:7" x14ac:dyDescent="0.25">
      <c r="B39" s="3">
        <v>45537</v>
      </c>
      <c r="C39" s="2" t="s">
        <v>1720</v>
      </c>
      <c r="D39" s="2"/>
      <c r="E39" s="25">
        <v>85.5</v>
      </c>
      <c r="F39" s="2">
        <f t="shared" si="0"/>
        <v>0</v>
      </c>
      <c r="G39" s="2"/>
    </row>
    <row r="40" spans="2:7" x14ac:dyDescent="0.25">
      <c r="B40" s="3">
        <v>45538</v>
      </c>
      <c r="C40" s="2" t="s">
        <v>1727</v>
      </c>
      <c r="D40" s="2"/>
      <c r="E40" s="25">
        <v>87.5</v>
      </c>
      <c r="F40" s="2">
        <f t="shared" si="0"/>
        <v>2</v>
      </c>
      <c r="G40" s="2"/>
    </row>
    <row r="41" spans="2:7" x14ac:dyDescent="0.25">
      <c r="B41" s="3">
        <v>45539</v>
      </c>
      <c r="C41" s="2" t="s">
        <v>1739</v>
      </c>
      <c r="D41" s="2"/>
      <c r="E41" s="25">
        <v>90</v>
      </c>
      <c r="F41" s="2">
        <f t="shared" si="0"/>
        <v>2.5</v>
      </c>
      <c r="G41" s="2"/>
    </row>
    <row r="42" spans="2:7" x14ac:dyDescent="0.25">
      <c r="B42" s="3">
        <v>45540</v>
      </c>
      <c r="C42" s="2" t="s">
        <v>1778</v>
      </c>
      <c r="D42" s="2"/>
      <c r="E42" s="25">
        <v>90</v>
      </c>
      <c r="F42" s="2">
        <f t="shared" si="0"/>
        <v>0</v>
      </c>
      <c r="G42" s="2"/>
    </row>
    <row r="43" spans="2:7" x14ac:dyDescent="0.25">
      <c r="B43" s="3">
        <v>45541</v>
      </c>
      <c r="C43" s="2" t="s">
        <v>1778</v>
      </c>
      <c r="D43" s="2" t="s">
        <v>1790</v>
      </c>
      <c r="E43" s="25">
        <v>90</v>
      </c>
      <c r="F43" s="2">
        <f t="shared" si="0"/>
        <v>0</v>
      </c>
      <c r="G43" s="2"/>
    </row>
    <row r="44" spans="2:7" x14ac:dyDescent="0.25">
      <c r="B44" s="3">
        <v>45542</v>
      </c>
      <c r="C44" s="2" t="s">
        <v>1797</v>
      </c>
      <c r="D44" s="2" t="s">
        <v>1798</v>
      </c>
      <c r="E44" s="25">
        <v>90</v>
      </c>
      <c r="F44" s="2">
        <f t="shared" si="0"/>
        <v>0</v>
      </c>
      <c r="G44" s="2"/>
    </row>
    <row r="45" spans="2:7" x14ac:dyDescent="0.25">
      <c r="B45" s="3">
        <v>45543</v>
      </c>
      <c r="C45" s="2" t="s">
        <v>480</v>
      </c>
      <c r="D45" s="2"/>
      <c r="E45" s="25">
        <v>90</v>
      </c>
      <c r="F45" s="2">
        <f t="shared" si="0"/>
        <v>0</v>
      </c>
      <c r="G45" s="2"/>
    </row>
    <row r="46" spans="2:7" x14ac:dyDescent="0.25">
      <c r="B46" s="3">
        <v>45544</v>
      </c>
      <c r="C46" s="2" t="s">
        <v>480</v>
      </c>
      <c r="D46" s="2"/>
      <c r="E46" s="25">
        <v>90</v>
      </c>
      <c r="F46" s="2">
        <f t="shared" si="0"/>
        <v>0</v>
      </c>
      <c r="G46" s="2"/>
    </row>
    <row r="47" spans="2:7" x14ac:dyDescent="0.25">
      <c r="B47" s="3">
        <v>45545</v>
      </c>
      <c r="C47" s="2" t="s">
        <v>1822</v>
      </c>
      <c r="D47" s="2"/>
      <c r="E47" s="25">
        <v>90</v>
      </c>
      <c r="F47" s="2">
        <f t="shared" si="0"/>
        <v>0</v>
      </c>
      <c r="G47" s="2"/>
    </row>
    <row r="48" spans="2:7" x14ac:dyDescent="0.25">
      <c r="B48" s="3">
        <v>45546</v>
      </c>
      <c r="C48" s="2" t="s">
        <v>1844</v>
      </c>
      <c r="D48" s="2" t="s">
        <v>1845</v>
      </c>
      <c r="E48" s="25">
        <v>90</v>
      </c>
      <c r="F48" s="2">
        <f t="shared" si="0"/>
        <v>0</v>
      </c>
      <c r="G48" s="2"/>
    </row>
    <row r="49" spans="2:7" x14ac:dyDescent="0.25">
      <c r="B49" s="3">
        <v>45547</v>
      </c>
      <c r="C49" s="2" t="s">
        <v>1844</v>
      </c>
      <c r="D49" s="2" t="s">
        <v>1846</v>
      </c>
      <c r="E49" s="25">
        <v>90</v>
      </c>
      <c r="F49" s="2">
        <f t="shared" si="0"/>
        <v>0</v>
      </c>
      <c r="G49" s="2"/>
    </row>
    <row r="50" spans="2:7" x14ac:dyDescent="0.25">
      <c r="B50" s="3">
        <v>45548</v>
      </c>
      <c r="C50" s="2" t="s">
        <v>1866</v>
      </c>
      <c r="D50" s="2" t="s">
        <v>634</v>
      </c>
      <c r="E50" s="25">
        <v>92</v>
      </c>
      <c r="F50" s="2">
        <f t="shared" si="0"/>
        <v>2</v>
      </c>
      <c r="G50" s="2"/>
    </row>
    <row r="51" spans="2:7" x14ac:dyDescent="0.25">
      <c r="B51" s="3">
        <v>45549</v>
      </c>
      <c r="C51" s="2" t="s">
        <v>1895</v>
      </c>
      <c r="D51" s="2"/>
      <c r="E51" s="25">
        <v>93.5</v>
      </c>
      <c r="F51" s="2">
        <f t="shared" si="0"/>
        <v>1.5</v>
      </c>
      <c r="G51" s="2"/>
    </row>
    <row r="52" spans="2:7" x14ac:dyDescent="0.25">
      <c r="B52" s="3">
        <v>45550</v>
      </c>
      <c r="C52" s="2" t="s">
        <v>1937</v>
      </c>
      <c r="D52" s="2"/>
      <c r="E52" s="25">
        <v>93.5</v>
      </c>
      <c r="F52" s="2">
        <f t="shared" si="0"/>
        <v>0</v>
      </c>
      <c r="G52" s="2"/>
    </row>
    <row r="53" spans="2:7" x14ac:dyDescent="0.25">
      <c r="B53" s="3">
        <v>45551</v>
      </c>
      <c r="C53" s="2" t="s">
        <v>1937</v>
      </c>
      <c r="D53" s="2"/>
      <c r="E53" s="25">
        <v>93.5</v>
      </c>
      <c r="F53" s="2">
        <f t="shared" si="0"/>
        <v>0</v>
      </c>
      <c r="G53" s="2"/>
    </row>
    <row r="54" spans="2:7" x14ac:dyDescent="0.25">
      <c r="B54" s="3">
        <v>45552</v>
      </c>
      <c r="C54" s="2" t="s">
        <v>1937</v>
      </c>
      <c r="D54" s="2"/>
      <c r="E54" s="25">
        <v>93.5</v>
      </c>
      <c r="F54" s="2">
        <f t="shared" si="0"/>
        <v>0</v>
      </c>
      <c r="G54" s="2"/>
    </row>
    <row r="55" spans="2:7" x14ac:dyDescent="0.25">
      <c r="B55" s="3">
        <v>45553</v>
      </c>
      <c r="C55" s="2" t="s">
        <v>1937</v>
      </c>
      <c r="D55" s="2"/>
      <c r="E55" s="25">
        <v>93.5</v>
      </c>
      <c r="F55" s="2">
        <f t="shared" si="0"/>
        <v>0</v>
      </c>
      <c r="G55" s="2"/>
    </row>
    <row r="56" spans="2:7" x14ac:dyDescent="0.25">
      <c r="B56" s="3">
        <v>45554</v>
      </c>
      <c r="C56" s="2" t="s">
        <v>1936</v>
      </c>
      <c r="D56" s="2"/>
      <c r="E56" s="25">
        <v>98</v>
      </c>
      <c r="F56" s="2">
        <f t="shared" si="0"/>
        <v>4.5</v>
      </c>
      <c r="G56" s="2"/>
    </row>
    <row r="57" spans="2:7" x14ac:dyDescent="0.25">
      <c r="B57" s="3">
        <v>45555</v>
      </c>
      <c r="C57" s="2" t="s">
        <v>1958</v>
      </c>
      <c r="D57" s="2"/>
      <c r="E57" s="25">
        <v>98.5</v>
      </c>
      <c r="F57" s="2">
        <f t="shared" si="0"/>
        <v>0.5</v>
      </c>
      <c r="G57" s="2"/>
    </row>
    <row r="58" spans="2:7" x14ac:dyDescent="0.25">
      <c r="B58" s="3">
        <v>45556</v>
      </c>
      <c r="C58" s="2"/>
      <c r="D58" s="2"/>
      <c r="E58" s="25">
        <v>98.5</v>
      </c>
      <c r="F58" s="2">
        <f t="shared" si="0"/>
        <v>0</v>
      </c>
      <c r="G58" s="2"/>
    </row>
    <row r="59" spans="2:7" x14ac:dyDescent="0.25">
      <c r="B59" s="3">
        <v>45557</v>
      </c>
      <c r="C59" s="2"/>
      <c r="D59" s="2"/>
      <c r="E59" s="25">
        <v>98.5</v>
      </c>
      <c r="F59" s="2">
        <f t="shared" si="0"/>
        <v>0</v>
      </c>
      <c r="G59" s="2"/>
    </row>
    <row r="60" spans="2:7" x14ac:dyDescent="0.25">
      <c r="B60" s="3">
        <v>45558</v>
      </c>
      <c r="C60" s="2"/>
      <c r="D60" s="2"/>
      <c r="E60" s="25">
        <v>98.5</v>
      </c>
      <c r="F60" s="2">
        <f t="shared" si="0"/>
        <v>0</v>
      </c>
      <c r="G60" s="2"/>
    </row>
    <row r="61" spans="2:7" x14ac:dyDescent="0.25">
      <c r="B61" s="3">
        <v>45559</v>
      </c>
      <c r="C61" s="2"/>
      <c r="D61" s="2"/>
      <c r="E61" s="25">
        <v>98.5</v>
      </c>
      <c r="F61" s="2">
        <f t="shared" si="0"/>
        <v>0</v>
      </c>
      <c r="G61" s="2"/>
    </row>
    <row r="62" spans="2:7" x14ac:dyDescent="0.25">
      <c r="B62" s="3">
        <v>45560</v>
      </c>
      <c r="C62" s="2"/>
      <c r="D62" s="2"/>
      <c r="E62" s="25">
        <v>98.5</v>
      </c>
      <c r="F62" s="2">
        <f t="shared" si="0"/>
        <v>0</v>
      </c>
      <c r="G62" s="2"/>
    </row>
    <row r="63" spans="2:7" x14ac:dyDescent="0.25">
      <c r="B63" s="3">
        <v>45561</v>
      </c>
      <c r="C63" s="2" t="s">
        <v>1640</v>
      </c>
      <c r="D63" s="2" t="s">
        <v>2012</v>
      </c>
      <c r="E63" s="25">
        <v>98.5</v>
      </c>
      <c r="F63" s="2">
        <f t="shared" si="0"/>
        <v>0</v>
      </c>
      <c r="G63" s="2"/>
    </row>
    <row r="64" spans="2:7" x14ac:dyDescent="0.25">
      <c r="B64" s="3">
        <v>45562</v>
      </c>
      <c r="C64" s="2" t="s">
        <v>1787</v>
      </c>
      <c r="D64" s="2"/>
      <c r="E64" s="25">
        <v>103</v>
      </c>
      <c r="F64" s="2">
        <f t="shared" si="0"/>
        <v>4.5</v>
      </c>
      <c r="G64" s="2"/>
    </row>
    <row r="65" spans="2:7" x14ac:dyDescent="0.25">
      <c r="B65" s="3">
        <v>45563</v>
      </c>
      <c r="C65" s="2"/>
      <c r="D65" s="2"/>
      <c r="E65" s="25"/>
      <c r="F65" s="2">
        <f t="shared" si="0"/>
        <v>-103</v>
      </c>
      <c r="G65" s="2"/>
    </row>
    <row r="66" spans="2:7" x14ac:dyDescent="0.25">
      <c r="B66" s="3">
        <v>45564</v>
      </c>
      <c r="C66" s="2"/>
      <c r="D66" s="2"/>
      <c r="E66" s="25"/>
      <c r="F66" s="2">
        <f t="shared" si="0"/>
        <v>0</v>
      </c>
      <c r="G66" s="2"/>
    </row>
    <row r="67" spans="2:7" x14ac:dyDescent="0.25">
      <c r="B67" s="3">
        <v>45565</v>
      </c>
      <c r="C67" s="2"/>
      <c r="D67" s="2"/>
      <c r="E67" s="25"/>
      <c r="F67" s="2">
        <f t="shared" si="0"/>
        <v>0</v>
      </c>
      <c r="G67" s="2"/>
    </row>
    <row r="68" spans="2:7" x14ac:dyDescent="0.25">
      <c r="B68" s="3">
        <v>45566</v>
      </c>
      <c r="C68" s="2" t="s">
        <v>1178</v>
      </c>
      <c r="D68" s="2"/>
      <c r="E68" s="25"/>
      <c r="F68" s="2">
        <f t="shared" si="0"/>
        <v>0</v>
      </c>
      <c r="G68" s="2"/>
    </row>
    <row r="69" spans="2:7" x14ac:dyDescent="0.25">
      <c r="B69" s="3">
        <v>45567</v>
      </c>
      <c r="C69" s="2" t="s">
        <v>2073</v>
      </c>
      <c r="D69" s="2"/>
      <c r="E69" s="25"/>
      <c r="F69" s="2">
        <f t="shared" si="0"/>
        <v>0</v>
      </c>
      <c r="G69" s="2"/>
    </row>
    <row r="70" spans="2:7" x14ac:dyDescent="0.25">
      <c r="B70" s="3">
        <v>45568</v>
      </c>
      <c r="C70" s="2" t="s">
        <v>1166</v>
      </c>
      <c r="D70" s="2"/>
      <c r="E70" s="25"/>
      <c r="F70" s="2">
        <f t="shared" si="0"/>
        <v>0</v>
      </c>
      <c r="G70" s="2"/>
    </row>
    <row r="71" spans="2:7" x14ac:dyDescent="0.25">
      <c r="B71" s="3">
        <v>45569</v>
      </c>
      <c r="C71" s="2" t="s">
        <v>1166</v>
      </c>
      <c r="D71" s="2"/>
      <c r="E71" s="25"/>
      <c r="F71" s="2"/>
      <c r="G71" s="2"/>
    </row>
    <row r="72" spans="2:7" x14ac:dyDescent="0.25">
      <c r="B72" s="3">
        <v>45570</v>
      </c>
      <c r="C72" s="2" t="s">
        <v>1166</v>
      </c>
      <c r="D72" s="2"/>
      <c r="E72" s="25"/>
      <c r="F72" s="2"/>
      <c r="G72" s="2"/>
    </row>
    <row r="73" spans="2:7" x14ac:dyDescent="0.25">
      <c r="B73" s="3">
        <v>45571</v>
      </c>
      <c r="C73" s="2" t="s">
        <v>1166</v>
      </c>
      <c r="D73" s="2"/>
      <c r="E73" s="25"/>
      <c r="F73" s="2"/>
      <c r="G73" s="2"/>
    </row>
    <row r="74" spans="2:7" x14ac:dyDescent="0.25">
      <c r="B74" s="3">
        <v>45572</v>
      </c>
      <c r="C74" s="2" t="s">
        <v>2132</v>
      </c>
      <c r="D74" s="2"/>
      <c r="E74" s="25"/>
      <c r="F74" s="2"/>
      <c r="G74" s="2"/>
    </row>
    <row r="75" spans="2:7" x14ac:dyDescent="0.25">
      <c r="B75" s="3">
        <v>45573</v>
      </c>
      <c r="C75" s="2" t="s">
        <v>805</v>
      </c>
      <c r="D75" s="2"/>
      <c r="E75" s="25"/>
      <c r="F75" s="2"/>
      <c r="G75" s="2"/>
    </row>
    <row r="76" spans="2:7" x14ac:dyDescent="0.25">
      <c r="B76" s="3">
        <v>45574</v>
      </c>
      <c r="C76" s="2" t="s">
        <v>2149</v>
      </c>
      <c r="D76" s="2" t="s">
        <v>2150</v>
      </c>
      <c r="E76" s="25"/>
      <c r="F76" s="2"/>
      <c r="G76" s="2"/>
    </row>
    <row r="77" spans="2:7" x14ac:dyDescent="0.25">
      <c r="B77" s="2"/>
      <c r="C77" s="2"/>
      <c r="D77" s="2" t="s">
        <v>2151</v>
      </c>
      <c r="E77" s="25"/>
      <c r="F77" s="2"/>
      <c r="G77" s="2"/>
    </row>
    <row r="78" spans="2:7" x14ac:dyDescent="0.25">
      <c r="B78" s="2"/>
      <c r="C78" s="2"/>
      <c r="D78" s="2"/>
      <c r="E78" s="25"/>
      <c r="F78" s="2"/>
      <c r="G78" s="2"/>
    </row>
    <row r="79" spans="2:7" x14ac:dyDescent="0.25">
      <c r="B79" s="2"/>
      <c r="C79" s="2"/>
      <c r="D79" s="2"/>
      <c r="E79" s="25"/>
      <c r="F79" s="2"/>
      <c r="G79" s="2"/>
    </row>
    <row r="80" spans="2:7" x14ac:dyDescent="0.25">
      <c r="B80" s="2"/>
      <c r="C80" s="2"/>
      <c r="D80" s="2"/>
      <c r="E80" s="25"/>
      <c r="F80" s="2"/>
      <c r="G80" s="2"/>
    </row>
    <row r="81" spans="2:7" x14ac:dyDescent="0.25">
      <c r="B81" s="2"/>
      <c r="C81" s="2"/>
      <c r="D81" s="2"/>
      <c r="E81" s="25"/>
      <c r="F81" s="2"/>
      <c r="G81" s="2"/>
    </row>
    <row r="82" spans="2:7" x14ac:dyDescent="0.25">
      <c r="B82" s="2"/>
      <c r="C82" s="2"/>
      <c r="D82" s="2"/>
      <c r="E82" s="25"/>
      <c r="F82" s="2"/>
      <c r="G82" s="2"/>
    </row>
    <row r="83" spans="2:7" x14ac:dyDescent="0.25">
      <c r="B83" s="2"/>
      <c r="C83" s="2"/>
      <c r="D83" s="2"/>
      <c r="E83" s="25"/>
      <c r="F83" s="2"/>
      <c r="G83" s="2"/>
    </row>
    <row r="84" spans="2:7" x14ac:dyDescent="0.25">
      <c r="B84" s="2"/>
      <c r="C84" s="2"/>
      <c r="D84" s="2"/>
      <c r="E84" s="25"/>
      <c r="F84" s="2"/>
      <c r="G84" s="2"/>
    </row>
    <row r="85" spans="2:7" x14ac:dyDescent="0.25">
      <c r="B85" s="2"/>
      <c r="C85" s="2"/>
      <c r="D85" s="2"/>
      <c r="E85" s="25"/>
      <c r="F85" s="2"/>
      <c r="G85" s="2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92D050"/>
  </sheetPr>
  <dimension ref="B2:G31"/>
  <sheetViews>
    <sheetView topLeftCell="A13" workbookViewId="0">
      <selection activeCell="E17" sqref="E17:E25"/>
    </sheetView>
  </sheetViews>
  <sheetFormatPr defaultRowHeight="15" x14ac:dyDescent="0.25"/>
  <cols>
    <col min="1" max="1" width="5.7109375" customWidth="1"/>
    <col min="2" max="2" width="18" bestFit="1" customWidth="1"/>
    <col min="3" max="3" width="72" bestFit="1" customWidth="1"/>
    <col min="4" max="4" width="42.140625" bestFit="1" customWidth="1"/>
    <col min="5" max="5" width="11.85546875" bestFit="1" customWidth="1"/>
    <col min="7" max="7" width="11" bestFit="1" customWidth="1"/>
  </cols>
  <sheetData>
    <row r="2" spans="2:7" x14ac:dyDescent="0.25">
      <c r="C2" t="s">
        <v>1933</v>
      </c>
    </row>
    <row r="4" spans="2:7" ht="15.75" x14ac:dyDescent="0.25">
      <c r="B4" s="10" t="s">
        <v>0</v>
      </c>
      <c r="C4" s="11" t="s">
        <v>1</v>
      </c>
      <c r="D4" s="11" t="s">
        <v>2</v>
      </c>
      <c r="E4" s="11" t="s">
        <v>934</v>
      </c>
      <c r="F4" s="11" t="s">
        <v>1095</v>
      </c>
      <c r="G4" s="11" t="s">
        <v>1507</v>
      </c>
    </row>
    <row r="5" spans="2:7" x14ac:dyDescent="0.25">
      <c r="B5" s="3">
        <v>45559</v>
      </c>
      <c r="C5" s="2" t="s">
        <v>1528</v>
      </c>
      <c r="D5" s="2"/>
      <c r="E5" s="23">
        <v>0</v>
      </c>
      <c r="F5" s="2"/>
      <c r="G5" s="2"/>
    </row>
    <row r="6" spans="2:7" x14ac:dyDescent="0.25">
      <c r="B6" s="3">
        <v>45560</v>
      </c>
      <c r="C6" s="2" t="s">
        <v>2003</v>
      </c>
      <c r="D6" s="2"/>
      <c r="E6" s="23">
        <v>0</v>
      </c>
      <c r="F6" s="2">
        <f t="shared" ref="F6:F18" si="0">E6-E5</f>
        <v>0</v>
      </c>
      <c r="G6" s="2"/>
    </row>
    <row r="7" spans="2:7" x14ac:dyDescent="0.25">
      <c r="B7" s="3">
        <v>45561</v>
      </c>
      <c r="C7" s="2" t="s">
        <v>2013</v>
      </c>
      <c r="D7" s="2"/>
      <c r="E7" s="23">
        <v>0</v>
      </c>
      <c r="F7" s="2">
        <v>0</v>
      </c>
      <c r="G7" s="2"/>
    </row>
    <row r="8" spans="2:7" x14ac:dyDescent="0.25">
      <c r="B8" s="3">
        <v>45562</v>
      </c>
      <c r="C8" s="2" t="s">
        <v>2014</v>
      </c>
      <c r="D8" s="2"/>
      <c r="E8" s="23">
        <v>60</v>
      </c>
      <c r="F8" s="2">
        <f t="shared" si="0"/>
        <v>60</v>
      </c>
      <c r="G8" s="2"/>
    </row>
    <row r="9" spans="2:7" x14ac:dyDescent="0.25">
      <c r="B9" s="3">
        <v>45563</v>
      </c>
      <c r="C9" s="2" t="s">
        <v>2014</v>
      </c>
      <c r="D9" s="2"/>
      <c r="E9" s="23">
        <v>60</v>
      </c>
      <c r="F9" s="2">
        <f t="shared" si="0"/>
        <v>0</v>
      </c>
      <c r="G9" s="2"/>
    </row>
    <row r="10" spans="2:7" x14ac:dyDescent="0.25">
      <c r="B10" s="3">
        <v>45564</v>
      </c>
      <c r="C10" s="2" t="s">
        <v>2046</v>
      </c>
      <c r="D10" s="2"/>
      <c r="E10" s="23">
        <v>95</v>
      </c>
      <c r="F10" s="2">
        <f t="shared" si="0"/>
        <v>35</v>
      </c>
      <c r="G10" s="2"/>
    </row>
    <row r="11" spans="2:7" x14ac:dyDescent="0.25">
      <c r="B11" s="3">
        <v>45565</v>
      </c>
      <c r="C11" s="2"/>
      <c r="D11" s="2"/>
      <c r="E11" s="23">
        <v>95</v>
      </c>
      <c r="F11" s="2">
        <f t="shared" si="0"/>
        <v>0</v>
      </c>
      <c r="G11" s="2"/>
    </row>
    <row r="12" spans="2:7" x14ac:dyDescent="0.25">
      <c r="B12" s="3">
        <v>45566</v>
      </c>
      <c r="C12" s="2" t="s">
        <v>2046</v>
      </c>
      <c r="D12" s="2"/>
      <c r="E12" s="23">
        <v>120</v>
      </c>
      <c r="F12" s="2">
        <f t="shared" si="0"/>
        <v>25</v>
      </c>
      <c r="G12" s="2"/>
    </row>
    <row r="13" spans="2:7" x14ac:dyDescent="0.25">
      <c r="B13" s="3">
        <v>45567</v>
      </c>
      <c r="C13" s="2" t="s">
        <v>2077</v>
      </c>
      <c r="D13" s="2"/>
      <c r="E13" s="23">
        <v>90</v>
      </c>
      <c r="F13" s="2">
        <f t="shared" si="0"/>
        <v>-30</v>
      </c>
      <c r="G13" s="2"/>
    </row>
    <row r="14" spans="2:7" x14ac:dyDescent="0.25">
      <c r="B14" s="3">
        <v>45568</v>
      </c>
      <c r="C14" s="2" t="s">
        <v>2089</v>
      </c>
      <c r="D14" s="2"/>
      <c r="E14" s="23">
        <v>105</v>
      </c>
      <c r="F14" s="2">
        <f t="shared" si="0"/>
        <v>15</v>
      </c>
      <c r="G14" s="2"/>
    </row>
    <row r="15" spans="2:7" x14ac:dyDescent="0.25">
      <c r="B15" s="3">
        <v>45569</v>
      </c>
      <c r="C15" s="2" t="s">
        <v>2097</v>
      </c>
      <c r="D15" s="2"/>
      <c r="E15" s="33">
        <v>120</v>
      </c>
      <c r="F15" s="2">
        <f t="shared" si="0"/>
        <v>15</v>
      </c>
      <c r="G15" s="2"/>
    </row>
    <row r="16" spans="2:7" x14ac:dyDescent="0.25">
      <c r="B16" s="3">
        <v>45570</v>
      </c>
      <c r="C16" s="2" t="s">
        <v>2122</v>
      </c>
      <c r="D16" s="2"/>
      <c r="E16" s="23">
        <v>30</v>
      </c>
      <c r="F16" s="2">
        <f t="shared" si="0"/>
        <v>-90</v>
      </c>
      <c r="G16" s="2"/>
    </row>
    <row r="17" spans="2:7" x14ac:dyDescent="0.25">
      <c r="B17" s="3">
        <v>45571</v>
      </c>
      <c r="C17" s="2" t="s">
        <v>2123</v>
      </c>
      <c r="D17" s="2"/>
      <c r="E17" s="23">
        <v>123</v>
      </c>
      <c r="F17" s="2">
        <f t="shared" si="0"/>
        <v>93</v>
      </c>
      <c r="G17" s="2"/>
    </row>
    <row r="18" spans="2:7" x14ac:dyDescent="0.25">
      <c r="B18" s="3">
        <v>45572</v>
      </c>
      <c r="C18" s="2" t="s">
        <v>1178</v>
      </c>
      <c r="D18" s="2"/>
      <c r="E18" s="23">
        <v>123</v>
      </c>
      <c r="F18" s="2">
        <f t="shared" si="0"/>
        <v>0</v>
      </c>
      <c r="G18" s="2"/>
    </row>
    <row r="19" spans="2:7" x14ac:dyDescent="0.25">
      <c r="B19" s="3">
        <v>45573</v>
      </c>
      <c r="C19" s="2" t="s">
        <v>2148</v>
      </c>
      <c r="D19" s="2"/>
      <c r="E19" s="23">
        <v>123</v>
      </c>
      <c r="F19" s="2"/>
      <c r="G19" s="2"/>
    </row>
    <row r="20" spans="2:7" x14ac:dyDescent="0.25">
      <c r="B20" s="3">
        <v>45574</v>
      </c>
      <c r="C20" s="2" t="s">
        <v>2135</v>
      </c>
      <c r="D20" s="2"/>
      <c r="E20" s="23">
        <v>123</v>
      </c>
      <c r="F20" s="2"/>
      <c r="G20" s="2"/>
    </row>
    <row r="21" spans="2:7" x14ac:dyDescent="0.25">
      <c r="B21" s="3">
        <v>45575</v>
      </c>
      <c r="C21" s="2" t="s">
        <v>2136</v>
      </c>
      <c r="D21" s="2"/>
      <c r="E21" s="23">
        <v>123</v>
      </c>
      <c r="F21" s="2"/>
      <c r="G21" s="2"/>
    </row>
    <row r="22" spans="2:7" x14ac:dyDescent="0.25">
      <c r="B22" s="3">
        <v>45576</v>
      </c>
      <c r="C22" s="2" t="s">
        <v>1166</v>
      </c>
      <c r="D22" s="2"/>
      <c r="E22" s="23">
        <v>123</v>
      </c>
      <c r="F22" s="2"/>
      <c r="G22" s="2"/>
    </row>
    <row r="23" spans="2:7" x14ac:dyDescent="0.25">
      <c r="B23" s="3">
        <v>45577</v>
      </c>
      <c r="C23" s="2" t="s">
        <v>1166</v>
      </c>
      <c r="D23" s="2"/>
      <c r="E23" s="23">
        <v>123</v>
      </c>
      <c r="F23" s="2"/>
      <c r="G23" s="2"/>
    </row>
    <row r="24" spans="2:7" x14ac:dyDescent="0.25">
      <c r="B24" s="3">
        <v>45578</v>
      </c>
      <c r="C24" s="2" t="s">
        <v>2137</v>
      </c>
      <c r="D24" s="2"/>
      <c r="E24" s="23">
        <v>123</v>
      </c>
      <c r="F24" s="2"/>
      <c r="G24" s="2"/>
    </row>
    <row r="25" spans="2:7" x14ac:dyDescent="0.25">
      <c r="B25" s="2"/>
      <c r="C25" s="2"/>
      <c r="D25" s="2"/>
      <c r="E25" s="23">
        <v>123</v>
      </c>
      <c r="F25" s="2"/>
      <c r="G25" s="2"/>
    </row>
    <row r="26" spans="2:7" x14ac:dyDescent="0.25">
      <c r="B26" s="2"/>
      <c r="C26" s="2"/>
      <c r="D26" s="2"/>
      <c r="E26" s="2"/>
      <c r="F26" s="2"/>
      <c r="G26" s="2"/>
    </row>
    <row r="27" spans="2:7" x14ac:dyDescent="0.25">
      <c r="B27" s="2"/>
      <c r="C27" s="2"/>
      <c r="D27" s="2"/>
      <c r="E27" s="2"/>
      <c r="F27" s="2"/>
      <c r="G27" s="2"/>
    </row>
    <row r="28" spans="2:7" x14ac:dyDescent="0.25">
      <c r="B28" s="2"/>
      <c r="C28" s="2"/>
      <c r="D28" s="2"/>
      <c r="E28" s="2"/>
      <c r="F28" s="2"/>
      <c r="G28" s="2"/>
    </row>
    <row r="29" spans="2:7" x14ac:dyDescent="0.25">
      <c r="B29" s="2"/>
      <c r="C29" s="2"/>
      <c r="D29" s="2"/>
      <c r="E29" s="2"/>
      <c r="F29" s="2"/>
      <c r="G29" s="2"/>
    </row>
    <row r="30" spans="2:7" x14ac:dyDescent="0.25">
      <c r="B30" s="2"/>
      <c r="C30" s="2"/>
      <c r="D30" s="2"/>
      <c r="E30" s="2"/>
      <c r="F30" s="2"/>
      <c r="G30" s="2"/>
    </row>
    <row r="31" spans="2:7" x14ac:dyDescent="0.25">
      <c r="B31" s="2"/>
      <c r="C31" s="2"/>
      <c r="D31" s="2"/>
      <c r="E31" s="2"/>
      <c r="F31" s="2"/>
      <c r="G31" s="2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92D050"/>
  </sheetPr>
  <dimension ref="B2:G49"/>
  <sheetViews>
    <sheetView topLeftCell="A25" workbookViewId="0">
      <selection activeCell="C36" sqref="C36"/>
    </sheetView>
  </sheetViews>
  <sheetFormatPr defaultRowHeight="15" x14ac:dyDescent="0.25"/>
  <cols>
    <col min="2" max="2" width="18" bestFit="1" customWidth="1"/>
    <col min="3" max="3" width="72" bestFit="1" customWidth="1"/>
    <col min="4" max="4" width="42.140625" bestFit="1" customWidth="1"/>
    <col min="7" max="7" width="11" bestFit="1" customWidth="1"/>
  </cols>
  <sheetData>
    <row r="2" spans="2:7" x14ac:dyDescent="0.25">
      <c r="C2" t="s">
        <v>1567</v>
      </c>
    </row>
    <row r="4" spans="2:7" ht="15.75" x14ac:dyDescent="0.25">
      <c r="B4" s="10" t="s">
        <v>0</v>
      </c>
      <c r="C4" s="11" t="s">
        <v>1</v>
      </c>
      <c r="D4" s="11" t="s">
        <v>2</v>
      </c>
      <c r="E4" s="11" t="s">
        <v>934</v>
      </c>
      <c r="F4" s="11" t="s">
        <v>1095</v>
      </c>
      <c r="G4" s="11" t="s">
        <v>1507</v>
      </c>
    </row>
    <row r="5" spans="2:7" x14ac:dyDescent="0.25">
      <c r="B5" s="3">
        <v>45523</v>
      </c>
      <c r="C5" s="2" t="s">
        <v>1528</v>
      </c>
      <c r="D5" s="2"/>
      <c r="E5" s="23"/>
      <c r="F5" s="2"/>
      <c r="G5" s="2"/>
    </row>
    <row r="6" spans="2:7" x14ac:dyDescent="0.25">
      <c r="B6" s="3">
        <v>45524</v>
      </c>
      <c r="C6" s="2" t="s">
        <v>1545</v>
      </c>
      <c r="D6" s="2"/>
      <c r="E6" s="23">
        <v>0</v>
      </c>
      <c r="F6" s="2"/>
      <c r="G6" s="2"/>
    </row>
    <row r="7" spans="2:7" x14ac:dyDescent="0.25">
      <c r="B7" s="3">
        <v>45525</v>
      </c>
      <c r="C7" s="2" t="s">
        <v>1569</v>
      </c>
      <c r="D7" s="2"/>
      <c r="E7" s="23">
        <v>0</v>
      </c>
      <c r="F7" s="2">
        <f>E7-E6</f>
        <v>0</v>
      </c>
      <c r="G7" s="2"/>
    </row>
    <row r="8" spans="2:7" x14ac:dyDescent="0.25">
      <c r="B8" s="3">
        <v>45526</v>
      </c>
      <c r="C8" s="2" t="s">
        <v>1568</v>
      </c>
      <c r="D8" s="2"/>
      <c r="E8" s="23">
        <v>9</v>
      </c>
      <c r="F8" s="2">
        <f t="shared" ref="F8:F30" si="0">E8-E7</f>
        <v>9</v>
      </c>
      <c r="G8" s="2"/>
    </row>
    <row r="9" spans="2:7" x14ac:dyDescent="0.25">
      <c r="B9" s="3">
        <v>45527</v>
      </c>
      <c r="C9" s="2" t="s">
        <v>1595</v>
      </c>
      <c r="D9" s="2"/>
      <c r="E9" s="23">
        <v>12</v>
      </c>
      <c r="F9" s="2">
        <f t="shared" si="0"/>
        <v>3</v>
      </c>
      <c r="G9" s="2"/>
    </row>
    <row r="10" spans="2:7" x14ac:dyDescent="0.25">
      <c r="B10" s="3">
        <v>45528</v>
      </c>
      <c r="C10" s="2" t="s">
        <v>1613</v>
      </c>
      <c r="D10" s="2"/>
      <c r="E10" s="23">
        <v>20</v>
      </c>
      <c r="F10" s="2">
        <f t="shared" si="0"/>
        <v>8</v>
      </c>
      <c r="G10" s="2"/>
    </row>
    <row r="11" spans="2:7" x14ac:dyDescent="0.25">
      <c r="B11" s="3">
        <v>45529</v>
      </c>
      <c r="C11" s="2" t="s">
        <v>1614</v>
      </c>
      <c r="D11" s="2"/>
      <c r="E11" s="23">
        <v>20.5</v>
      </c>
      <c r="F11" s="2">
        <f t="shared" si="0"/>
        <v>0.5</v>
      </c>
      <c r="G11" s="2"/>
    </row>
    <row r="12" spans="2:7" x14ac:dyDescent="0.25">
      <c r="B12" s="3">
        <v>45530</v>
      </c>
      <c r="C12" s="2" t="s">
        <v>1623</v>
      </c>
      <c r="D12" s="2"/>
      <c r="E12" s="23">
        <v>26</v>
      </c>
      <c r="F12" s="2">
        <f t="shared" si="0"/>
        <v>5.5</v>
      </c>
      <c r="G12" s="2"/>
    </row>
    <row r="13" spans="2:7" x14ac:dyDescent="0.25">
      <c r="B13" s="3">
        <v>45531</v>
      </c>
      <c r="C13" s="2" t="s">
        <v>1623</v>
      </c>
      <c r="D13" s="2"/>
      <c r="E13" s="23">
        <v>26</v>
      </c>
      <c r="F13" s="2">
        <f t="shared" si="0"/>
        <v>0</v>
      </c>
      <c r="G13" s="2"/>
    </row>
    <row r="14" spans="2:7" x14ac:dyDescent="0.25">
      <c r="B14" s="3">
        <v>45532</v>
      </c>
      <c r="C14" s="2" t="s">
        <v>1652</v>
      </c>
      <c r="D14" s="2" t="s">
        <v>1663</v>
      </c>
      <c r="E14" s="23">
        <v>29</v>
      </c>
      <c r="F14" s="2">
        <f t="shared" si="0"/>
        <v>3</v>
      </c>
      <c r="G14" s="2"/>
    </row>
    <row r="15" spans="2:7" x14ac:dyDescent="0.25">
      <c r="B15" s="3">
        <v>45533</v>
      </c>
      <c r="C15" s="2" t="s">
        <v>1662</v>
      </c>
      <c r="D15" s="2" t="s">
        <v>1664</v>
      </c>
      <c r="E15" s="23">
        <v>45</v>
      </c>
      <c r="F15" s="2">
        <f t="shared" si="0"/>
        <v>16</v>
      </c>
      <c r="G15" s="2"/>
    </row>
    <row r="16" spans="2:7" x14ac:dyDescent="0.25">
      <c r="B16" s="3">
        <v>45534</v>
      </c>
      <c r="C16" s="2" t="s">
        <v>1669</v>
      </c>
      <c r="D16" s="2" t="s">
        <v>1670</v>
      </c>
      <c r="E16" s="23">
        <v>48</v>
      </c>
      <c r="F16" s="2">
        <f t="shared" si="0"/>
        <v>3</v>
      </c>
      <c r="G16" s="2"/>
    </row>
    <row r="17" spans="2:7" x14ac:dyDescent="0.25">
      <c r="B17" s="3">
        <v>45535</v>
      </c>
      <c r="C17" s="2"/>
      <c r="D17" s="2"/>
      <c r="E17" s="23"/>
      <c r="F17" s="2">
        <f t="shared" si="0"/>
        <v>-48</v>
      </c>
      <c r="G17" s="2"/>
    </row>
    <row r="18" spans="2:7" x14ac:dyDescent="0.25">
      <c r="B18" s="3">
        <v>45536</v>
      </c>
      <c r="C18" s="2" t="s">
        <v>1711</v>
      </c>
      <c r="D18" s="2" t="s">
        <v>1707</v>
      </c>
      <c r="E18" s="23">
        <v>67</v>
      </c>
      <c r="F18" s="2">
        <f t="shared" si="0"/>
        <v>67</v>
      </c>
      <c r="G18" s="2"/>
    </row>
    <row r="19" spans="2:7" x14ac:dyDescent="0.25">
      <c r="B19" s="3">
        <v>45537</v>
      </c>
      <c r="C19" s="2" t="s">
        <v>1712</v>
      </c>
      <c r="D19" s="2" t="s">
        <v>1713</v>
      </c>
      <c r="E19" s="23">
        <v>97.5</v>
      </c>
      <c r="F19" s="2">
        <f t="shared" si="0"/>
        <v>30.5</v>
      </c>
      <c r="G19" s="2"/>
    </row>
    <row r="20" spans="2:7" x14ac:dyDescent="0.25">
      <c r="B20" s="3">
        <v>45538</v>
      </c>
      <c r="C20" s="2" t="s">
        <v>1749</v>
      </c>
      <c r="D20" s="2" t="s">
        <v>1729</v>
      </c>
      <c r="E20" s="23">
        <v>99</v>
      </c>
      <c r="F20" s="2">
        <f t="shared" si="0"/>
        <v>1.5</v>
      </c>
      <c r="G20" s="2"/>
    </row>
    <row r="21" spans="2:7" x14ac:dyDescent="0.25">
      <c r="B21" s="3">
        <v>45539</v>
      </c>
      <c r="C21" s="2" t="s">
        <v>1748</v>
      </c>
      <c r="D21" s="2"/>
      <c r="E21" s="23">
        <v>103</v>
      </c>
      <c r="F21" s="2">
        <f t="shared" si="0"/>
        <v>4</v>
      </c>
      <c r="G21" s="2"/>
    </row>
    <row r="22" spans="2:7" x14ac:dyDescent="0.25">
      <c r="B22" s="3">
        <v>45540</v>
      </c>
      <c r="C22" s="2" t="s">
        <v>1780</v>
      </c>
      <c r="D22" s="2"/>
      <c r="E22" s="23">
        <v>112</v>
      </c>
      <c r="F22" s="2">
        <f t="shared" si="0"/>
        <v>9</v>
      </c>
      <c r="G22" s="2"/>
    </row>
    <row r="23" spans="2:7" x14ac:dyDescent="0.25">
      <c r="B23" s="3">
        <v>45541</v>
      </c>
      <c r="C23" s="2" t="s">
        <v>1793</v>
      </c>
      <c r="D23" s="2"/>
      <c r="E23" s="23">
        <v>121</v>
      </c>
      <c r="F23" s="2">
        <f t="shared" si="0"/>
        <v>9</v>
      </c>
      <c r="G23" s="2"/>
    </row>
    <row r="24" spans="2:7" x14ac:dyDescent="0.25">
      <c r="B24" s="3">
        <v>45542</v>
      </c>
      <c r="C24" s="2" t="s">
        <v>1825</v>
      </c>
      <c r="D24" s="2"/>
      <c r="E24" s="23">
        <v>121</v>
      </c>
      <c r="F24" s="2">
        <f t="shared" si="0"/>
        <v>0</v>
      </c>
      <c r="G24" s="2"/>
    </row>
    <row r="25" spans="2:7" x14ac:dyDescent="0.25">
      <c r="B25" s="3">
        <v>45543</v>
      </c>
      <c r="C25" s="2" t="s">
        <v>1826</v>
      </c>
      <c r="D25" s="2"/>
      <c r="E25" s="23">
        <v>130</v>
      </c>
      <c r="F25" s="2">
        <f t="shared" si="0"/>
        <v>9</v>
      </c>
      <c r="G25" s="2"/>
    </row>
    <row r="26" spans="2:7" x14ac:dyDescent="0.25">
      <c r="B26" s="3">
        <v>45544</v>
      </c>
      <c r="C26" s="2" t="s">
        <v>1824</v>
      </c>
      <c r="D26" s="2"/>
      <c r="E26" s="23">
        <v>135</v>
      </c>
      <c r="F26" s="2">
        <f t="shared" si="0"/>
        <v>5</v>
      </c>
      <c r="G26" s="2"/>
    </row>
    <row r="27" spans="2:7" x14ac:dyDescent="0.25">
      <c r="B27" s="3">
        <v>45545</v>
      </c>
      <c r="C27" s="2" t="s">
        <v>1827</v>
      </c>
      <c r="D27" s="2"/>
      <c r="E27" s="23">
        <v>135</v>
      </c>
      <c r="F27" s="2">
        <f t="shared" si="0"/>
        <v>0</v>
      </c>
      <c r="G27" s="2"/>
    </row>
    <row r="28" spans="2:7" x14ac:dyDescent="0.25">
      <c r="B28" s="3">
        <v>45546</v>
      </c>
      <c r="C28" s="2" t="s">
        <v>1849</v>
      </c>
      <c r="D28" s="2"/>
      <c r="E28" s="23">
        <v>50</v>
      </c>
      <c r="F28" s="2">
        <f t="shared" si="0"/>
        <v>-85</v>
      </c>
      <c r="G28" s="2"/>
    </row>
    <row r="29" spans="2:7" x14ac:dyDescent="0.25">
      <c r="B29" s="3">
        <v>45547</v>
      </c>
      <c r="C29" s="2" t="s">
        <v>1850</v>
      </c>
      <c r="D29" s="2"/>
      <c r="E29" s="23">
        <v>94</v>
      </c>
      <c r="F29" s="2">
        <f t="shared" si="0"/>
        <v>44</v>
      </c>
      <c r="G29" s="2"/>
    </row>
    <row r="30" spans="2:7" x14ac:dyDescent="0.25">
      <c r="B30" s="3">
        <v>45548</v>
      </c>
      <c r="C30" s="2" t="s">
        <v>1871</v>
      </c>
      <c r="D30" s="2"/>
      <c r="E30" s="23">
        <v>121.5</v>
      </c>
      <c r="F30" s="2">
        <f t="shared" si="0"/>
        <v>27.5</v>
      </c>
      <c r="G30" s="2"/>
    </row>
    <row r="31" spans="2:7" x14ac:dyDescent="0.25">
      <c r="B31" s="3">
        <v>45549</v>
      </c>
      <c r="C31" s="2" t="s">
        <v>1178</v>
      </c>
      <c r="D31" s="2"/>
      <c r="E31" s="23">
        <v>135</v>
      </c>
      <c r="F31" s="2"/>
      <c r="G31" s="2"/>
    </row>
    <row r="32" spans="2:7" x14ac:dyDescent="0.25">
      <c r="B32" s="3">
        <v>45550</v>
      </c>
      <c r="C32" s="2" t="s">
        <v>1902</v>
      </c>
      <c r="D32" s="2"/>
      <c r="E32" s="23">
        <v>135</v>
      </c>
      <c r="F32" s="2"/>
      <c r="G32" s="2"/>
    </row>
    <row r="33" spans="2:7" x14ac:dyDescent="0.25">
      <c r="B33" s="3">
        <v>45551</v>
      </c>
      <c r="C33" s="2" t="s">
        <v>1166</v>
      </c>
      <c r="D33" s="2"/>
      <c r="E33" s="23">
        <v>135</v>
      </c>
      <c r="F33" s="2"/>
      <c r="G33" s="2"/>
    </row>
    <row r="34" spans="2:7" x14ac:dyDescent="0.25">
      <c r="B34" s="3">
        <v>45552</v>
      </c>
      <c r="C34" s="2" t="s">
        <v>1916</v>
      </c>
      <c r="D34" s="2"/>
      <c r="E34" s="2"/>
      <c r="F34" s="2"/>
      <c r="G34" s="2"/>
    </row>
    <row r="35" spans="2:7" x14ac:dyDescent="0.25">
      <c r="B35" s="2"/>
      <c r="C35" s="2"/>
      <c r="D35" s="2"/>
      <c r="E35" s="2"/>
      <c r="F35" s="2"/>
      <c r="G35" s="2"/>
    </row>
    <row r="36" spans="2:7" x14ac:dyDescent="0.25">
      <c r="B36" s="2"/>
      <c r="C36" s="2"/>
      <c r="D36" s="2"/>
      <c r="E36" s="2"/>
      <c r="F36" s="2"/>
      <c r="G36" s="2"/>
    </row>
    <row r="37" spans="2:7" x14ac:dyDescent="0.25">
      <c r="B37" s="2"/>
      <c r="C37" s="2"/>
      <c r="D37" s="2"/>
      <c r="E37" s="2"/>
      <c r="F37" s="2"/>
      <c r="G37" s="2"/>
    </row>
    <row r="38" spans="2:7" x14ac:dyDescent="0.25">
      <c r="B38" s="2"/>
      <c r="C38" s="2"/>
      <c r="D38" s="2"/>
      <c r="E38" s="2"/>
      <c r="F38" s="2"/>
      <c r="G38" s="2"/>
    </row>
    <row r="39" spans="2:7" x14ac:dyDescent="0.25">
      <c r="B39" s="2"/>
      <c r="C39" s="2"/>
      <c r="D39" s="2"/>
      <c r="E39" s="2"/>
      <c r="F39" s="2"/>
      <c r="G39" s="2"/>
    </row>
    <row r="40" spans="2:7" x14ac:dyDescent="0.25">
      <c r="B40" s="2"/>
      <c r="C40" s="2"/>
      <c r="D40" s="2"/>
      <c r="E40" s="2"/>
      <c r="F40" s="2"/>
      <c r="G40" s="2"/>
    </row>
    <row r="41" spans="2:7" x14ac:dyDescent="0.25">
      <c r="B41" s="2"/>
      <c r="C41" s="2"/>
      <c r="D41" s="2"/>
      <c r="E41" s="2"/>
      <c r="F41" s="2"/>
      <c r="G41" s="2"/>
    </row>
    <row r="42" spans="2:7" x14ac:dyDescent="0.25">
      <c r="B42" s="2"/>
      <c r="C42" s="2"/>
      <c r="D42" s="2"/>
      <c r="E42" s="2"/>
      <c r="F42" s="2"/>
      <c r="G42" s="2"/>
    </row>
    <row r="43" spans="2:7" x14ac:dyDescent="0.25">
      <c r="B43" s="2"/>
      <c r="C43" s="2"/>
      <c r="D43" s="2"/>
      <c r="E43" s="2"/>
      <c r="F43" s="2"/>
      <c r="G43" s="2"/>
    </row>
    <row r="44" spans="2:7" x14ac:dyDescent="0.25">
      <c r="B44" s="2"/>
      <c r="C44" s="2"/>
      <c r="D44" s="2"/>
      <c r="E44" s="2"/>
      <c r="F44" s="2"/>
      <c r="G44" s="2"/>
    </row>
    <row r="45" spans="2:7" x14ac:dyDescent="0.25">
      <c r="B45" s="2"/>
      <c r="C45" s="2"/>
      <c r="D45" s="2"/>
      <c r="E45" s="2"/>
      <c r="F45" s="2"/>
      <c r="G45" s="2"/>
    </row>
    <row r="46" spans="2:7" x14ac:dyDescent="0.25">
      <c r="G46" s="19"/>
    </row>
    <row r="47" spans="2:7" x14ac:dyDescent="0.25">
      <c r="G47" s="2"/>
    </row>
    <row r="48" spans="2:7" x14ac:dyDescent="0.25">
      <c r="G48" s="2"/>
    </row>
    <row r="49" spans="7:7" x14ac:dyDescent="0.25">
      <c r="G49" s="2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92D050"/>
  </sheetPr>
  <dimension ref="B2:G49"/>
  <sheetViews>
    <sheetView workbookViewId="0">
      <selection activeCell="D14" sqref="D14"/>
    </sheetView>
  </sheetViews>
  <sheetFormatPr defaultRowHeight="15" x14ac:dyDescent="0.25"/>
  <cols>
    <col min="2" max="2" width="18" bestFit="1" customWidth="1"/>
    <col min="3" max="3" width="72" bestFit="1" customWidth="1"/>
    <col min="4" max="4" width="42.140625" bestFit="1" customWidth="1"/>
    <col min="7" max="7" width="11" bestFit="1" customWidth="1"/>
  </cols>
  <sheetData>
    <row r="2" spans="2:7" x14ac:dyDescent="0.25">
      <c r="C2" t="s">
        <v>954</v>
      </c>
    </row>
    <row r="4" spans="2:7" ht="15.75" x14ac:dyDescent="0.25">
      <c r="B4" s="10" t="s">
        <v>0</v>
      </c>
      <c r="C4" s="11" t="s">
        <v>1</v>
      </c>
      <c r="D4" s="11" t="s">
        <v>2</v>
      </c>
      <c r="E4" s="11" t="s">
        <v>934</v>
      </c>
      <c r="F4" s="11" t="s">
        <v>1095</v>
      </c>
      <c r="G4" s="11" t="s">
        <v>1507</v>
      </c>
    </row>
    <row r="5" spans="2:7" x14ac:dyDescent="0.25">
      <c r="B5" s="3">
        <v>45544</v>
      </c>
      <c r="C5" s="2" t="s">
        <v>1830</v>
      </c>
      <c r="D5" s="2"/>
      <c r="E5" s="23">
        <v>0</v>
      </c>
      <c r="F5" s="2"/>
      <c r="G5" s="2"/>
    </row>
    <row r="6" spans="2:7" x14ac:dyDescent="0.25">
      <c r="B6" s="3">
        <v>45545</v>
      </c>
      <c r="C6" s="2" t="s">
        <v>1831</v>
      </c>
      <c r="D6" s="2"/>
      <c r="E6" s="23">
        <v>20</v>
      </c>
      <c r="F6" s="2">
        <f t="shared" ref="F6:F30" si="0">E6-E5</f>
        <v>20</v>
      </c>
      <c r="G6" s="2"/>
    </row>
    <row r="7" spans="2:7" x14ac:dyDescent="0.25">
      <c r="B7" s="3">
        <v>45546</v>
      </c>
      <c r="C7" s="2" t="s">
        <v>1854</v>
      </c>
      <c r="D7" s="2"/>
      <c r="E7" s="23">
        <v>100</v>
      </c>
      <c r="F7" s="2">
        <f t="shared" si="0"/>
        <v>80</v>
      </c>
      <c r="G7" s="2"/>
    </row>
    <row r="8" spans="2:7" x14ac:dyDescent="0.25">
      <c r="B8" s="3">
        <v>45547</v>
      </c>
      <c r="C8" s="2" t="s">
        <v>1827</v>
      </c>
      <c r="D8" s="2"/>
      <c r="E8" s="23"/>
      <c r="F8" s="2">
        <f t="shared" si="0"/>
        <v>-100</v>
      </c>
      <c r="G8" s="2"/>
    </row>
    <row r="9" spans="2:7" x14ac:dyDescent="0.25">
      <c r="B9" s="3">
        <v>45548</v>
      </c>
      <c r="C9" s="2" t="s">
        <v>1870</v>
      </c>
      <c r="D9" s="2"/>
      <c r="E9" s="23"/>
      <c r="F9" s="2">
        <f t="shared" si="0"/>
        <v>0</v>
      </c>
      <c r="G9" s="2"/>
    </row>
    <row r="10" spans="2:7" x14ac:dyDescent="0.25">
      <c r="B10" s="3">
        <v>45549</v>
      </c>
      <c r="C10" s="2" t="s">
        <v>1870</v>
      </c>
      <c r="D10" s="2"/>
      <c r="E10" s="23"/>
      <c r="F10" s="2">
        <f t="shared" si="0"/>
        <v>0</v>
      </c>
      <c r="G10" s="2"/>
    </row>
    <row r="11" spans="2:7" x14ac:dyDescent="0.25">
      <c r="B11" s="3">
        <v>45550</v>
      </c>
      <c r="C11" s="2" t="s">
        <v>1870</v>
      </c>
      <c r="D11" s="2"/>
      <c r="E11" s="23"/>
      <c r="F11" s="2">
        <f t="shared" si="0"/>
        <v>0</v>
      </c>
      <c r="G11" s="2"/>
    </row>
    <row r="12" spans="2:7" x14ac:dyDescent="0.25">
      <c r="B12" s="3">
        <v>45551</v>
      </c>
      <c r="C12" s="2" t="s">
        <v>1870</v>
      </c>
      <c r="D12" s="2"/>
      <c r="E12" s="23"/>
      <c r="F12" s="2">
        <f t="shared" si="0"/>
        <v>0</v>
      </c>
      <c r="G12" s="2"/>
    </row>
    <row r="13" spans="2:7" x14ac:dyDescent="0.25">
      <c r="B13" s="3">
        <v>45552</v>
      </c>
      <c r="C13" s="2" t="s">
        <v>1917</v>
      </c>
      <c r="D13" s="2"/>
      <c r="E13" s="23"/>
      <c r="F13" s="2">
        <f t="shared" si="0"/>
        <v>0</v>
      </c>
      <c r="G13" s="2"/>
    </row>
    <row r="14" spans="2:7" x14ac:dyDescent="0.25">
      <c r="B14" s="3">
        <v>45553</v>
      </c>
      <c r="C14" s="2" t="s">
        <v>1918</v>
      </c>
      <c r="D14" s="2" t="s">
        <v>1932</v>
      </c>
      <c r="E14" s="23"/>
      <c r="F14" s="2">
        <f t="shared" si="0"/>
        <v>0</v>
      </c>
      <c r="G14" s="2"/>
    </row>
    <row r="15" spans="2:7" x14ac:dyDescent="0.25">
      <c r="B15" s="3"/>
      <c r="C15" s="2"/>
      <c r="D15" s="2"/>
      <c r="E15" s="23"/>
      <c r="F15" s="2">
        <f t="shared" si="0"/>
        <v>0</v>
      </c>
      <c r="G15" s="2"/>
    </row>
    <row r="16" spans="2:7" x14ac:dyDescent="0.25">
      <c r="B16" s="3"/>
      <c r="C16" s="2"/>
      <c r="D16" s="2"/>
      <c r="E16" s="23"/>
      <c r="F16" s="2">
        <f t="shared" si="0"/>
        <v>0</v>
      </c>
      <c r="G16" s="2"/>
    </row>
    <row r="17" spans="2:7" x14ac:dyDescent="0.25">
      <c r="B17" s="3"/>
      <c r="C17" s="2"/>
      <c r="D17" s="2"/>
      <c r="E17" s="23"/>
      <c r="F17" s="2">
        <f t="shared" si="0"/>
        <v>0</v>
      </c>
      <c r="G17" s="2"/>
    </row>
    <row r="18" spans="2:7" x14ac:dyDescent="0.25">
      <c r="B18" s="3"/>
      <c r="C18" s="2"/>
      <c r="D18" s="2"/>
      <c r="E18" s="23"/>
      <c r="F18" s="2">
        <f t="shared" si="0"/>
        <v>0</v>
      </c>
      <c r="G18" s="2"/>
    </row>
    <row r="19" spans="2:7" x14ac:dyDescent="0.25">
      <c r="B19" s="3"/>
      <c r="C19" s="2"/>
      <c r="D19" s="2"/>
      <c r="E19" s="23"/>
      <c r="F19" s="2">
        <f t="shared" si="0"/>
        <v>0</v>
      </c>
      <c r="G19" s="2"/>
    </row>
    <row r="20" spans="2:7" x14ac:dyDescent="0.25">
      <c r="B20" s="3"/>
      <c r="C20" s="2"/>
      <c r="D20" s="2"/>
      <c r="E20" s="23"/>
      <c r="F20" s="2">
        <f t="shared" si="0"/>
        <v>0</v>
      </c>
      <c r="G20" s="2"/>
    </row>
    <row r="21" spans="2:7" x14ac:dyDescent="0.25">
      <c r="B21" s="3"/>
      <c r="C21" s="2"/>
      <c r="D21" s="2"/>
      <c r="E21" s="23"/>
      <c r="F21" s="2">
        <f t="shared" si="0"/>
        <v>0</v>
      </c>
      <c r="G21" s="2"/>
    </row>
    <row r="22" spans="2:7" x14ac:dyDescent="0.25">
      <c r="B22" s="3"/>
      <c r="C22" s="2"/>
      <c r="D22" s="2"/>
      <c r="E22" s="23"/>
      <c r="F22" s="2">
        <f t="shared" si="0"/>
        <v>0</v>
      </c>
      <c r="G22" s="2"/>
    </row>
    <row r="23" spans="2:7" x14ac:dyDescent="0.25">
      <c r="B23" s="3"/>
      <c r="C23" s="2"/>
      <c r="D23" s="2"/>
      <c r="E23" s="23"/>
      <c r="F23" s="2">
        <f t="shared" si="0"/>
        <v>0</v>
      </c>
      <c r="G23" s="2"/>
    </row>
    <row r="24" spans="2:7" x14ac:dyDescent="0.25">
      <c r="B24" s="2"/>
      <c r="C24" s="2"/>
      <c r="D24" s="2"/>
      <c r="E24" s="23"/>
      <c r="F24" s="2">
        <f t="shared" si="0"/>
        <v>0</v>
      </c>
      <c r="G24" s="2"/>
    </row>
    <row r="25" spans="2:7" x14ac:dyDescent="0.25">
      <c r="B25" s="2"/>
      <c r="C25" s="2"/>
      <c r="D25" s="2"/>
      <c r="E25" s="23"/>
      <c r="F25" s="2">
        <f t="shared" si="0"/>
        <v>0</v>
      </c>
      <c r="G25" s="2"/>
    </row>
    <row r="26" spans="2:7" x14ac:dyDescent="0.25">
      <c r="B26" s="2"/>
      <c r="C26" s="2"/>
      <c r="D26" s="2"/>
      <c r="E26" s="23"/>
      <c r="F26" s="2">
        <f t="shared" si="0"/>
        <v>0</v>
      </c>
      <c r="G26" s="2"/>
    </row>
    <row r="27" spans="2:7" x14ac:dyDescent="0.25">
      <c r="B27" s="2"/>
      <c r="C27" s="2"/>
      <c r="D27" s="2"/>
      <c r="E27" s="23"/>
      <c r="F27" s="2">
        <f t="shared" si="0"/>
        <v>0</v>
      </c>
      <c r="G27" s="2"/>
    </row>
    <row r="28" spans="2:7" x14ac:dyDescent="0.25">
      <c r="B28" s="2"/>
      <c r="C28" s="2"/>
      <c r="D28" s="2"/>
      <c r="E28" s="2"/>
      <c r="F28" s="2">
        <f t="shared" si="0"/>
        <v>0</v>
      </c>
      <c r="G28" s="2"/>
    </row>
    <row r="29" spans="2:7" x14ac:dyDescent="0.25">
      <c r="B29" s="2"/>
      <c r="C29" s="2"/>
      <c r="D29" s="2"/>
      <c r="E29" s="2"/>
      <c r="F29" s="2">
        <f t="shared" si="0"/>
        <v>0</v>
      </c>
      <c r="G29" s="2"/>
    </row>
    <row r="30" spans="2:7" x14ac:dyDescent="0.25">
      <c r="B30" s="2"/>
      <c r="C30" s="2"/>
      <c r="D30" s="2"/>
      <c r="E30" s="2"/>
      <c r="F30" s="2">
        <f t="shared" si="0"/>
        <v>0</v>
      </c>
      <c r="G30" s="2"/>
    </row>
    <row r="31" spans="2:7" x14ac:dyDescent="0.25">
      <c r="B31" s="2"/>
      <c r="C31" s="2"/>
      <c r="D31" s="2"/>
      <c r="E31" s="2"/>
      <c r="F31" s="2"/>
      <c r="G31" s="2"/>
    </row>
    <row r="32" spans="2:7" x14ac:dyDescent="0.25">
      <c r="G32" s="2"/>
    </row>
    <row r="33" spans="7:7" x14ac:dyDescent="0.25">
      <c r="G33" s="2"/>
    </row>
    <row r="34" spans="7:7" x14ac:dyDescent="0.25">
      <c r="G34" s="2"/>
    </row>
    <row r="35" spans="7:7" x14ac:dyDescent="0.25">
      <c r="G35" s="2"/>
    </row>
    <row r="36" spans="7:7" x14ac:dyDescent="0.25">
      <c r="G36" s="2"/>
    </row>
    <row r="37" spans="7:7" x14ac:dyDescent="0.25">
      <c r="G37" s="2"/>
    </row>
    <row r="38" spans="7:7" x14ac:dyDescent="0.25">
      <c r="G38" s="2"/>
    </row>
    <row r="39" spans="7:7" x14ac:dyDescent="0.25">
      <c r="G39" s="2"/>
    </row>
    <row r="40" spans="7:7" x14ac:dyDescent="0.25">
      <c r="G40" s="2"/>
    </row>
    <row r="41" spans="7:7" x14ac:dyDescent="0.25">
      <c r="G41" s="2"/>
    </row>
    <row r="42" spans="7:7" x14ac:dyDescent="0.25">
      <c r="G42" s="2"/>
    </row>
    <row r="43" spans="7:7" x14ac:dyDescent="0.25">
      <c r="G43" s="2"/>
    </row>
    <row r="44" spans="7:7" x14ac:dyDescent="0.25">
      <c r="G44" s="2"/>
    </row>
    <row r="45" spans="7:7" x14ac:dyDescent="0.25">
      <c r="G45" s="2"/>
    </row>
    <row r="46" spans="7:7" x14ac:dyDescent="0.25">
      <c r="G46" s="2"/>
    </row>
    <row r="47" spans="7:7" x14ac:dyDescent="0.25">
      <c r="G47" s="2"/>
    </row>
    <row r="48" spans="7:7" x14ac:dyDescent="0.25">
      <c r="G48" s="2"/>
    </row>
    <row r="49" spans="7:7" x14ac:dyDescent="0.25">
      <c r="G49" s="2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92D050"/>
  </sheetPr>
  <dimension ref="B2:G46"/>
  <sheetViews>
    <sheetView topLeftCell="A33" workbookViewId="0">
      <selection activeCell="C39" sqref="C39"/>
    </sheetView>
  </sheetViews>
  <sheetFormatPr defaultRowHeight="15" x14ac:dyDescent="0.25"/>
  <cols>
    <col min="2" max="2" width="18" bestFit="1" customWidth="1"/>
    <col min="3" max="3" width="72" bestFit="1" customWidth="1"/>
    <col min="4" max="4" width="42.140625" bestFit="1" customWidth="1"/>
    <col min="5" max="5" width="11.85546875" bestFit="1" customWidth="1"/>
    <col min="6" max="6" width="8.42578125" bestFit="1" customWidth="1"/>
    <col min="7" max="7" width="11" bestFit="1" customWidth="1"/>
  </cols>
  <sheetData>
    <row r="2" spans="2:7" x14ac:dyDescent="0.25">
      <c r="C2" t="s">
        <v>2056</v>
      </c>
    </row>
    <row r="4" spans="2:7" ht="15.75" x14ac:dyDescent="0.25">
      <c r="B4" s="10" t="s">
        <v>0</v>
      </c>
      <c r="C4" s="11" t="s">
        <v>1</v>
      </c>
      <c r="D4" s="11" t="s">
        <v>2</v>
      </c>
      <c r="E4" s="11" t="s">
        <v>934</v>
      </c>
      <c r="F4" s="11" t="s">
        <v>1095</v>
      </c>
      <c r="G4" s="11" t="s">
        <v>1507</v>
      </c>
    </row>
    <row r="5" spans="2:7" x14ac:dyDescent="0.25">
      <c r="B5" s="3">
        <v>45561</v>
      </c>
      <c r="C5" s="2" t="s">
        <v>2004</v>
      </c>
      <c r="D5" s="2"/>
      <c r="E5" s="23">
        <v>0</v>
      </c>
      <c r="F5" s="2"/>
      <c r="G5" s="2"/>
    </row>
    <row r="6" spans="2:7" x14ac:dyDescent="0.25">
      <c r="B6" s="3">
        <v>45562</v>
      </c>
      <c r="C6" s="2" t="s">
        <v>1528</v>
      </c>
      <c r="D6" s="2"/>
      <c r="E6" s="23">
        <v>0</v>
      </c>
      <c r="F6" s="2">
        <f t="shared" ref="F6:F11" si="0">E6-E5</f>
        <v>0</v>
      </c>
      <c r="G6" s="2"/>
    </row>
    <row r="7" spans="2:7" x14ac:dyDescent="0.25">
      <c r="B7" s="3">
        <v>45563</v>
      </c>
      <c r="C7" s="2"/>
      <c r="D7" s="2"/>
      <c r="E7" s="23">
        <v>0</v>
      </c>
      <c r="F7" s="2">
        <v>0</v>
      </c>
      <c r="G7" s="2"/>
    </row>
    <row r="8" spans="2:7" x14ac:dyDescent="0.25">
      <c r="B8" s="3">
        <v>45564</v>
      </c>
      <c r="C8" s="2"/>
      <c r="D8" s="2"/>
      <c r="E8" s="23">
        <v>0</v>
      </c>
      <c r="F8" s="2">
        <f t="shared" si="0"/>
        <v>0</v>
      </c>
      <c r="G8" s="2"/>
    </row>
    <row r="9" spans="2:7" x14ac:dyDescent="0.25">
      <c r="B9" s="3">
        <v>45565</v>
      </c>
      <c r="C9" s="2"/>
      <c r="D9" s="2"/>
      <c r="E9" s="23">
        <v>0</v>
      </c>
      <c r="F9" s="2">
        <f t="shared" si="0"/>
        <v>0</v>
      </c>
      <c r="G9" s="2"/>
    </row>
    <row r="10" spans="2:7" x14ac:dyDescent="0.25">
      <c r="B10" s="3">
        <v>45566</v>
      </c>
      <c r="C10" s="2"/>
      <c r="D10" s="2"/>
      <c r="E10" s="23">
        <v>0</v>
      </c>
      <c r="F10" s="2">
        <f t="shared" si="0"/>
        <v>0</v>
      </c>
      <c r="G10" s="2"/>
    </row>
    <row r="11" spans="2:7" x14ac:dyDescent="0.25">
      <c r="B11" s="3">
        <v>45567</v>
      </c>
      <c r="C11" s="2"/>
      <c r="D11" s="2"/>
      <c r="E11" s="23">
        <v>0</v>
      </c>
      <c r="F11" s="2">
        <f t="shared" si="0"/>
        <v>0</v>
      </c>
      <c r="G11" s="2"/>
    </row>
    <row r="12" spans="2:7" x14ac:dyDescent="0.25">
      <c r="B12" s="3">
        <v>45568</v>
      </c>
      <c r="C12" s="2" t="s">
        <v>2096</v>
      </c>
      <c r="D12" s="2"/>
      <c r="E12" s="23">
        <v>2</v>
      </c>
      <c r="F12" s="2"/>
      <c r="G12" s="2"/>
    </row>
    <row r="13" spans="2:7" x14ac:dyDescent="0.25">
      <c r="B13" s="3">
        <v>45569</v>
      </c>
      <c r="C13" s="2"/>
      <c r="D13" s="2"/>
      <c r="E13" s="23"/>
      <c r="F13" s="2"/>
      <c r="G13" s="2"/>
    </row>
    <row r="14" spans="2:7" x14ac:dyDescent="0.25">
      <c r="B14" s="3">
        <v>45570</v>
      </c>
      <c r="C14" s="2"/>
      <c r="D14" s="2"/>
      <c r="E14" s="23"/>
      <c r="F14" s="2"/>
      <c r="G14" s="2"/>
    </row>
    <row r="15" spans="2:7" x14ac:dyDescent="0.25">
      <c r="B15" s="3">
        <v>45571</v>
      </c>
      <c r="C15" s="2"/>
      <c r="D15" s="2"/>
      <c r="E15" s="23"/>
      <c r="F15" s="2"/>
      <c r="G15" s="2"/>
    </row>
    <row r="16" spans="2:7" x14ac:dyDescent="0.25">
      <c r="B16" s="3">
        <v>45572</v>
      </c>
      <c r="C16" s="2"/>
      <c r="D16" s="2"/>
      <c r="E16" s="23"/>
      <c r="F16" s="2"/>
      <c r="G16" s="2"/>
    </row>
    <row r="17" spans="2:7" x14ac:dyDescent="0.25">
      <c r="B17" s="3">
        <v>45573</v>
      </c>
      <c r="C17" s="2"/>
      <c r="D17" s="2"/>
      <c r="E17" s="23"/>
      <c r="F17" s="2"/>
      <c r="G17" s="2"/>
    </row>
    <row r="18" spans="2:7" x14ac:dyDescent="0.25">
      <c r="B18" s="3">
        <v>45574</v>
      </c>
      <c r="C18" s="2" t="s">
        <v>2159</v>
      </c>
      <c r="D18" s="2"/>
      <c r="E18" s="23"/>
      <c r="F18" s="2"/>
      <c r="G18" s="2"/>
    </row>
    <row r="19" spans="2:7" x14ac:dyDescent="0.25">
      <c r="B19" s="3">
        <v>45575</v>
      </c>
      <c r="C19" s="2"/>
      <c r="D19" s="2"/>
      <c r="E19" s="23"/>
      <c r="F19" s="2"/>
      <c r="G19" s="2"/>
    </row>
    <row r="20" spans="2:7" x14ac:dyDescent="0.25">
      <c r="B20" s="3">
        <v>45576</v>
      </c>
      <c r="C20" s="2"/>
      <c r="D20" s="2"/>
      <c r="E20" s="23"/>
      <c r="F20" s="2"/>
      <c r="G20" s="2"/>
    </row>
    <row r="21" spans="2:7" x14ac:dyDescent="0.25">
      <c r="B21" s="3">
        <v>45577</v>
      </c>
      <c r="C21" s="2"/>
      <c r="D21" s="2"/>
      <c r="E21" s="23"/>
      <c r="F21" s="2"/>
      <c r="G21" s="2"/>
    </row>
    <row r="22" spans="2:7" x14ac:dyDescent="0.25">
      <c r="B22" s="3">
        <v>45578</v>
      </c>
      <c r="C22" s="2"/>
      <c r="D22" s="2"/>
      <c r="E22" s="23"/>
      <c r="F22" s="2"/>
      <c r="G22" s="2"/>
    </row>
    <row r="23" spans="2:7" x14ac:dyDescent="0.25">
      <c r="B23" s="3">
        <v>45579</v>
      </c>
      <c r="C23" s="2"/>
      <c r="D23" s="2"/>
      <c r="E23" s="2"/>
      <c r="F23" s="2"/>
      <c r="G23" s="2"/>
    </row>
    <row r="24" spans="2:7" x14ac:dyDescent="0.25">
      <c r="B24" s="3">
        <v>45580</v>
      </c>
      <c r="C24" s="2" t="s">
        <v>2213</v>
      </c>
      <c r="D24" s="2"/>
      <c r="E24" s="2"/>
      <c r="F24" s="2"/>
      <c r="G24" s="2"/>
    </row>
    <row r="25" spans="2:7" x14ac:dyDescent="0.25">
      <c r="B25" s="3">
        <v>45581</v>
      </c>
      <c r="C25" s="2" t="s">
        <v>2214</v>
      </c>
      <c r="D25" s="2"/>
      <c r="E25" s="2"/>
      <c r="F25" s="2"/>
      <c r="G25" s="2"/>
    </row>
    <row r="26" spans="2:7" x14ac:dyDescent="0.25">
      <c r="B26" s="3">
        <v>45582</v>
      </c>
      <c r="C26" s="2" t="s">
        <v>2226</v>
      </c>
      <c r="D26" s="2"/>
      <c r="E26" s="2"/>
      <c r="F26" s="2"/>
      <c r="G26" s="2"/>
    </row>
    <row r="27" spans="2:7" x14ac:dyDescent="0.25">
      <c r="B27" s="3">
        <v>45583</v>
      </c>
      <c r="C27" s="2" t="s">
        <v>2227</v>
      </c>
      <c r="D27" s="2"/>
      <c r="E27" s="2"/>
      <c r="F27" s="2"/>
      <c r="G27" s="2"/>
    </row>
    <row r="28" spans="2:7" x14ac:dyDescent="0.25">
      <c r="B28" s="3">
        <v>45584</v>
      </c>
      <c r="C28" s="2"/>
      <c r="D28" s="2"/>
      <c r="E28" s="2"/>
      <c r="F28" s="2"/>
      <c r="G28" s="2"/>
    </row>
    <row r="29" spans="2:7" x14ac:dyDescent="0.25">
      <c r="B29" s="3">
        <v>45585</v>
      </c>
      <c r="C29" s="2"/>
      <c r="D29" s="2"/>
      <c r="E29" s="2"/>
      <c r="F29" s="2"/>
      <c r="G29" s="2"/>
    </row>
    <row r="30" spans="2:7" x14ac:dyDescent="0.25">
      <c r="B30" s="3">
        <v>45586</v>
      </c>
      <c r="C30" s="2"/>
      <c r="D30" s="2"/>
      <c r="E30" s="2"/>
      <c r="F30" s="2"/>
      <c r="G30" s="2"/>
    </row>
    <row r="31" spans="2:7" x14ac:dyDescent="0.25">
      <c r="B31" s="3">
        <v>45587</v>
      </c>
      <c r="C31" s="2" t="s">
        <v>2278</v>
      </c>
      <c r="D31" s="2" t="s">
        <v>2277</v>
      </c>
      <c r="E31" s="2"/>
      <c r="F31" s="2"/>
      <c r="G31" s="2"/>
    </row>
    <row r="32" spans="2:7" x14ac:dyDescent="0.25">
      <c r="B32" s="3">
        <v>45588</v>
      </c>
      <c r="C32" s="2" t="s">
        <v>2281</v>
      </c>
      <c r="D32" s="2" t="s">
        <v>2279</v>
      </c>
      <c r="E32" s="2"/>
      <c r="F32" s="2"/>
      <c r="G32" s="2"/>
    </row>
    <row r="33" spans="2:7" x14ac:dyDescent="0.25">
      <c r="B33" s="3">
        <v>45589</v>
      </c>
      <c r="C33" s="2"/>
      <c r="D33" s="2" t="s">
        <v>2287</v>
      </c>
      <c r="E33" s="2"/>
      <c r="F33" s="2"/>
      <c r="G33" s="2"/>
    </row>
    <row r="34" spans="2:7" x14ac:dyDescent="0.25">
      <c r="B34" s="3">
        <v>45590</v>
      </c>
      <c r="C34" s="2"/>
      <c r="D34" s="2"/>
      <c r="E34" s="2"/>
      <c r="F34" s="2"/>
      <c r="G34" s="2"/>
    </row>
    <row r="35" spans="2:7" x14ac:dyDescent="0.25">
      <c r="B35" s="3">
        <v>45591</v>
      </c>
      <c r="C35" s="2" t="s">
        <v>2327</v>
      </c>
      <c r="D35" s="2"/>
      <c r="E35" s="2"/>
      <c r="F35" s="2"/>
      <c r="G35" s="2"/>
    </row>
    <row r="36" spans="2:7" x14ac:dyDescent="0.25">
      <c r="B36" s="3">
        <v>45592</v>
      </c>
      <c r="C36" s="2"/>
      <c r="D36" s="2"/>
      <c r="E36" s="2"/>
      <c r="F36" s="2"/>
      <c r="G36" s="2"/>
    </row>
    <row r="37" spans="2:7" x14ac:dyDescent="0.25">
      <c r="B37" s="3">
        <v>45593</v>
      </c>
      <c r="C37" s="2"/>
      <c r="D37" s="2"/>
      <c r="E37" s="2"/>
      <c r="F37" s="2"/>
      <c r="G37" s="2"/>
    </row>
    <row r="38" spans="2:7" x14ac:dyDescent="0.25">
      <c r="B38" s="3">
        <v>45594</v>
      </c>
      <c r="C38" s="2" t="s">
        <v>1528</v>
      </c>
      <c r="D38" s="2"/>
      <c r="E38" s="2"/>
      <c r="F38" s="2"/>
      <c r="G38" s="2"/>
    </row>
    <row r="39" spans="2:7" x14ac:dyDescent="0.25">
      <c r="B39" s="2"/>
      <c r="C39" s="2"/>
      <c r="D39" s="2"/>
      <c r="E39" s="2"/>
      <c r="F39" s="2"/>
      <c r="G39" s="2"/>
    </row>
    <row r="40" spans="2:7" x14ac:dyDescent="0.25">
      <c r="B40" s="2"/>
      <c r="C40" s="2"/>
      <c r="D40" s="2"/>
      <c r="E40" s="2"/>
      <c r="F40" s="2"/>
      <c r="G40" s="2"/>
    </row>
    <row r="41" spans="2:7" x14ac:dyDescent="0.25">
      <c r="B41" s="2"/>
      <c r="C41" s="2"/>
      <c r="D41" s="2"/>
      <c r="E41" s="2"/>
      <c r="F41" s="2"/>
      <c r="G41" s="2"/>
    </row>
    <row r="42" spans="2:7" x14ac:dyDescent="0.25">
      <c r="B42" s="2"/>
      <c r="C42" s="2"/>
      <c r="D42" s="2"/>
      <c r="E42" s="2"/>
      <c r="F42" s="2"/>
      <c r="G42" s="2"/>
    </row>
    <row r="43" spans="2:7" x14ac:dyDescent="0.25">
      <c r="B43" s="2"/>
      <c r="C43" s="2"/>
      <c r="D43" s="2"/>
      <c r="E43" s="2"/>
      <c r="F43" s="2"/>
      <c r="G43" s="2"/>
    </row>
    <row r="44" spans="2:7" x14ac:dyDescent="0.25">
      <c r="B44" s="2"/>
      <c r="C44" s="2"/>
      <c r="D44" s="2"/>
      <c r="E44" s="2"/>
      <c r="F44" s="2"/>
      <c r="G44" s="2"/>
    </row>
    <row r="45" spans="2:7" x14ac:dyDescent="0.25">
      <c r="B45" s="2"/>
      <c r="C45" s="2"/>
      <c r="D45" s="2"/>
      <c r="E45" s="2"/>
      <c r="F45" s="2"/>
      <c r="G45" s="2"/>
    </row>
    <row r="46" spans="2:7" x14ac:dyDescent="0.25">
      <c r="B46" s="2"/>
      <c r="C46" s="2"/>
      <c r="D46" s="2"/>
      <c r="E46" s="2"/>
      <c r="F46" s="2"/>
      <c r="G46" s="2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00B050"/>
  </sheetPr>
  <dimension ref="B2:G31"/>
  <sheetViews>
    <sheetView topLeftCell="A7" workbookViewId="0">
      <selection activeCell="C13" sqref="C13"/>
    </sheetView>
  </sheetViews>
  <sheetFormatPr defaultRowHeight="15" x14ac:dyDescent="0.25"/>
  <cols>
    <col min="2" max="2" width="18" bestFit="1" customWidth="1"/>
    <col min="3" max="3" width="72" bestFit="1" customWidth="1"/>
    <col min="4" max="4" width="42.140625" bestFit="1" customWidth="1"/>
    <col min="5" max="5" width="11.85546875" bestFit="1" customWidth="1"/>
    <col min="6" max="6" width="8.42578125" bestFit="1" customWidth="1"/>
    <col min="7" max="7" width="11" bestFit="1" customWidth="1"/>
  </cols>
  <sheetData>
    <row r="2" spans="2:7" x14ac:dyDescent="0.25">
      <c r="C2" t="s">
        <v>954</v>
      </c>
    </row>
    <row r="4" spans="2:7" ht="15.75" x14ac:dyDescent="0.25">
      <c r="B4" s="10" t="s">
        <v>0</v>
      </c>
      <c r="C4" s="11" t="s">
        <v>1</v>
      </c>
      <c r="D4" s="11" t="s">
        <v>2</v>
      </c>
      <c r="E4" s="11" t="s">
        <v>934</v>
      </c>
      <c r="F4" s="11" t="s">
        <v>1095</v>
      </c>
      <c r="G4" s="11" t="s">
        <v>1507</v>
      </c>
    </row>
    <row r="5" spans="2:7" x14ac:dyDescent="0.25">
      <c r="B5" s="3">
        <v>45575</v>
      </c>
      <c r="C5" s="2" t="s">
        <v>1796</v>
      </c>
      <c r="D5" s="2"/>
      <c r="E5" s="23">
        <v>0</v>
      </c>
      <c r="F5" s="2"/>
      <c r="G5" s="2"/>
    </row>
    <row r="6" spans="2:7" x14ac:dyDescent="0.25">
      <c r="B6" s="3">
        <v>45580</v>
      </c>
      <c r="C6" s="2" t="s">
        <v>2200</v>
      </c>
      <c r="D6" s="2"/>
      <c r="E6" s="23">
        <v>70</v>
      </c>
      <c r="F6" s="2">
        <f t="shared" ref="F6:F11" si="0">E6-E5</f>
        <v>70</v>
      </c>
      <c r="G6" s="2"/>
    </row>
    <row r="7" spans="2:7" x14ac:dyDescent="0.25">
      <c r="B7" s="3">
        <v>45581</v>
      </c>
      <c r="C7" s="2" t="s">
        <v>2215</v>
      </c>
      <c r="D7" s="2"/>
      <c r="E7" s="23">
        <v>120</v>
      </c>
      <c r="F7" s="2">
        <f t="shared" si="0"/>
        <v>50</v>
      </c>
      <c r="G7" s="2"/>
    </row>
    <row r="8" spans="2:7" x14ac:dyDescent="0.25">
      <c r="B8" s="3">
        <v>45582</v>
      </c>
      <c r="C8" s="2" t="s">
        <v>2242</v>
      </c>
      <c r="D8" s="2"/>
      <c r="E8" s="23">
        <v>135</v>
      </c>
      <c r="F8" s="2">
        <f t="shared" si="0"/>
        <v>15</v>
      </c>
      <c r="G8" s="2"/>
    </row>
    <row r="9" spans="2:7" x14ac:dyDescent="0.25">
      <c r="B9" s="3">
        <v>45583</v>
      </c>
      <c r="C9" s="2" t="s">
        <v>2237</v>
      </c>
      <c r="D9" s="2"/>
      <c r="E9" s="23">
        <v>0</v>
      </c>
      <c r="F9" s="2">
        <f t="shared" si="0"/>
        <v>-135</v>
      </c>
      <c r="G9" s="2"/>
    </row>
    <row r="10" spans="2:7" x14ac:dyDescent="0.25">
      <c r="B10" s="3">
        <v>45584</v>
      </c>
      <c r="C10" s="2"/>
      <c r="D10" s="2"/>
      <c r="E10" s="23">
        <v>0</v>
      </c>
      <c r="F10" s="2">
        <f t="shared" si="0"/>
        <v>0</v>
      </c>
      <c r="G10" s="2"/>
    </row>
    <row r="11" spans="2:7" x14ac:dyDescent="0.25">
      <c r="B11" s="3">
        <v>45585</v>
      </c>
      <c r="C11" s="2"/>
      <c r="D11" s="2"/>
      <c r="E11" s="23">
        <v>0</v>
      </c>
      <c r="F11" s="2">
        <f t="shared" si="0"/>
        <v>0</v>
      </c>
      <c r="G11" s="2"/>
    </row>
    <row r="12" spans="2:7" x14ac:dyDescent="0.25">
      <c r="B12" s="3">
        <v>45586</v>
      </c>
      <c r="C12" s="2" t="s">
        <v>1178</v>
      </c>
      <c r="D12" s="2"/>
      <c r="E12" s="23">
        <v>0</v>
      </c>
      <c r="F12" s="2"/>
      <c r="G12" s="2"/>
    </row>
    <row r="13" spans="2:7" x14ac:dyDescent="0.25">
      <c r="B13" s="3">
        <v>45587</v>
      </c>
      <c r="C13" s="2" t="s">
        <v>1166</v>
      </c>
      <c r="D13" s="2"/>
      <c r="E13" s="23"/>
      <c r="F13" s="2"/>
      <c r="G13" s="2"/>
    </row>
    <row r="14" spans="2:7" x14ac:dyDescent="0.25">
      <c r="B14" s="3"/>
      <c r="C14" s="2"/>
      <c r="D14" s="2"/>
      <c r="E14" s="23"/>
      <c r="F14" s="2"/>
      <c r="G14" s="2"/>
    </row>
    <row r="15" spans="2:7" x14ac:dyDescent="0.25">
      <c r="B15" s="3"/>
      <c r="C15" s="2"/>
      <c r="D15" s="2"/>
      <c r="E15" s="23"/>
      <c r="F15" s="2"/>
      <c r="G15" s="2"/>
    </row>
    <row r="16" spans="2:7" x14ac:dyDescent="0.25">
      <c r="B16" s="3"/>
      <c r="C16" s="2"/>
      <c r="D16" s="2"/>
      <c r="E16" s="23"/>
      <c r="F16" s="2"/>
      <c r="G16" s="2"/>
    </row>
    <row r="17" spans="2:7" x14ac:dyDescent="0.25">
      <c r="B17" s="3"/>
      <c r="C17" s="2"/>
      <c r="D17" s="2"/>
      <c r="E17" s="23"/>
      <c r="F17" s="2"/>
      <c r="G17" s="2"/>
    </row>
    <row r="18" spans="2:7" x14ac:dyDescent="0.25">
      <c r="B18" s="3"/>
      <c r="C18" s="2"/>
      <c r="D18" s="2"/>
      <c r="E18" s="23"/>
      <c r="F18" s="2"/>
      <c r="G18" s="2"/>
    </row>
    <row r="19" spans="2:7" x14ac:dyDescent="0.25">
      <c r="B19" s="2"/>
      <c r="C19" s="2"/>
      <c r="D19" s="2"/>
      <c r="E19" s="23"/>
      <c r="F19" s="2"/>
      <c r="G19" s="2"/>
    </row>
    <row r="20" spans="2:7" x14ac:dyDescent="0.25">
      <c r="B20" s="2"/>
      <c r="C20" s="2"/>
      <c r="D20" s="2"/>
      <c r="E20" s="23"/>
      <c r="F20" s="2"/>
      <c r="G20" s="2"/>
    </row>
    <row r="21" spans="2:7" x14ac:dyDescent="0.25">
      <c r="B21" s="2"/>
      <c r="C21" s="2"/>
      <c r="D21" s="2"/>
      <c r="E21" s="23"/>
      <c r="F21" s="2"/>
      <c r="G21" s="2"/>
    </row>
    <row r="22" spans="2:7" x14ac:dyDescent="0.25">
      <c r="B22" s="2"/>
      <c r="C22" s="2"/>
      <c r="D22" s="2"/>
      <c r="E22" s="23"/>
      <c r="F22" s="2"/>
      <c r="G22" s="2"/>
    </row>
    <row r="23" spans="2:7" x14ac:dyDescent="0.25">
      <c r="B23" s="2"/>
      <c r="C23" s="2"/>
      <c r="D23" s="2"/>
      <c r="E23" s="2"/>
      <c r="F23" s="2"/>
      <c r="G23" s="2"/>
    </row>
    <row r="24" spans="2:7" x14ac:dyDescent="0.25">
      <c r="B24" s="2"/>
      <c r="C24" s="2"/>
      <c r="D24" s="2"/>
      <c r="E24" s="2"/>
      <c r="F24" s="2"/>
      <c r="G24" s="2"/>
    </row>
    <row r="25" spans="2:7" x14ac:dyDescent="0.25">
      <c r="B25" s="2"/>
      <c r="C25" s="2"/>
      <c r="D25" s="2"/>
      <c r="E25" s="2"/>
      <c r="F25" s="2"/>
      <c r="G25" s="2"/>
    </row>
    <row r="26" spans="2:7" x14ac:dyDescent="0.25">
      <c r="B26" s="2"/>
      <c r="C26" s="2"/>
      <c r="D26" s="2"/>
      <c r="E26" s="2"/>
      <c r="F26" s="2"/>
      <c r="G26" s="2"/>
    </row>
    <row r="27" spans="2:7" x14ac:dyDescent="0.25">
      <c r="B27" s="2"/>
      <c r="C27" s="2"/>
      <c r="D27" s="2"/>
      <c r="E27" s="2"/>
      <c r="F27" s="2"/>
      <c r="G27" s="2"/>
    </row>
    <row r="28" spans="2:7" x14ac:dyDescent="0.25">
      <c r="B28" s="2"/>
      <c r="C28" s="2"/>
      <c r="D28" s="2"/>
      <c r="E28" s="2"/>
      <c r="F28" s="2"/>
      <c r="G28" s="2"/>
    </row>
    <row r="29" spans="2:7" x14ac:dyDescent="0.25">
      <c r="B29" s="2"/>
      <c r="C29" s="2"/>
      <c r="D29" s="2"/>
      <c r="E29" s="2"/>
      <c r="F29" s="2"/>
      <c r="G29" s="2"/>
    </row>
    <row r="30" spans="2:7" x14ac:dyDescent="0.25">
      <c r="B30" s="2"/>
      <c r="C30" s="2"/>
      <c r="D30" s="2"/>
      <c r="E30" s="2"/>
      <c r="F30" s="2"/>
      <c r="G30" s="2"/>
    </row>
    <row r="31" spans="2:7" x14ac:dyDescent="0.25">
      <c r="B31" s="2"/>
      <c r="C31" s="2"/>
      <c r="D31" s="2"/>
      <c r="E31" s="2"/>
      <c r="F31" s="2"/>
      <c r="G31" s="2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92D050"/>
  </sheetPr>
  <dimension ref="B2:G31"/>
  <sheetViews>
    <sheetView topLeftCell="A16" workbookViewId="0">
      <selection activeCell="C23" sqref="C23"/>
    </sheetView>
  </sheetViews>
  <sheetFormatPr defaultRowHeight="15" x14ac:dyDescent="0.25"/>
  <cols>
    <col min="2" max="2" width="18" bestFit="1" customWidth="1"/>
    <col min="3" max="3" width="72" bestFit="1" customWidth="1"/>
    <col min="4" max="4" width="42.140625" bestFit="1" customWidth="1"/>
    <col min="5" max="5" width="11.85546875" bestFit="1" customWidth="1"/>
    <col min="6" max="6" width="8.42578125" bestFit="1" customWidth="1"/>
    <col min="7" max="7" width="11" bestFit="1" customWidth="1"/>
  </cols>
  <sheetData>
    <row r="2" spans="2:7" x14ac:dyDescent="0.25">
      <c r="C2" t="s">
        <v>2265</v>
      </c>
    </row>
    <row r="4" spans="2:7" ht="15.75" x14ac:dyDescent="0.25">
      <c r="B4" s="10" t="s">
        <v>0</v>
      </c>
      <c r="C4" s="11" t="s">
        <v>1</v>
      </c>
      <c r="D4" s="11" t="s">
        <v>2</v>
      </c>
      <c r="E4" s="11" t="s">
        <v>934</v>
      </c>
      <c r="F4" s="11" t="s">
        <v>1095</v>
      </c>
      <c r="G4" s="11" t="s">
        <v>1507</v>
      </c>
    </row>
    <row r="5" spans="2:7" x14ac:dyDescent="0.25">
      <c r="B5" s="3">
        <v>45588</v>
      </c>
      <c r="C5" s="2" t="s">
        <v>1796</v>
      </c>
      <c r="D5" s="2"/>
      <c r="E5" s="23">
        <v>0</v>
      </c>
      <c r="F5" s="2"/>
      <c r="G5" s="2"/>
    </row>
    <row r="6" spans="2:7" x14ac:dyDescent="0.25">
      <c r="B6" s="3">
        <v>45589</v>
      </c>
      <c r="C6" s="2" t="s">
        <v>2288</v>
      </c>
      <c r="D6" s="2"/>
      <c r="E6" s="23">
        <v>0</v>
      </c>
      <c r="F6" s="2">
        <f t="shared" ref="F6:F21" si="0">E6-E5</f>
        <v>0</v>
      </c>
      <c r="G6" s="2"/>
    </row>
    <row r="7" spans="2:7" x14ac:dyDescent="0.25">
      <c r="B7" s="3">
        <v>45590</v>
      </c>
      <c r="C7" s="2" t="s">
        <v>2310</v>
      </c>
      <c r="D7" s="2"/>
      <c r="E7" s="23">
        <v>0</v>
      </c>
      <c r="F7" s="2">
        <f t="shared" si="0"/>
        <v>0</v>
      </c>
      <c r="G7" s="2"/>
    </row>
    <row r="8" spans="2:7" x14ac:dyDescent="0.25">
      <c r="B8" s="3">
        <v>45591</v>
      </c>
      <c r="C8" s="2" t="s">
        <v>2331</v>
      </c>
      <c r="D8" s="2"/>
      <c r="E8" s="23">
        <v>0</v>
      </c>
      <c r="F8" s="2">
        <f t="shared" si="0"/>
        <v>0</v>
      </c>
      <c r="G8" s="2"/>
    </row>
    <row r="9" spans="2:7" x14ac:dyDescent="0.25">
      <c r="B9" s="3">
        <v>45592</v>
      </c>
      <c r="C9" s="2" t="s">
        <v>2332</v>
      </c>
      <c r="D9" s="2"/>
      <c r="E9" s="23">
        <v>43</v>
      </c>
      <c r="F9" s="2">
        <f t="shared" si="0"/>
        <v>43</v>
      </c>
      <c r="G9" s="2"/>
    </row>
    <row r="10" spans="2:7" x14ac:dyDescent="0.25">
      <c r="B10" s="3">
        <v>45593</v>
      </c>
      <c r="C10" s="2"/>
      <c r="D10" s="2"/>
      <c r="E10" s="23">
        <v>0</v>
      </c>
      <c r="F10" s="2">
        <f t="shared" si="0"/>
        <v>-43</v>
      </c>
      <c r="G10" s="2"/>
    </row>
    <row r="11" spans="2:7" x14ac:dyDescent="0.25">
      <c r="B11" s="3">
        <v>45594</v>
      </c>
      <c r="C11" s="2" t="s">
        <v>2347</v>
      </c>
      <c r="D11" s="2"/>
      <c r="E11" s="23">
        <v>70</v>
      </c>
      <c r="F11" s="2">
        <f t="shared" si="0"/>
        <v>70</v>
      </c>
      <c r="G11" s="2"/>
    </row>
    <row r="12" spans="2:7" x14ac:dyDescent="0.25">
      <c r="B12" s="3">
        <v>45595</v>
      </c>
      <c r="C12" s="2" t="s">
        <v>2369</v>
      </c>
      <c r="D12" s="2"/>
      <c r="E12" s="23">
        <v>73</v>
      </c>
      <c r="F12" s="2">
        <f t="shared" si="0"/>
        <v>3</v>
      </c>
      <c r="G12" s="2"/>
    </row>
    <row r="13" spans="2:7" x14ac:dyDescent="0.25">
      <c r="B13" s="3">
        <v>45596</v>
      </c>
      <c r="C13" s="2" t="s">
        <v>2370</v>
      </c>
      <c r="D13" s="2"/>
      <c r="E13" s="23">
        <v>90</v>
      </c>
      <c r="F13" s="2">
        <f t="shared" si="0"/>
        <v>17</v>
      </c>
      <c r="G13" s="2"/>
    </row>
    <row r="14" spans="2:7" x14ac:dyDescent="0.25">
      <c r="B14" s="3">
        <v>45597</v>
      </c>
      <c r="C14" s="2" t="s">
        <v>2377</v>
      </c>
      <c r="D14" s="2"/>
      <c r="E14" s="23">
        <v>95</v>
      </c>
      <c r="F14" s="2">
        <f t="shared" si="0"/>
        <v>5</v>
      </c>
      <c r="G14" s="2"/>
    </row>
    <row r="15" spans="2:7" x14ac:dyDescent="0.25">
      <c r="B15" s="3">
        <v>45598</v>
      </c>
      <c r="C15" s="2"/>
      <c r="D15" s="2"/>
      <c r="E15" s="23">
        <v>95</v>
      </c>
      <c r="F15" s="2">
        <f t="shared" si="0"/>
        <v>0</v>
      </c>
      <c r="G15" s="2"/>
    </row>
    <row r="16" spans="2:7" x14ac:dyDescent="0.25">
      <c r="B16" s="3">
        <v>45599</v>
      </c>
      <c r="C16" s="2" t="s">
        <v>2393</v>
      </c>
      <c r="D16" s="2"/>
      <c r="E16" s="23">
        <v>100</v>
      </c>
      <c r="F16" s="2">
        <f t="shared" si="0"/>
        <v>5</v>
      </c>
      <c r="G16" s="2"/>
    </row>
    <row r="17" spans="2:7" x14ac:dyDescent="0.25">
      <c r="B17" s="3">
        <v>45600</v>
      </c>
      <c r="C17" s="2"/>
      <c r="D17" s="2"/>
      <c r="E17" s="23">
        <v>100</v>
      </c>
      <c r="F17" s="2">
        <f t="shared" si="0"/>
        <v>0</v>
      </c>
      <c r="G17" s="2"/>
    </row>
    <row r="18" spans="2:7" x14ac:dyDescent="0.25">
      <c r="B18" s="3">
        <v>45601</v>
      </c>
      <c r="C18" s="2"/>
      <c r="D18" s="2"/>
      <c r="E18" s="23">
        <v>100</v>
      </c>
      <c r="F18" s="2">
        <f t="shared" si="0"/>
        <v>0</v>
      </c>
      <c r="G18" s="2"/>
    </row>
    <row r="19" spans="2:7" x14ac:dyDescent="0.25">
      <c r="B19" s="3">
        <v>45602</v>
      </c>
      <c r="C19" s="2" t="s">
        <v>2416</v>
      </c>
      <c r="D19" s="2"/>
      <c r="E19" s="23">
        <v>131</v>
      </c>
      <c r="F19" s="2">
        <f t="shared" si="0"/>
        <v>31</v>
      </c>
      <c r="G19" s="2"/>
    </row>
    <row r="20" spans="2:7" x14ac:dyDescent="0.25">
      <c r="B20" s="3">
        <v>45603</v>
      </c>
      <c r="C20" s="2" t="s">
        <v>2426</v>
      </c>
      <c r="D20" s="2"/>
      <c r="E20" s="23">
        <v>135</v>
      </c>
      <c r="F20" s="2">
        <f t="shared" si="0"/>
        <v>4</v>
      </c>
      <c r="G20" s="2"/>
    </row>
    <row r="21" spans="2:7" x14ac:dyDescent="0.25">
      <c r="B21" s="3">
        <v>45604</v>
      </c>
      <c r="C21" s="2" t="s">
        <v>1178</v>
      </c>
      <c r="D21" s="2"/>
      <c r="E21" s="23">
        <v>140</v>
      </c>
      <c r="F21" s="2">
        <f t="shared" si="0"/>
        <v>5</v>
      </c>
      <c r="G21" s="2"/>
    </row>
    <row r="22" spans="2:7" x14ac:dyDescent="0.25">
      <c r="B22" s="3">
        <v>45605</v>
      </c>
      <c r="C22" s="2" t="s">
        <v>2453</v>
      </c>
      <c r="D22" s="2"/>
      <c r="E22" s="23"/>
      <c r="F22" s="2"/>
      <c r="G22" s="2"/>
    </row>
    <row r="23" spans="2:7" x14ac:dyDescent="0.25">
      <c r="B23" s="3">
        <v>45606</v>
      </c>
      <c r="C23" s="2"/>
      <c r="D23" s="2"/>
      <c r="E23" s="2"/>
      <c r="F23" s="2"/>
      <c r="G23" s="2"/>
    </row>
    <row r="24" spans="2:7" x14ac:dyDescent="0.25">
      <c r="B24" s="2"/>
      <c r="C24" s="2"/>
      <c r="D24" s="2"/>
      <c r="E24" s="2"/>
      <c r="F24" s="2"/>
      <c r="G24" s="2"/>
    </row>
    <row r="25" spans="2:7" x14ac:dyDescent="0.25">
      <c r="B25" s="2"/>
      <c r="C25" s="2"/>
      <c r="D25" s="2"/>
      <c r="E25" s="2"/>
      <c r="F25" s="2"/>
      <c r="G25" s="2"/>
    </row>
    <row r="26" spans="2:7" x14ac:dyDescent="0.25">
      <c r="B26" s="2"/>
      <c r="C26" s="2"/>
      <c r="D26" s="2"/>
      <c r="E26" s="2"/>
      <c r="F26" s="2"/>
      <c r="G26" s="2"/>
    </row>
    <row r="27" spans="2:7" x14ac:dyDescent="0.25">
      <c r="B27" s="2"/>
      <c r="C27" s="2"/>
      <c r="D27" s="2"/>
      <c r="E27" s="2"/>
      <c r="F27" s="2"/>
      <c r="G27" s="2"/>
    </row>
    <row r="28" spans="2:7" x14ac:dyDescent="0.25">
      <c r="B28" s="2"/>
      <c r="C28" s="2"/>
      <c r="D28" s="2"/>
      <c r="E28" s="2"/>
      <c r="F28" s="2"/>
      <c r="G28" s="2"/>
    </row>
    <row r="29" spans="2:7" x14ac:dyDescent="0.25">
      <c r="B29" s="2"/>
      <c r="C29" s="2"/>
      <c r="D29" s="2"/>
      <c r="E29" s="2"/>
      <c r="F29" s="2"/>
      <c r="G29" s="2"/>
    </row>
    <row r="30" spans="2:7" x14ac:dyDescent="0.25">
      <c r="B30" s="2"/>
      <c r="C30" s="2"/>
      <c r="D30" s="2"/>
      <c r="E30" s="2"/>
      <c r="F30" s="2"/>
      <c r="G30" s="2"/>
    </row>
    <row r="31" spans="2:7" x14ac:dyDescent="0.25">
      <c r="B31" s="2"/>
      <c r="C31" s="2"/>
      <c r="D31" s="2"/>
      <c r="E31" s="2"/>
      <c r="F31" s="2"/>
      <c r="G31" s="2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92D050"/>
  </sheetPr>
  <dimension ref="B2:G40"/>
  <sheetViews>
    <sheetView topLeftCell="A22" workbookViewId="0">
      <selection activeCell="C30" sqref="C30"/>
    </sheetView>
  </sheetViews>
  <sheetFormatPr defaultRowHeight="15" x14ac:dyDescent="0.25"/>
  <cols>
    <col min="2" max="2" width="18" bestFit="1" customWidth="1"/>
    <col min="3" max="3" width="72" bestFit="1" customWidth="1"/>
    <col min="4" max="4" width="42.140625" bestFit="1" customWidth="1"/>
    <col min="5" max="5" width="11.85546875" bestFit="1" customWidth="1"/>
    <col min="6" max="6" width="8.42578125" bestFit="1" customWidth="1"/>
    <col min="7" max="7" width="11" bestFit="1" customWidth="1"/>
  </cols>
  <sheetData>
    <row r="2" spans="2:7" x14ac:dyDescent="0.25">
      <c r="C2" t="s">
        <v>2291</v>
      </c>
    </row>
    <row r="4" spans="2:7" ht="15.75" x14ac:dyDescent="0.25">
      <c r="B4" s="10" t="s">
        <v>0</v>
      </c>
      <c r="C4" s="11" t="s">
        <v>1</v>
      </c>
      <c r="D4" s="11" t="s">
        <v>2</v>
      </c>
      <c r="E4" s="11" t="s">
        <v>934</v>
      </c>
      <c r="F4" s="11" t="s">
        <v>1095</v>
      </c>
      <c r="G4" s="11" t="s">
        <v>1507</v>
      </c>
    </row>
    <row r="5" spans="2:7" x14ac:dyDescent="0.25">
      <c r="B5" s="3">
        <v>45588</v>
      </c>
      <c r="C5" s="2" t="s">
        <v>1796</v>
      </c>
      <c r="D5" s="2"/>
      <c r="E5" s="23">
        <v>0</v>
      </c>
      <c r="F5" s="2"/>
      <c r="G5" s="2"/>
    </row>
    <row r="6" spans="2:7" x14ac:dyDescent="0.25">
      <c r="B6" s="3">
        <v>45589</v>
      </c>
      <c r="C6" s="2" t="s">
        <v>2292</v>
      </c>
      <c r="D6" s="2"/>
      <c r="E6" s="23">
        <v>13</v>
      </c>
      <c r="F6" s="2">
        <f t="shared" ref="F6:F28" si="0">E6-E5</f>
        <v>13</v>
      </c>
      <c r="G6" s="2"/>
    </row>
    <row r="7" spans="2:7" x14ac:dyDescent="0.25">
      <c r="B7" s="3">
        <v>45590</v>
      </c>
      <c r="C7" s="2" t="s">
        <v>2313</v>
      </c>
      <c r="D7" s="2"/>
      <c r="E7" s="23">
        <v>30</v>
      </c>
      <c r="F7" s="2">
        <f t="shared" si="0"/>
        <v>17</v>
      </c>
      <c r="G7" s="2"/>
    </row>
    <row r="8" spans="2:7" x14ac:dyDescent="0.25">
      <c r="B8" s="3">
        <v>45591</v>
      </c>
      <c r="C8" s="2" t="s">
        <v>2329</v>
      </c>
      <c r="D8" s="2"/>
      <c r="E8" s="23">
        <v>31</v>
      </c>
      <c r="F8" s="2">
        <f t="shared" si="0"/>
        <v>1</v>
      </c>
      <c r="G8" s="2"/>
    </row>
    <row r="9" spans="2:7" x14ac:dyDescent="0.25">
      <c r="B9" s="3">
        <v>45592</v>
      </c>
      <c r="C9" s="2" t="s">
        <v>2330</v>
      </c>
      <c r="D9" s="2"/>
      <c r="E9" s="23">
        <v>45</v>
      </c>
      <c r="F9" s="2">
        <f t="shared" si="0"/>
        <v>14</v>
      </c>
      <c r="G9" s="2"/>
    </row>
    <row r="10" spans="2:7" x14ac:dyDescent="0.25">
      <c r="B10" s="3">
        <v>45593</v>
      </c>
      <c r="C10" s="2" t="s">
        <v>2345</v>
      </c>
      <c r="D10" s="2"/>
      <c r="E10" s="33">
        <v>50</v>
      </c>
      <c r="F10" s="2">
        <f t="shared" si="0"/>
        <v>5</v>
      </c>
      <c r="G10" s="2"/>
    </row>
    <row r="11" spans="2:7" x14ac:dyDescent="0.25">
      <c r="B11" s="3">
        <v>45594</v>
      </c>
      <c r="C11" s="2" t="s">
        <v>2346</v>
      </c>
      <c r="D11" s="2"/>
      <c r="E11" s="23">
        <v>12</v>
      </c>
      <c r="F11" s="2">
        <f t="shared" si="0"/>
        <v>-38</v>
      </c>
      <c r="G11" s="2"/>
    </row>
    <row r="12" spans="2:7" x14ac:dyDescent="0.25">
      <c r="B12" s="3">
        <v>45595</v>
      </c>
      <c r="C12" s="2" t="s">
        <v>2366</v>
      </c>
      <c r="D12" s="2"/>
      <c r="E12" s="23">
        <v>20</v>
      </c>
      <c r="F12" s="2">
        <f t="shared" si="0"/>
        <v>8</v>
      </c>
      <c r="G12" s="2"/>
    </row>
    <row r="13" spans="2:7" x14ac:dyDescent="0.25">
      <c r="B13" s="3">
        <v>45596</v>
      </c>
      <c r="C13" s="2" t="s">
        <v>2365</v>
      </c>
      <c r="D13" s="2"/>
      <c r="E13" s="23">
        <v>30</v>
      </c>
      <c r="F13" s="2">
        <f t="shared" si="0"/>
        <v>10</v>
      </c>
      <c r="G13" s="2"/>
    </row>
    <row r="14" spans="2:7" x14ac:dyDescent="0.25">
      <c r="B14" s="3">
        <v>45597</v>
      </c>
      <c r="C14" s="2" t="s">
        <v>2375</v>
      </c>
      <c r="D14" s="2"/>
      <c r="E14" s="23">
        <v>45</v>
      </c>
      <c r="F14" s="2">
        <f t="shared" si="0"/>
        <v>15</v>
      </c>
      <c r="G14" s="2"/>
    </row>
    <row r="15" spans="2:7" x14ac:dyDescent="0.25">
      <c r="B15" s="3">
        <v>45598</v>
      </c>
      <c r="C15" s="2"/>
      <c r="D15" s="2"/>
      <c r="E15" s="23">
        <v>45</v>
      </c>
      <c r="F15" s="2">
        <f t="shared" si="0"/>
        <v>0</v>
      </c>
      <c r="G15" s="2"/>
    </row>
    <row r="16" spans="2:7" x14ac:dyDescent="0.25">
      <c r="B16" s="3">
        <v>45599</v>
      </c>
      <c r="C16" s="2"/>
      <c r="D16" s="2"/>
      <c r="E16" s="23">
        <v>45</v>
      </c>
      <c r="F16" s="2">
        <f t="shared" si="0"/>
        <v>0</v>
      </c>
      <c r="G16" s="2"/>
    </row>
    <row r="17" spans="2:7" x14ac:dyDescent="0.25">
      <c r="B17" s="3">
        <v>45600</v>
      </c>
      <c r="C17" s="2" t="s">
        <v>2400</v>
      </c>
      <c r="D17" s="2"/>
      <c r="E17" s="23">
        <v>60</v>
      </c>
      <c r="F17" s="2">
        <f t="shared" si="0"/>
        <v>15</v>
      </c>
      <c r="G17" s="2"/>
    </row>
    <row r="18" spans="2:7" x14ac:dyDescent="0.25">
      <c r="B18" s="3">
        <v>45601</v>
      </c>
      <c r="C18" s="2" t="s">
        <v>2413</v>
      </c>
      <c r="D18" s="2"/>
      <c r="E18" s="23">
        <v>30</v>
      </c>
      <c r="F18" s="2">
        <f t="shared" si="0"/>
        <v>-30</v>
      </c>
      <c r="G18" s="2"/>
    </row>
    <row r="19" spans="2:7" x14ac:dyDescent="0.25">
      <c r="B19" s="3">
        <v>45602</v>
      </c>
      <c r="C19" s="2" t="s">
        <v>2414</v>
      </c>
      <c r="D19" s="2"/>
      <c r="E19" s="23">
        <v>40</v>
      </c>
      <c r="F19" s="2">
        <f t="shared" si="0"/>
        <v>10</v>
      </c>
      <c r="G19" s="2"/>
    </row>
    <row r="20" spans="2:7" x14ac:dyDescent="0.25">
      <c r="B20" s="3">
        <v>45603</v>
      </c>
      <c r="C20" s="2" t="s">
        <v>2429</v>
      </c>
      <c r="D20" s="2"/>
      <c r="E20" s="23">
        <v>45</v>
      </c>
      <c r="F20" s="2">
        <f t="shared" si="0"/>
        <v>5</v>
      </c>
      <c r="G20" s="2"/>
    </row>
    <row r="21" spans="2:7" x14ac:dyDescent="0.25">
      <c r="B21" s="3">
        <v>45604</v>
      </c>
      <c r="C21" s="2" t="s">
        <v>2441</v>
      </c>
      <c r="D21" s="2"/>
      <c r="E21" s="23">
        <v>48</v>
      </c>
      <c r="F21" s="2">
        <f t="shared" si="0"/>
        <v>3</v>
      </c>
      <c r="G21" s="2"/>
    </row>
    <row r="22" spans="2:7" x14ac:dyDescent="0.25">
      <c r="B22" s="3">
        <v>45605</v>
      </c>
      <c r="C22" s="2" t="s">
        <v>2460</v>
      </c>
      <c r="D22" s="2"/>
      <c r="E22" s="23">
        <v>55</v>
      </c>
      <c r="F22" s="2">
        <f t="shared" si="0"/>
        <v>7</v>
      </c>
      <c r="G22" s="2"/>
    </row>
    <row r="23" spans="2:7" x14ac:dyDescent="0.25">
      <c r="B23" s="3">
        <v>45606</v>
      </c>
      <c r="C23" s="2" t="s">
        <v>2461</v>
      </c>
      <c r="D23" s="2"/>
      <c r="E23" s="23">
        <v>60</v>
      </c>
      <c r="F23" s="2">
        <f t="shared" si="0"/>
        <v>5</v>
      </c>
      <c r="G23" s="2"/>
    </row>
    <row r="24" spans="2:7" x14ac:dyDescent="0.25">
      <c r="B24" s="3">
        <v>45607</v>
      </c>
      <c r="C24" s="2" t="s">
        <v>2462</v>
      </c>
      <c r="D24" s="2"/>
      <c r="E24" s="23">
        <v>48</v>
      </c>
      <c r="F24" s="2">
        <f t="shared" si="0"/>
        <v>-12</v>
      </c>
      <c r="G24" s="2"/>
    </row>
    <row r="25" spans="2:7" x14ac:dyDescent="0.25">
      <c r="B25" s="3">
        <v>45608</v>
      </c>
      <c r="C25" s="2" t="s">
        <v>2483</v>
      </c>
      <c r="D25" s="2"/>
      <c r="E25" s="23">
        <v>60</v>
      </c>
      <c r="F25" s="2">
        <f t="shared" si="0"/>
        <v>12</v>
      </c>
      <c r="G25" s="2"/>
    </row>
    <row r="26" spans="2:7" x14ac:dyDescent="0.25">
      <c r="B26" s="3">
        <v>45609</v>
      </c>
      <c r="C26" s="2" t="s">
        <v>2462</v>
      </c>
      <c r="D26" s="2"/>
      <c r="E26" s="23">
        <v>60</v>
      </c>
      <c r="F26" s="2">
        <f t="shared" si="0"/>
        <v>0</v>
      </c>
      <c r="G26" s="2"/>
    </row>
    <row r="27" spans="2:7" x14ac:dyDescent="0.25">
      <c r="B27" s="3">
        <v>45610</v>
      </c>
      <c r="C27" s="2" t="s">
        <v>2511</v>
      </c>
      <c r="D27" s="2"/>
      <c r="E27" s="23">
        <v>48</v>
      </c>
      <c r="F27" s="2">
        <f t="shared" si="0"/>
        <v>-12</v>
      </c>
      <c r="G27" s="2"/>
    </row>
    <row r="28" spans="2:7" x14ac:dyDescent="0.25">
      <c r="B28" s="3">
        <v>45611</v>
      </c>
      <c r="C28" s="2" t="s">
        <v>2516</v>
      </c>
      <c r="D28" s="2"/>
      <c r="E28" s="23">
        <v>60</v>
      </c>
      <c r="F28" s="2">
        <f t="shared" si="0"/>
        <v>12</v>
      </c>
      <c r="G28" s="2"/>
    </row>
    <row r="29" spans="2:7" x14ac:dyDescent="0.25">
      <c r="B29" s="3">
        <v>45612</v>
      </c>
      <c r="C29" s="2" t="s">
        <v>539</v>
      </c>
      <c r="D29" s="2"/>
      <c r="E29" s="23"/>
      <c r="F29" s="2"/>
      <c r="G29" s="2"/>
    </row>
    <row r="30" spans="2:7" x14ac:dyDescent="0.25">
      <c r="B30" s="3">
        <v>45613</v>
      </c>
      <c r="C30" s="2"/>
      <c r="D30" s="2"/>
      <c r="E30" s="2"/>
      <c r="F30" s="2"/>
      <c r="G30" s="2"/>
    </row>
    <row r="31" spans="2:7" x14ac:dyDescent="0.25">
      <c r="B31" s="2"/>
      <c r="C31" s="2"/>
      <c r="D31" s="2"/>
      <c r="E31" s="2"/>
      <c r="F31" s="2"/>
      <c r="G31" s="2"/>
    </row>
    <row r="32" spans="2:7" x14ac:dyDescent="0.25">
      <c r="B32" s="2"/>
      <c r="C32" s="2"/>
      <c r="D32" s="2"/>
      <c r="E32" s="2"/>
      <c r="F32" s="2"/>
      <c r="G32" s="2"/>
    </row>
    <row r="33" spans="2:7" x14ac:dyDescent="0.25">
      <c r="B33" s="2"/>
      <c r="C33" s="2"/>
      <c r="D33" s="2"/>
      <c r="E33" s="2"/>
      <c r="F33" s="2"/>
      <c r="G33" s="2"/>
    </row>
    <row r="34" spans="2:7" x14ac:dyDescent="0.25">
      <c r="B34" s="2"/>
      <c r="C34" s="2"/>
      <c r="D34" s="2"/>
      <c r="E34" s="2"/>
      <c r="F34" s="2"/>
      <c r="G34" s="2"/>
    </row>
    <row r="35" spans="2:7" x14ac:dyDescent="0.25">
      <c r="B35" s="2"/>
      <c r="C35" s="2"/>
      <c r="D35" s="2"/>
      <c r="E35" s="2"/>
      <c r="F35" s="2"/>
      <c r="G35" s="2"/>
    </row>
    <row r="36" spans="2:7" x14ac:dyDescent="0.25">
      <c r="B36" s="2"/>
      <c r="C36" s="2"/>
      <c r="D36" s="2"/>
      <c r="E36" s="2"/>
      <c r="F36" s="2"/>
      <c r="G36" s="2"/>
    </row>
    <row r="37" spans="2:7" x14ac:dyDescent="0.25">
      <c r="B37" s="2"/>
      <c r="C37" s="2"/>
      <c r="D37" s="2"/>
      <c r="E37" s="2"/>
      <c r="F37" s="2"/>
      <c r="G37" s="2"/>
    </row>
    <row r="38" spans="2:7" x14ac:dyDescent="0.25">
      <c r="B38" s="2"/>
      <c r="C38" s="2"/>
      <c r="D38" s="2"/>
      <c r="E38" s="2"/>
      <c r="F38" s="2"/>
      <c r="G38" s="2"/>
    </row>
    <row r="39" spans="2:7" x14ac:dyDescent="0.25">
      <c r="B39" s="2"/>
      <c r="C39" s="2"/>
      <c r="D39" s="2"/>
      <c r="E39" s="2"/>
      <c r="F39" s="2"/>
      <c r="G39" s="2"/>
    </row>
    <row r="40" spans="2:7" x14ac:dyDescent="0.25">
      <c r="B40" s="2"/>
      <c r="C40" s="2"/>
      <c r="D40" s="2"/>
      <c r="E40" s="2"/>
      <c r="F40" s="2"/>
      <c r="G40" s="2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theme="5"/>
  </sheetPr>
  <dimension ref="B2:G116"/>
  <sheetViews>
    <sheetView showGridLines="0" topLeftCell="A99" workbookViewId="0">
      <selection activeCell="C110" sqref="C110"/>
    </sheetView>
  </sheetViews>
  <sheetFormatPr defaultRowHeight="15" x14ac:dyDescent="0.25"/>
  <cols>
    <col min="2" max="2" width="18" bestFit="1" customWidth="1"/>
    <col min="3" max="3" width="72" bestFit="1" customWidth="1"/>
    <col min="4" max="4" width="42.140625" bestFit="1" customWidth="1"/>
    <col min="5" max="5" width="11.85546875" bestFit="1" customWidth="1"/>
    <col min="6" max="6" width="8.42578125" bestFit="1" customWidth="1"/>
    <col min="7" max="7" width="11" bestFit="1" customWidth="1"/>
  </cols>
  <sheetData>
    <row r="2" spans="2:7" x14ac:dyDescent="0.25">
      <c r="C2" t="s">
        <v>2484</v>
      </c>
    </row>
    <row r="4" spans="2:7" ht="15.75" x14ac:dyDescent="0.25">
      <c r="B4" s="10" t="s">
        <v>0</v>
      </c>
      <c r="C4" s="11" t="s">
        <v>1</v>
      </c>
      <c r="D4" s="11" t="s">
        <v>2</v>
      </c>
      <c r="E4" s="11" t="s">
        <v>934</v>
      </c>
      <c r="F4" s="11" t="s">
        <v>1095</v>
      </c>
      <c r="G4" s="11" t="s">
        <v>1507</v>
      </c>
    </row>
    <row r="5" spans="2:7" x14ac:dyDescent="0.25">
      <c r="B5" s="3">
        <v>45608</v>
      </c>
      <c r="C5" s="2" t="s">
        <v>1796</v>
      </c>
      <c r="D5" s="2"/>
      <c r="E5" s="23">
        <v>0</v>
      </c>
      <c r="F5" s="2"/>
      <c r="G5" s="2"/>
    </row>
    <row r="6" spans="2:7" x14ac:dyDescent="0.25">
      <c r="B6" s="3">
        <v>45609</v>
      </c>
      <c r="C6" s="2" t="s">
        <v>2500</v>
      </c>
      <c r="D6" s="2" t="s">
        <v>2503</v>
      </c>
      <c r="E6" s="23">
        <v>50</v>
      </c>
      <c r="F6" s="2">
        <f>E6-E5</f>
        <v>50</v>
      </c>
      <c r="G6" s="2"/>
    </row>
    <row r="7" spans="2:7" x14ac:dyDescent="0.25">
      <c r="B7" s="3">
        <v>45610</v>
      </c>
      <c r="C7" s="2" t="s">
        <v>2510</v>
      </c>
      <c r="D7" s="2"/>
      <c r="E7" s="23">
        <v>90</v>
      </c>
      <c r="F7" s="2">
        <f>E7-E6</f>
        <v>40</v>
      </c>
      <c r="G7" s="2"/>
    </row>
    <row r="8" spans="2:7" x14ac:dyDescent="0.25">
      <c r="B8" s="3">
        <v>45611</v>
      </c>
      <c r="C8" s="2" t="s">
        <v>2515</v>
      </c>
      <c r="D8" s="2"/>
      <c r="E8" s="23">
        <v>100</v>
      </c>
      <c r="F8" s="2">
        <f t="shared" ref="F8:F26" si="0">E8-E7</f>
        <v>10</v>
      </c>
      <c r="G8" s="2"/>
    </row>
    <row r="9" spans="2:7" x14ac:dyDescent="0.25">
      <c r="B9" s="3">
        <v>45612</v>
      </c>
      <c r="C9" s="2"/>
      <c r="D9" s="2"/>
      <c r="E9" s="23"/>
      <c r="F9" s="2">
        <f t="shared" si="0"/>
        <v>-100</v>
      </c>
      <c r="G9" s="2"/>
    </row>
    <row r="10" spans="2:7" x14ac:dyDescent="0.25">
      <c r="B10" s="3">
        <v>45613</v>
      </c>
      <c r="C10" s="2"/>
      <c r="D10" s="2"/>
      <c r="E10" s="33"/>
      <c r="F10" s="2">
        <f t="shared" si="0"/>
        <v>0</v>
      </c>
      <c r="G10" s="2"/>
    </row>
    <row r="11" spans="2:7" x14ac:dyDescent="0.25">
      <c r="B11" s="3">
        <v>45614</v>
      </c>
      <c r="C11" s="2" t="s">
        <v>1033</v>
      </c>
      <c r="D11" s="2"/>
      <c r="E11" s="23">
        <v>0</v>
      </c>
      <c r="F11" s="2">
        <f t="shared" si="0"/>
        <v>0</v>
      </c>
      <c r="G11" s="2"/>
    </row>
    <row r="12" spans="2:7" x14ac:dyDescent="0.25">
      <c r="B12" s="3">
        <v>45615</v>
      </c>
      <c r="C12" s="2" t="s">
        <v>2560</v>
      </c>
      <c r="D12" s="2"/>
      <c r="E12" s="23">
        <v>20</v>
      </c>
      <c r="F12" s="2">
        <f t="shared" si="0"/>
        <v>20</v>
      </c>
      <c r="G12" s="2"/>
    </row>
    <row r="13" spans="2:7" x14ac:dyDescent="0.25">
      <c r="B13" s="3">
        <v>45616</v>
      </c>
      <c r="C13" s="2"/>
      <c r="D13" s="2"/>
      <c r="E13" s="23">
        <v>50</v>
      </c>
      <c r="F13" s="2">
        <f t="shared" si="0"/>
        <v>30</v>
      </c>
      <c r="G13" s="2"/>
    </row>
    <row r="14" spans="2:7" x14ac:dyDescent="0.25">
      <c r="B14" s="3">
        <v>45617</v>
      </c>
      <c r="C14" s="2" t="s">
        <v>2581</v>
      </c>
      <c r="D14" s="2"/>
      <c r="E14" s="23">
        <v>95</v>
      </c>
      <c r="F14" s="2">
        <f t="shared" si="0"/>
        <v>45</v>
      </c>
      <c r="G14" s="2"/>
    </row>
    <row r="15" spans="2:7" x14ac:dyDescent="0.25">
      <c r="B15" s="3">
        <v>45618</v>
      </c>
      <c r="C15" s="2" t="s">
        <v>2583</v>
      </c>
      <c r="D15" s="2"/>
      <c r="E15" s="23">
        <v>95</v>
      </c>
      <c r="F15" s="2">
        <f t="shared" si="0"/>
        <v>0</v>
      </c>
      <c r="G15" s="2"/>
    </row>
    <row r="16" spans="2:7" x14ac:dyDescent="0.25">
      <c r="B16" s="3">
        <v>45619</v>
      </c>
      <c r="C16" s="2"/>
      <c r="D16" s="2"/>
      <c r="E16" s="23">
        <v>95</v>
      </c>
      <c r="F16" s="2">
        <f t="shared" si="0"/>
        <v>0</v>
      </c>
      <c r="G16" s="2"/>
    </row>
    <row r="17" spans="2:7" x14ac:dyDescent="0.25">
      <c r="B17" s="3">
        <v>45620</v>
      </c>
      <c r="C17" s="2" t="s">
        <v>2604</v>
      </c>
      <c r="D17" s="2"/>
      <c r="E17" s="23">
        <v>95</v>
      </c>
      <c r="F17" s="2">
        <f t="shared" si="0"/>
        <v>0</v>
      </c>
      <c r="G17" s="2"/>
    </row>
    <row r="18" spans="2:7" x14ac:dyDescent="0.25">
      <c r="B18" s="3">
        <v>45621</v>
      </c>
      <c r="C18" s="2"/>
      <c r="D18" s="2"/>
      <c r="E18" s="23">
        <v>95</v>
      </c>
      <c r="F18" s="2">
        <f t="shared" si="0"/>
        <v>0</v>
      </c>
      <c r="G18" s="2"/>
    </row>
    <row r="19" spans="2:7" x14ac:dyDescent="0.25">
      <c r="B19" s="3">
        <v>45622</v>
      </c>
      <c r="C19" s="2" t="s">
        <v>2627</v>
      </c>
      <c r="D19" s="2"/>
      <c r="E19" s="23">
        <v>95</v>
      </c>
      <c r="F19" s="2">
        <f t="shared" si="0"/>
        <v>0</v>
      </c>
      <c r="G19" s="2"/>
    </row>
    <row r="20" spans="2:7" x14ac:dyDescent="0.25">
      <c r="B20" s="3">
        <v>45623</v>
      </c>
      <c r="C20" s="2" t="s">
        <v>2638</v>
      </c>
      <c r="D20" s="2"/>
      <c r="E20" s="23">
        <v>95</v>
      </c>
      <c r="F20" s="2">
        <f t="shared" si="0"/>
        <v>0</v>
      </c>
      <c r="G20" s="2"/>
    </row>
    <row r="21" spans="2:7" x14ac:dyDescent="0.25">
      <c r="B21" s="3">
        <v>45624</v>
      </c>
      <c r="C21" s="2"/>
      <c r="D21" s="2"/>
      <c r="E21" s="23">
        <v>95</v>
      </c>
      <c r="F21" s="2">
        <f t="shared" si="0"/>
        <v>0</v>
      </c>
      <c r="G21" s="2"/>
    </row>
    <row r="22" spans="2:7" x14ac:dyDescent="0.25">
      <c r="B22" s="3">
        <v>45625</v>
      </c>
      <c r="C22" s="2" t="s">
        <v>2650</v>
      </c>
      <c r="D22" s="2"/>
      <c r="E22" s="23">
        <v>95</v>
      </c>
      <c r="F22" s="2">
        <f t="shared" si="0"/>
        <v>0</v>
      </c>
      <c r="G22" s="2"/>
    </row>
    <row r="23" spans="2:7" x14ac:dyDescent="0.25">
      <c r="B23" s="3">
        <v>45626</v>
      </c>
      <c r="C23" s="2"/>
      <c r="D23" s="2"/>
      <c r="E23" s="23">
        <v>95</v>
      </c>
      <c r="F23" s="2">
        <f t="shared" si="0"/>
        <v>0</v>
      </c>
      <c r="G23" s="2"/>
    </row>
    <row r="24" spans="2:7" x14ac:dyDescent="0.25">
      <c r="B24" s="3">
        <v>45627</v>
      </c>
      <c r="C24" s="2"/>
      <c r="D24" s="2"/>
      <c r="E24" s="23">
        <v>95</v>
      </c>
      <c r="F24" s="2">
        <f t="shared" si="0"/>
        <v>0</v>
      </c>
      <c r="G24" s="2"/>
    </row>
    <row r="25" spans="2:7" x14ac:dyDescent="0.25">
      <c r="B25" s="3">
        <v>45628</v>
      </c>
      <c r="C25" s="2"/>
      <c r="D25" s="2"/>
      <c r="E25" s="23">
        <v>95</v>
      </c>
      <c r="F25" s="2">
        <f t="shared" si="0"/>
        <v>0</v>
      </c>
      <c r="G25" s="2"/>
    </row>
    <row r="26" spans="2:7" x14ac:dyDescent="0.25">
      <c r="B26" s="3">
        <v>45629</v>
      </c>
      <c r="C26" s="2"/>
      <c r="D26" s="2"/>
      <c r="E26" s="23">
        <v>95</v>
      </c>
      <c r="F26" s="2">
        <f t="shared" si="0"/>
        <v>0</v>
      </c>
      <c r="G26" s="2"/>
    </row>
    <row r="27" spans="2:7" x14ac:dyDescent="0.25">
      <c r="B27" s="3">
        <v>45630</v>
      </c>
      <c r="C27" s="2" t="s">
        <v>2694</v>
      </c>
      <c r="D27" s="2"/>
      <c r="E27" s="23"/>
      <c r="F27" s="2"/>
      <c r="G27" s="2"/>
    </row>
    <row r="28" spans="2:7" x14ac:dyDescent="0.25">
      <c r="B28" s="3">
        <v>45631</v>
      </c>
      <c r="C28" s="2"/>
      <c r="D28" s="2"/>
      <c r="E28" s="23"/>
      <c r="F28" s="2"/>
      <c r="G28" s="2"/>
    </row>
    <row r="29" spans="2:7" x14ac:dyDescent="0.25">
      <c r="B29" s="3">
        <v>45632</v>
      </c>
      <c r="C29" s="2"/>
      <c r="D29" s="2"/>
      <c r="E29" s="23"/>
      <c r="F29" s="2"/>
      <c r="G29" s="2"/>
    </row>
    <row r="30" spans="2:7" x14ac:dyDescent="0.25">
      <c r="B30" s="3">
        <v>45633</v>
      </c>
      <c r="C30" s="2"/>
      <c r="D30" s="2"/>
      <c r="E30" s="2"/>
      <c r="F30" s="2"/>
      <c r="G30" s="2"/>
    </row>
    <row r="31" spans="2:7" x14ac:dyDescent="0.25">
      <c r="B31" s="3">
        <v>45634</v>
      </c>
      <c r="C31" s="2"/>
      <c r="D31" s="2"/>
      <c r="E31" s="2"/>
      <c r="F31" s="2"/>
      <c r="G31" s="2"/>
    </row>
    <row r="32" spans="2:7" x14ac:dyDescent="0.25">
      <c r="B32" s="3">
        <v>45635</v>
      </c>
      <c r="C32" s="2"/>
      <c r="D32" s="2"/>
      <c r="E32" s="2"/>
      <c r="F32" s="2"/>
      <c r="G32" s="2"/>
    </row>
    <row r="33" spans="2:7" x14ac:dyDescent="0.25">
      <c r="B33" s="3">
        <v>45636</v>
      </c>
      <c r="C33" s="2"/>
      <c r="D33" s="2"/>
      <c r="E33" s="2"/>
      <c r="F33" s="2"/>
      <c r="G33" s="2"/>
    </row>
    <row r="34" spans="2:7" x14ac:dyDescent="0.25">
      <c r="B34" s="3">
        <v>45637</v>
      </c>
      <c r="C34" s="2"/>
      <c r="D34" s="2"/>
      <c r="E34" s="2"/>
      <c r="F34" s="2"/>
      <c r="G34" s="2"/>
    </row>
    <row r="35" spans="2:7" x14ac:dyDescent="0.25">
      <c r="B35" s="3">
        <v>45638</v>
      </c>
      <c r="C35" s="2"/>
      <c r="D35" s="2"/>
      <c r="E35" s="2"/>
      <c r="F35" s="2"/>
      <c r="G35" s="2"/>
    </row>
    <row r="36" spans="2:7" x14ac:dyDescent="0.25">
      <c r="B36" s="3">
        <v>45639</v>
      </c>
      <c r="C36" s="2"/>
      <c r="D36" s="2"/>
      <c r="E36" s="2"/>
      <c r="F36" s="2"/>
      <c r="G36" s="2"/>
    </row>
    <row r="37" spans="2:7" x14ac:dyDescent="0.25">
      <c r="B37" s="3">
        <v>45640</v>
      </c>
      <c r="C37" s="2"/>
      <c r="D37" s="2"/>
      <c r="E37" s="2"/>
      <c r="F37" s="2"/>
      <c r="G37" s="2"/>
    </row>
    <row r="38" spans="2:7" x14ac:dyDescent="0.25">
      <c r="B38" s="3">
        <v>45641</v>
      </c>
      <c r="C38" s="2"/>
      <c r="D38" s="2"/>
      <c r="E38" s="2"/>
      <c r="F38" s="2"/>
      <c r="G38" s="2"/>
    </row>
    <row r="39" spans="2:7" x14ac:dyDescent="0.25">
      <c r="B39" s="3">
        <v>45642</v>
      </c>
      <c r="C39" s="2"/>
      <c r="D39" s="2"/>
      <c r="E39" s="2"/>
      <c r="F39" s="2"/>
      <c r="G39" s="2"/>
    </row>
    <row r="40" spans="2:7" x14ac:dyDescent="0.25">
      <c r="B40" s="3">
        <v>45643</v>
      </c>
      <c r="C40" s="2"/>
      <c r="D40" s="2"/>
      <c r="E40" s="2"/>
      <c r="F40" s="2"/>
      <c r="G40" s="2"/>
    </row>
    <row r="41" spans="2:7" x14ac:dyDescent="0.25">
      <c r="B41" s="3">
        <v>45644</v>
      </c>
      <c r="C41" s="2"/>
      <c r="D41" s="2"/>
      <c r="E41" s="2"/>
      <c r="F41" s="2"/>
      <c r="G41" s="2"/>
    </row>
    <row r="42" spans="2:7" x14ac:dyDescent="0.25">
      <c r="B42" s="3">
        <v>45645</v>
      </c>
      <c r="C42" s="2"/>
      <c r="D42" s="2"/>
      <c r="E42" s="2"/>
      <c r="F42" s="2"/>
      <c r="G42" s="2"/>
    </row>
    <row r="43" spans="2:7" x14ac:dyDescent="0.25">
      <c r="B43" s="3">
        <v>45646</v>
      </c>
      <c r="C43" s="2"/>
      <c r="D43" s="2"/>
      <c r="E43" s="2"/>
      <c r="F43" s="2"/>
      <c r="G43" s="2"/>
    </row>
    <row r="44" spans="2:7" x14ac:dyDescent="0.25">
      <c r="B44" s="3">
        <v>45647</v>
      </c>
      <c r="C44" s="2"/>
      <c r="D44" s="2"/>
      <c r="E44" s="2"/>
      <c r="F44" s="2"/>
      <c r="G44" s="2"/>
    </row>
    <row r="45" spans="2:7" x14ac:dyDescent="0.25">
      <c r="B45" s="3">
        <v>45648</v>
      </c>
      <c r="C45" s="2"/>
      <c r="D45" s="2"/>
      <c r="E45" s="2"/>
      <c r="F45" s="2"/>
      <c r="G45" s="2"/>
    </row>
    <row r="46" spans="2:7" x14ac:dyDescent="0.25">
      <c r="B46" s="3">
        <v>45649</v>
      </c>
      <c r="C46" s="2"/>
      <c r="D46" s="2"/>
      <c r="E46" s="2"/>
      <c r="F46" s="2"/>
      <c r="G46" s="2"/>
    </row>
    <row r="47" spans="2:7" x14ac:dyDescent="0.25">
      <c r="B47" s="3">
        <v>45650</v>
      </c>
      <c r="C47" s="2"/>
      <c r="D47" s="2"/>
      <c r="E47" s="2"/>
      <c r="F47" s="2"/>
      <c r="G47" s="2"/>
    </row>
    <row r="48" spans="2:7" x14ac:dyDescent="0.25">
      <c r="B48" s="3">
        <v>45651</v>
      </c>
      <c r="C48" s="2"/>
      <c r="D48" s="2"/>
      <c r="E48" s="2"/>
      <c r="F48" s="2"/>
      <c r="G48" s="2"/>
    </row>
    <row r="49" spans="2:7" x14ac:dyDescent="0.25">
      <c r="B49" s="3">
        <v>45652</v>
      </c>
      <c r="C49" s="2"/>
      <c r="D49" s="2"/>
      <c r="E49" s="2"/>
      <c r="F49" s="2"/>
      <c r="G49" s="2"/>
    </row>
    <row r="50" spans="2:7" x14ac:dyDescent="0.25">
      <c r="B50" s="3">
        <v>45653</v>
      </c>
      <c r="C50" s="2"/>
      <c r="D50" s="2"/>
      <c r="E50" s="2"/>
      <c r="F50" s="2"/>
      <c r="G50" s="2"/>
    </row>
    <row r="51" spans="2:7" x14ac:dyDescent="0.25">
      <c r="B51" s="3">
        <v>45654</v>
      </c>
      <c r="C51" s="2"/>
      <c r="D51" s="2"/>
      <c r="E51" s="2"/>
      <c r="F51" s="2"/>
      <c r="G51" s="2"/>
    </row>
    <row r="52" spans="2:7" x14ac:dyDescent="0.25">
      <c r="B52" s="3">
        <v>45655</v>
      </c>
      <c r="C52" s="2"/>
      <c r="D52" s="2"/>
      <c r="E52" s="2"/>
      <c r="F52" s="2"/>
      <c r="G52" s="2"/>
    </row>
    <row r="53" spans="2:7" x14ac:dyDescent="0.25">
      <c r="B53" s="3">
        <v>45656</v>
      </c>
      <c r="C53" s="2"/>
      <c r="D53" s="2"/>
      <c r="E53" s="2"/>
      <c r="F53" s="2"/>
      <c r="G53" s="2"/>
    </row>
    <row r="54" spans="2:7" x14ac:dyDescent="0.25">
      <c r="B54" s="3">
        <v>45657</v>
      </c>
      <c r="C54" s="2"/>
      <c r="D54" s="2"/>
      <c r="E54" s="2"/>
      <c r="F54" s="2"/>
      <c r="G54" s="2"/>
    </row>
    <row r="55" spans="2:7" x14ac:dyDescent="0.25">
      <c r="B55" s="4">
        <v>45658</v>
      </c>
      <c r="C55" s="2" t="s">
        <v>2919</v>
      </c>
      <c r="D55" s="2"/>
      <c r="E55" s="2"/>
      <c r="F55" s="2"/>
      <c r="G55" s="2"/>
    </row>
    <row r="56" spans="2:7" x14ac:dyDescent="0.25">
      <c r="B56" s="4">
        <v>45659</v>
      </c>
      <c r="C56" s="2" t="s">
        <v>2976</v>
      </c>
      <c r="D56" s="2"/>
      <c r="E56" s="2"/>
      <c r="F56" s="2"/>
      <c r="G56" s="2"/>
    </row>
    <row r="57" spans="2:7" x14ac:dyDescent="0.25">
      <c r="B57" s="4">
        <v>45660</v>
      </c>
      <c r="C57" s="2" t="s">
        <v>2379</v>
      </c>
      <c r="D57" s="2"/>
      <c r="E57" s="2"/>
      <c r="F57" s="2"/>
      <c r="G57" s="2"/>
    </row>
    <row r="58" spans="2:7" x14ac:dyDescent="0.25">
      <c r="B58" s="4">
        <v>45661</v>
      </c>
      <c r="C58" s="2"/>
      <c r="D58" s="2"/>
      <c r="E58" s="23">
        <v>0</v>
      </c>
      <c r="F58" s="2"/>
      <c r="G58" s="2"/>
    </row>
    <row r="59" spans="2:7" x14ac:dyDescent="0.25">
      <c r="B59" s="4">
        <v>45662</v>
      </c>
      <c r="C59" s="2" t="s">
        <v>3053</v>
      </c>
      <c r="D59" s="2"/>
      <c r="E59" s="23">
        <v>15</v>
      </c>
      <c r="F59" s="2">
        <f>E59-E58</f>
        <v>15</v>
      </c>
      <c r="G59" s="2"/>
    </row>
    <row r="60" spans="2:7" x14ac:dyDescent="0.25">
      <c r="B60" s="4">
        <v>45663</v>
      </c>
      <c r="C60" s="2" t="s">
        <v>3055</v>
      </c>
      <c r="D60" s="2"/>
      <c r="E60" s="23">
        <v>45</v>
      </c>
      <c r="F60" s="2">
        <f t="shared" ref="F60:F89" si="1">E60-E59</f>
        <v>30</v>
      </c>
      <c r="G60" s="2"/>
    </row>
    <row r="61" spans="2:7" x14ac:dyDescent="0.25">
      <c r="B61" s="4">
        <v>45664</v>
      </c>
      <c r="C61" s="2" t="s">
        <v>3068</v>
      </c>
      <c r="D61" s="2"/>
      <c r="E61" s="23">
        <v>0</v>
      </c>
      <c r="F61" s="2">
        <f t="shared" si="1"/>
        <v>-45</v>
      </c>
      <c r="G61" s="2"/>
    </row>
    <row r="62" spans="2:7" x14ac:dyDescent="0.25">
      <c r="B62" s="4">
        <v>45665</v>
      </c>
      <c r="C62" s="2" t="s">
        <v>3078</v>
      </c>
      <c r="D62" s="2"/>
      <c r="E62" s="23">
        <v>0</v>
      </c>
      <c r="F62" s="2">
        <f t="shared" si="1"/>
        <v>0</v>
      </c>
      <c r="G62" s="2"/>
    </row>
    <row r="63" spans="2:7" x14ac:dyDescent="0.25">
      <c r="B63" s="4">
        <v>45666</v>
      </c>
      <c r="C63" s="2" t="s">
        <v>480</v>
      </c>
      <c r="D63" s="2"/>
      <c r="E63" s="23">
        <v>0</v>
      </c>
      <c r="F63" s="2">
        <f t="shared" si="1"/>
        <v>0</v>
      </c>
      <c r="G63" s="2"/>
    </row>
    <row r="64" spans="2:7" x14ac:dyDescent="0.25">
      <c r="B64" s="4">
        <v>45667</v>
      </c>
      <c r="C64" s="2" t="s">
        <v>3098</v>
      </c>
      <c r="D64" s="2"/>
      <c r="E64" s="23">
        <v>36</v>
      </c>
      <c r="F64" s="2">
        <f t="shared" si="1"/>
        <v>36</v>
      </c>
      <c r="G64" s="2"/>
    </row>
    <row r="65" spans="2:7" x14ac:dyDescent="0.25">
      <c r="B65" s="4">
        <v>45668</v>
      </c>
      <c r="C65" s="2" t="s">
        <v>3113</v>
      </c>
      <c r="D65" s="2"/>
      <c r="E65" s="23">
        <v>51</v>
      </c>
      <c r="F65" s="2">
        <f t="shared" si="1"/>
        <v>15</v>
      </c>
      <c r="G65" s="2"/>
    </row>
    <row r="66" spans="2:7" x14ac:dyDescent="0.25">
      <c r="B66" s="4">
        <v>45669</v>
      </c>
      <c r="C66" s="2" t="s">
        <v>3114</v>
      </c>
      <c r="D66" s="2"/>
      <c r="E66" s="23">
        <v>60</v>
      </c>
      <c r="F66" s="2">
        <f t="shared" si="1"/>
        <v>9</v>
      </c>
      <c r="G66" s="2"/>
    </row>
    <row r="67" spans="2:7" x14ac:dyDescent="0.25">
      <c r="B67" s="4">
        <v>45670</v>
      </c>
      <c r="C67" s="2" t="s">
        <v>3121</v>
      </c>
      <c r="D67" s="2"/>
      <c r="E67" s="23">
        <v>75</v>
      </c>
      <c r="F67" s="2">
        <f t="shared" si="1"/>
        <v>15</v>
      </c>
      <c r="G67" s="2"/>
    </row>
    <row r="68" spans="2:7" x14ac:dyDescent="0.25">
      <c r="B68" s="4">
        <v>45671</v>
      </c>
      <c r="C68" s="2" t="s">
        <v>3137</v>
      </c>
      <c r="D68" s="2"/>
      <c r="E68" s="23">
        <v>84</v>
      </c>
      <c r="F68" s="2">
        <f t="shared" si="1"/>
        <v>9</v>
      </c>
      <c r="G68" s="2"/>
    </row>
    <row r="69" spans="2:7" x14ac:dyDescent="0.25">
      <c r="B69" s="4">
        <v>45672</v>
      </c>
      <c r="C69" s="2" t="s">
        <v>3149</v>
      </c>
      <c r="D69" s="2"/>
      <c r="E69" s="23">
        <v>98</v>
      </c>
      <c r="F69" s="2">
        <f t="shared" si="1"/>
        <v>14</v>
      </c>
      <c r="G69" s="2"/>
    </row>
    <row r="70" spans="2:7" x14ac:dyDescent="0.25">
      <c r="B70" s="4">
        <v>45673</v>
      </c>
      <c r="C70" s="2" t="s">
        <v>3159</v>
      </c>
      <c r="D70" s="2"/>
      <c r="E70" s="23">
        <v>98</v>
      </c>
      <c r="F70" s="2">
        <f t="shared" si="1"/>
        <v>0</v>
      </c>
      <c r="G70" s="2"/>
    </row>
    <row r="71" spans="2:7" x14ac:dyDescent="0.25">
      <c r="B71" s="4">
        <v>45674</v>
      </c>
      <c r="C71" s="2"/>
      <c r="D71" s="2"/>
      <c r="E71" s="23">
        <v>98</v>
      </c>
      <c r="F71" s="2">
        <f t="shared" si="1"/>
        <v>0</v>
      </c>
      <c r="G71" s="2"/>
    </row>
    <row r="72" spans="2:7" x14ac:dyDescent="0.25">
      <c r="B72" s="4">
        <v>45675</v>
      </c>
      <c r="C72" s="2"/>
      <c r="D72" s="2"/>
      <c r="E72" s="23">
        <v>98</v>
      </c>
      <c r="F72" s="2">
        <f t="shared" si="1"/>
        <v>0</v>
      </c>
      <c r="G72" s="2"/>
    </row>
    <row r="73" spans="2:7" x14ac:dyDescent="0.25">
      <c r="B73" s="4">
        <v>45676</v>
      </c>
      <c r="C73" s="2"/>
      <c r="D73" s="2"/>
      <c r="E73" s="23">
        <v>98</v>
      </c>
      <c r="F73" s="2">
        <f t="shared" si="1"/>
        <v>0</v>
      </c>
      <c r="G73" s="2"/>
    </row>
    <row r="74" spans="2:7" x14ac:dyDescent="0.25">
      <c r="B74" s="4">
        <v>45677</v>
      </c>
      <c r="C74" s="2"/>
      <c r="D74" s="2"/>
      <c r="E74" s="23">
        <v>98</v>
      </c>
      <c r="F74" s="2">
        <f t="shared" si="1"/>
        <v>0</v>
      </c>
      <c r="G74" s="2"/>
    </row>
    <row r="75" spans="2:7" x14ac:dyDescent="0.25">
      <c r="B75" s="4">
        <v>45678</v>
      </c>
      <c r="C75" s="2" t="s">
        <v>3190</v>
      </c>
      <c r="D75" s="2"/>
      <c r="E75" s="23">
        <v>98</v>
      </c>
      <c r="F75" s="2">
        <f t="shared" si="1"/>
        <v>0</v>
      </c>
      <c r="G75" s="2"/>
    </row>
    <row r="76" spans="2:7" x14ac:dyDescent="0.25">
      <c r="B76" s="4">
        <v>45679</v>
      </c>
      <c r="C76" s="2" t="s">
        <v>3200</v>
      </c>
      <c r="D76" s="2"/>
      <c r="E76" s="23">
        <v>98</v>
      </c>
      <c r="F76" s="2">
        <f t="shared" si="1"/>
        <v>0</v>
      </c>
      <c r="G76" s="2"/>
    </row>
    <row r="77" spans="2:7" x14ac:dyDescent="0.25">
      <c r="B77" s="4">
        <v>45680</v>
      </c>
      <c r="C77" s="2" t="s">
        <v>3202</v>
      </c>
      <c r="D77" s="2"/>
      <c r="E77" s="23">
        <v>98</v>
      </c>
      <c r="F77" s="2">
        <f t="shared" si="1"/>
        <v>0</v>
      </c>
      <c r="G77" s="2"/>
    </row>
    <row r="78" spans="2:7" x14ac:dyDescent="0.25">
      <c r="B78" s="4">
        <v>45681</v>
      </c>
      <c r="C78" s="2"/>
      <c r="D78" s="2"/>
      <c r="E78" s="23">
        <v>98</v>
      </c>
      <c r="F78" s="2">
        <f t="shared" si="1"/>
        <v>0</v>
      </c>
      <c r="G78" s="2"/>
    </row>
    <row r="79" spans="2:7" x14ac:dyDescent="0.25">
      <c r="B79" s="4">
        <v>45682</v>
      </c>
      <c r="C79" s="2"/>
      <c r="D79" s="2"/>
      <c r="E79" s="23">
        <v>98</v>
      </c>
      <c r="F79" s="2">
        <f t="shared" si="1"/>
        <v>0</v>
      </c>
      <c r="G79" s="2"/>
    </row>
    <row r="80" spans="2:7" x14ac:dyDescent="0.25">
      <c r="B80" s="4">
        <v>45683</v>
      </c>
      <c r="C80" s="2"/>
      <c r="D80" s="2"/>
      <c r="E80" s="23">
        <v>98</v>
      </c>
      <c r="F80" s="2">
        <f t="shared" si="1"/>
        <v>0</v>
      </c>
      <c r="G80" s="2"/>
    </row>
    <row r="81" spans="2:7" x14ac:dyDescent="0.25">
      <c r="B81" s="4">
        <v>45684</v>
      </c>
      <c r="C81" s="2"/>
      <c r="D81" s="2"/>
      <c r="E81" s="23">
        <v>98</v>
      </c>
      <c r="F81" s="2">
        <f t="shared" si="1"/>
        <v>0</v>
      </c>
      <c r="G81" s="2"/>
    </row>
    <row r="82" spans="2:7" x14ac:dyDescent="0.25">
      <c r="B82" s="4">
        <v>45685</v>
      </c>
      <c r="C82" s="2" t="s">
        <v>3244</v>
      </c>
      <c r="D82" s="2"/>
      <c r="E82" s="23">
        <v>98</v>
      </c>
      <c r="F82" s="2">
        <f t="shared" si="1"/>
        <v>0</v>
      </c>
      <c r="G82" s="2"/>
    </row>
    <row r="83" spans="2:7" x14ac:dyDescent="0.25">
      <c r="B83" s="4">
        <v>45686</v>
      </c>
      <c r="C83" s="2" t="s">
        <v>1178</v>
      </c>
      <c r="D83" s="2"/>
      <c r="E83" s="23">
        <v>98</v>
      </c>
      <c r="F83" s="2">
        <f t="shared" si="1"/>
        <v>0</v>
      </c>
      <c r="G83" s="2"/>
    </row>
    <row r="84" spans="2:7" x14ac:dyDescent="0.25">
      <c r="B84" s="4">
        <v>45687</v>
      </c>
      <c r="C84" s="2"/>
      <c r="D84" s="2"/>
      <c r="E84" s="23">
        <v>98</v>
      </c>
      <c r="F84" s="2">
        <f t="shared" si="1"/>
        <v>0</v>
      </c>
      <c r="G84" s="2"/>
    </row>
    <row r="85" spans="2:7" x14ac:dyDescent="0.25">
      <c r="B85" s="4">
        <v>45688</v>
      </c>
      <c r="C85" s="2"/>
      <c r="D85" s="2"/>
      <c r="E85" s="23">
        <v>98</v>
      </c>
      <c r="F85" s="2">
        <f t="shared" si="1"/>
        <v>0</v>
      </c>
      <c r="G85" s="2"/>
    </row>
    <row r="86" spans="2:7" x14ac:dyDescent="0.25">
      <c r="B86" s="4">
        <v>45689</v>
      </c>
      <c r="C86" s="2" t="s">
        <v>3267</v>
      </c>
      <c r="D86" s="2"/>
      <c r="E86" s="23">
        <v>98</v>
      </c>
      <c r="F86" s="2">
        <f t="shared" si="1"/>
        <v>0</v>
      </c>
      <c r="G86" s="2"/>
    </row>
    <row r="87" spans="2:7" x14ac:dyDescent="0.25">
      <c r="B87" s="4">
        <v>45690</v>
      </c>
      <c r="C87" s="2" t="s">
        <v>3281</v>
      </c>
      <c r="D87" s="2"/>
      <c r="E87" s="23">
        <v>98</v>
      </c>
      <c r="F87" s="2">
        <f t="shared" si="1"/>
        <v>0</v>
      </c>
      <c r="G87" s="2"/>
    </row>
    <row r="88" spans="2:7" x14ac:dyDescent="0.25">
      <c r="B88" s="4">
        <v>45691</v>
      </c>
      <c r="C88" s="2" t="s">
        <v>3281</v>
      </c>
      <c r="D88" s="2"/>
      <c r="E88" s="23">
        <v>98</v>
      </c>
      <c r="F88" s="2">
        <f t="shared" si="1"/>
        <v>0</v>
      </c>
      <c r="G88" s="2"/>
    </row>
    <row r="89" spans="2:7" x14ac:dyDescent="0.25">
      <c r="B89" s="4">
        <v>45692</v>
      </c>
      <c r="C89" s="2" t="s">
        <v>3281</v>
      </c>
      <c r="D89" s="2"/>
      <c r="E89" s="23">
        <v>98</v>
      </c>
      <c r="F89" s="2">
        <f t="shared" si="1"/>
        <v>0</v>
      </c>
      <c r="G89" s="2"/>
    </row>
    <row r="90" spans="2:7" x14ac:dyDescent="0.25">
      <c r="B90" s="4">
        <v>45693</v>
      </c>
      <c r="C90" s="2" t="s">
        <v>1166</v>
      </c>
      <c r="D90" s="2"/>
      <c r="E90" s="2"/>
      <c r="F90" s="2"/>
      <c r="G90" s="2"/>
    </row>
    <row r="91" spans="2:7" x14ac:dyDescent="0.25">
      <c r="B91" s="4">
        <v>45694</v>
      </c>
      <c r="C91" s="2" t="s">
        <v>1166</v>
      </c>
      <c r="D91" s="2"/>
      <c r="E91" s="2"/>
      <c r="F91" s="2"/>
      <c r="G91" s="2"/>
    </row>
    <row r="92" spans="2:7" x14ac:dyDescent="0.25">
      <c r="B92" s="4">
        <v>45695</v>
      </c>
      <c r="C92" s="2" t="s">
        <v>1166</v>
      </c>
      <c r="D92" s="2"/>
      <c r="E92" s="2"/>
      <c r="F92" s="2"/>
      <c r="G92" s="2"/>
    </row>
    <row r="93" spans="2:7" x14ac:dyDescent="0.25">
      <c r="B93" s="4">
        <v>45696</v>
      </c>
      <c r="C93" s="2" t="s">
        <v>1166</v>
      </c>
      <c r="D93" s="2"/>
      <c r="E93" s="2"/>
      <c r="F93" s="2"/>
      <c r="G93" s="2"/>
    </row>
    <row r="94" spans="2:7" x14ac:dyDescent="0.25">
      <c r="B94" s="4">
        <v>45697</v>
      </c>
      <c r="C94" s="2" t="s">
        <v>1166</v>
      </c>
      <c r="D94" s="2"/>
      <c r="E94" s="2"/>
      <c r="F94" s="2"/>
      <c r="G94" s="2"/>
    </row>
    <row r="95" spans="2:7" x14ac:dyDescent="0.25">
      <c r="B95" s="4">
        <v>45698</v>
      </c>
      <c r="C95" s="2"/>
      <c r="D95" s="2" t="s">
        <v>3329</v>
      </c>
      <c r="E95" s="2"/>
      <c r="F95" s="2"/>
      <c r="G95" s="2"/>
    </row>
    <row r="96" spans="2:7" x14ac:dyDescent="0.25">
      <c r="B96" s="4">
        <v>45699</v>
      </c>
      <c r="C96" s="2"/>
      <c r="D96" s="2"/>
      <c r="E96" s="2"/>
      <c r="F96" s="2"/>
      <c r="G96" s="2"/>
    </row>
    <row r="97" spans="2:7" x14ac:dyDescent="0.25">
      <c r="B97" s="4">
        <v>45700</v>
      </c>
      <c r="C97" s="2"/>
      <c r="D97" s="2"/>
      <c r="E97" s="2"/>
      <c r="F97" s="2"/>
      <c r="G97" s="2"/>
    </row>
    <row r="98" spans="2:7" x14ac:dyDescent="0.25">
      <c r="B98" s="4">
        <v>45701</v>
      </c>
      <c r="C98" s="2"/>
      <c r="D98" s="2"/>
      <c r="E98" s="2"/>
      <c r="F98" s="2"/>
      <c r="G98" s="2"/>
    </row>
    <row r="99" spans="2:7" x14ac:dyDescent="0.25">
      <c r="B99" s="4">
        <v>45702</v>
      </c>
      <c r="C99" s="2"/>
      <c r="D99" s="2"/>
      <c r="E99" s="2"/>
      <c r="F99" s="2"/>
      <c r="G99" s="2"/>
    </row>
    <row r="100" spans="2:7" x14ac:dyDescent="0.25">
      <c r="B100" s="4">
        <v>45703</v>
      </c>
      <c r="C100" s="2"/>
      <c r="D100" s="2"/>
      <c r="E100" s="2"/>
      <c r="F100" s="2"/>
      <c r="G100" s="2"/>
    </row>
    <row r="101" spans="2:7" x14ac:dyDescent="0.25">
      <c r="B101" s="4">
        <v>45704</v>
      </c>
      <c r="C101" s="2"/>
      <c r="D101" s="2"/>
      <c r="E101" s="2"/>
      <c r="F101" s="2"/>
      <c r="G101" s="2"/>
    </row>
    <row r="102" spans="2:7" x14ac:dyDescent="0.25">
      <c r="B102" s="4">
        <v>45705</v>
      </c>
      <c r="C102" s="2"/>
      <c r="D102" s="2"/>
      <c r="E102" s="2"/>
      <c r="F102" s="2"/>
      <c r="G102" s="2"/>
    </row>
    <row r="103" spans="2:7" x14ac:dyDescent="0.25">
      <c r="B103" s="4">
        <v>45706</v>
      </c>
      <c r="C103" s="2"/>
      <c r="D103" s="2"/>
      <c r="E103" s="2"/>
      <c r="F103" s="2"/>
      <c r="G103" s="2"/>
    </row>
    <row r="104" spans="2:7" x14ac:dyDescent="0.25">
      <c r="B104" s="4">
        <v>45707</v>
      </c>
      <c r="C104" s="2"/>
      <c r="D104" s="2"/>
      <c r="E104" s="2"/>
      <c r="F104" s="2"/>
      <c r="G104" s="2"/>
    </row>
    <row r="105" spans="2:7" x14ac:dyDescent="0.25">
      <c r="B105" s="4">
        <v>45708</v>
      </c>
      <c r="C105" s="2"/>
      <c r="D105" s="2"/>
      <c r="E105" s="2"/>
      <c r="F105" s="2"/>
      <c r="G105" s="2"/>
    </row>
    <row r="106" spans="2:7" x14ac:dyDescent="0.25">
      <c r="B106" s="4">
        <v>45709</v>
      </c>
      <c r="C106" s="2"/>
      <c r="D106" s="2"/>
      <c r="E106" s="2"/>
      <c r="F106" s="2"/>
      <c r="G106" s="2"/>
    </row>
    <row r="107" spans="2:7" x14ac:dyDescent="0.25">
      <c r="B107" s="4">
        <v>45710</v>
      </c>
      <c r="C107" s="2"/>
      <c r="D107" s="2"/>
      <c r="E107" s="2"/>
      <c r="F107" s="2"/>
      <c r="G107" s="2"/>
    </row>
    <row r="108" spans="2:7" x14ac:dyDescent="0.25">
      <c r="B108" s="4">
        <v>45711</v>
      </c>
      <c r="C108" s="2"/>
      <c r="D108" s="2"/>
      <c r="E108" s="2"/>
      <c r="F108" s="2"/>
      <c r="G108" s="2"/>
    </row>
    <row r="109" spans="2:7" x14ac:dyDescent="0.25">
      <c r="B109" s="4">
        <v>45712</v>
      </c>
      <c r="C109" s="2" t="s">
        <v>3379</v>
      </c>
      <c r="D109" s="2"/>
      <c r="E109" s="2"/>
      <c r="F109" s="2"/>
      <c r="G109" s="2"/>
    </row>
    <row r="110" spans="2:7" x14ac:dyDescent="0.25">
      <c r="B110" s="4">
        <v>45713</v>
      </c>
      <c r="C110" s="2"/>
      <c r="D110" s="2"/>
      <c r="E110" s="2"/>
      <c r="F110" s="2"/>
      <c r="G110" s="2"/>
    </row>
    <row r="111" spans="2:7" x14ac:dyDescent="0.25">
      <c r="B111" s="4">
        <v>45714</v>
      </c>
      <c r="C111" s="2" t="s">
        <v>3398</v>
      </c>
      <c r="D111" s="2"/>
      <c r="E111" s="2"/>
      <c r="F111" s="2"/>
      <c r="G111" s="2"/>
    </row>
    <row r="112" spans="2:7" x14ac:dyDescent="0.25">
      <c r="B112" s="4">
        <v>45715</v>
      </c>
      <c r="C112" s="2"/>
      <c r="D112" s="2"/>
      <c r="E112" s="2"/>
      <c r="F112" s="2"/>
      <c r="G112" s="2"/>
    </row>
    <row r="113" spans="2:7" x14ac:dyDescent="0.25">
      <c r="B113" s="2"/>
      <c r="C113" s="2"/>
      <c r="D113" s="2"/>
      <c r="E113" s="2"/>
      <c r="F113" s="2"/>
      <c r="G113" s="2"/>
    </row>
    <row r="114" spans="2:7" x14ac:dyDescent="0.25">
      <c r="B114" s="2"/>
      <c r="C114" s="2"/>
      <c r="D114" s="2"/>
      <c r="E114" s="2"/>
      <c r="F114" s="2"/>
      <c r="G114" s="2"/>
    </row>
    <row r="115" spans="2:7" x14ac:dyDescent="0.25">
      <c r="B115" s="2"/>
      <c r="C115" s="2"/>
      <c r="D115" s="2"/>
      <c r="E115" s="2"/>
      <c r="F115" s="2"/>
      <c r="G115" s="2"/>
    </row>
    <row r="116" spans="2:7" x14ac:dyDescent="0.25">
      <c r="B116" s="2"/>
      <c r="C116" s="2"/>
      <c r="D116" s="2"/>
      <c r="E116" s="2"/>
      <c r="F116" s="2"/>
      <c r="G116" s="2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B2:G31"/>
  <sheetViews>
    <sheetView showGridLines="0" workbookViewId="0">
      <selection activeCell="D15" sqref="D15"/>
    </sheetView>
  </sheetViews>
  <sheetFormatPr defaultRowHeight="15" x14ac:dyDescent="0.25"/>
  <cols>
    <col min="2" max="2" width="18" bestFit="1" customWidth="1"/>
    <col min="3" max="3" width="72" bestFit="1" customWidth="1"/>
    <col min="4" max="4" width="42.140625" bestFit="1" customWidth="1"/>
    <col min="5" max="5" width="11.85546875" bestFit="1" customWidth="1"/>
    <col min="6" max="6" width="8.42578125" bestFit="1" customWidth="1"/>
    <col min="7" max="7" width="11" bestFit="1" customWidth="1"/>
  </cols>
  <sheetData>
    <row r="2" spans="2:7" x14ac:dyDescent="0.25">
      <c r="C2" t="s">
        <v>2528</v>
      </c>
    </row>
    <row r="4" spans="2:7" ht="15.75" x14ac:dyDescent="0.25">
      <c r="B4" s="10" t="s">
        <v>0</v>
      </c>
      <c r="C4" s="11" t="s">
        <v>1</v>
      </c>
      <c r="D4" s="11" t="s">
        <v>2</v>
      </c>
      <c r="E4" s="11" t="s">
        <v>934</v>
      </c>
      <c r="F4" s="11" t="s">
        <v>1095</v>
      </c>
      <c r="G4" s="11" t="s">
        <v>1507</v>
      </c>
    </row>
    <row r="5" spans="2:7" x14ac:dyDescent="0.25">
      <c r="B5" s="3">
        <v>45616</v>
      </c>
      <c r="C5" s="2" t="s">
        <v>1528</v>
      </c>
      <c r="D5" s="2"/>
      <c r="E5" s="23"/>
      <c r="F5" s="2"/>
      <c r="G5" s="2"/>
    </row>
    <row r="6" spans="2:7" x14ac:dyDescent="0.25">
      <c r="B6" s="3">
        <v>45617</v>
      </c>
      <c r="C6" s="2" t="s">
        <v>2582</v>
      </c>
      <c r="D6" s="2"/>
      <c r="E6" s="23"/>
      <c r="F6" s="2"/>
      <c r="G6" s="2"/>
    </row>
    <row r="7" spans="2:7" x14ac:dyDescent="0.25">
      <c r="B7" s="3">
        <v>45618</v>
      </c>
      <c r="C7" s="2"/>
      <c r="D7" s="2"/>
      <c r="E7" s="23"/>
      <c r="F7" s="2"/>
      <c r="G7" s="2"/>
    </row>
    <row r="8" spans="2:7" x14ac:dyDescent="0.25">
      <c r="B8" s="3">
        <v>45619</v>
      </c>
      <c r="C8" s="2" t="s">
        <v>2592</v>
      </c>
      <c r="D8" s="2"/>
      <c r="E8" s="23"/>
      <c r="F8" s="2"/>
      <c r="G8" s="2"/>
    </row>
    <row r="9" spans="2:7" x14ac:dyDescent="0.25">
      <c r="B9" s="3">
        <v>45620</v>
      </c>
      <c r="C9" s="2" t="s">
        <v>2603</v>
      </c>
      <c r="D9" s="2"/>
      <c r="E9" s="23"/>
      <c r="F9" s="2"/>
      <c r="G9" s="2"/>
    </row>
    <row r="10" spans="2:7" x14ac:dyDescent="0.25">
      <c r="B10" s="3">
        <v>45621</v>
      </c>
      <c r="C10" s="2" t="s">
        <v>2615</v>
      </c>
      <c r="D10" s="2"/>
      <c r="E10" s="33"/>
      <c r="F10" s="2"/>
      <c r="G10" s="2"/>
    </row>
    <row r="11" spans="2:7" x14ac:dyDescent="0.25">
      <c r="B11" s="3"/>
      <c r="C11" s="2"/>
      <c r="D11" s="2"/>
      <c r="E11" s="23"/>
      <c r="F11" s="2"/>
      <c r="G11" s="2"/>
    </row>
    <row r="12" spans="2:7" x14ac:dyDescent="0.25">
      <c r="B12" s="3"/>
      <c r="C12" s="2"/>
      <c r="D12" s="2"/>
      <c r="E12" s="23"/>
      <c r="F12" s="2"/>
      <c r="G12" s="2"/>
    </row>
    <row r="13" spans="2:7" x14ac:dyDescent="0.25">
      <c r="B13" s="3"/>
      <c r="C13" s="2"/>
      <c r="D13" s="2"/>
      <c r="E13" s="23"/>
      <c r="F13" s="2"/>
      <c r="G13" s="2"/>
    </row>
    <row r="14" spans="2:7" x14ac:dyDescent="0.25">
      <c r="B14" s="3"/>
      <c r="C14" s="2"/>
      <c r="D14" s="2"/>
      <c r="E14" s="23"/>
      <c r="F14" s="2"/>
      <c r="G14" s="2"/>
    </row>
    <row r="15" spans="2:7" x14ac:dyDescent="0.25">
      <c r="B15" s="3"/>
      <c r="C15" s="2"/>
      <c r="D15" s="2"/>
      <c r="E15" s="23"/>
      <c r="F15" s="2"/>
      <c r="G15" s="2"/>
    </row>
    <row r="16" spans="2:7" x14ac:dyDescent="0.25">
      <c r="B16" s="3"/>
      <c r="C16" s="2"/>
      <c r="D16" s="2"/>
      <c r="E16" s="23"/>
      <c r="F16" s="2"/>
      <c r="G16" s="2"/>
    </row>
    <row r="17" spans="2:7" x14ac:dyDescent="0.25">
      <c r="B17" s="3"/>
      <c r="C17" s="2"/>
      <c r="D17" s="2"/>
      <c r="E17" s="23"/>
      <c r="F17" s="2"/>
      <c r="G17" s="2"/>
    </row>
    <row r="18" spans="2:7" x14ac:dyDescent="0.25">
      <c r="B18" s="3"/>
      <c r="C18" s="2"/>
      <c r="D18" s="2"/>
      <c r="E18" s="23"/>
      <c r="F18" s="2"/>
      <c r="G18" s="2"/>
    </row>
    <row r="19" spans="2:7" x14ac:dyDescent="0.25">
      <c r="B19" s="3"/>
      <c r="C19" s="2"/>
      <c r="D19" s="2"/>
      <c r="E19" s="23"/>
      <c r="F19" s="2"/>
      <c r="G19" s="2"/>
    </row>
    <row r="20" spans="2:7" x14ac:dyDescent="0.25">
      <c r="B20" s="3"/>
      <c r="C20" s="2"/>
      <c r="D20" s="2"/>
      <c r="E20" s="23"/>
      <c r="F20" s="2"/>
      <c r="G20" s="2"/>
    </row>
    <row r="21" spans="2:7" x14ac:dyDescent="0.25">
      <c r="B21" s="3"/>
      <c r="C21" s="2"/>
      <c r="D21" s="2"/>
      <c r="E21" s="23"/>
      <c r="F21" s="2"/>
      <c r="G21" s="2"/>
    </row>
    <row r="22" spans="2:7" x14ac:dyDescent="0.25">
      <c r="B22" s="3"/>
      <c r="C22" s="2"/>
      <c r="D22" s="2"/>
      <c r="E22" s="23"/>
      <c r="F22" s="2"/>
      <c r="G22" s="2"/>
    </row>
    <row r="23" spans="2:7" x14ac:dyDescent="0.25">
      <c r="B23" s="3"/>
      <c r="C23" s="2"/>
      <c r="D23" s="2"/>
      <c r="E23" s="23"/>
      <c r="F23" s="2"/>
      <c r="G23" s="2"/>
    </row>
    <row r="24" spans="2:7" x14ac:dyDescent="0.25">
      <c r="B24" s="3"/>
      <c r="C24" s="2"/>
      <c r="D24" s="2"/>
      <c r="E24" s="23"/>
      <c r="F24" s="2"/>
      <c r="G24" s="2"/>
    </row>
    <row r="25" spans="2:7" x14ac:dyDescent="0.25">
      <c r="B25" s="3"/>
      <c r="C25" s="2"/>
      <c r="D25" s="2"/>
      <c r="E25" s="23"/>
      <c r="F25" s="2"/>
      <c r="G25" s="2"/>
    </row>
    <row r="26" spans="2:7" x14ac:dyDescent="0.25">
      <c r="B26" s="2"/>
      <c r="C26" s="2"/>
      <c r="D26" s="2"/>
      <c r="E26" s="23"/>
      <c r="F26" s="2"/>
      <c r="G26" s="2"/>
    </row>
    <row r="27" spans="2:7" x14ac:dyDescent="0.25">
      <c r="B27" s="2"/>
      <c r="C27" s="2"/>
      <c r="D27" s="2"/>
      <c r="E27" s="23"/>
      <c r="F27" s="2"/>
      <c r="G27" s="2"/>
    </row>
    <row r="28" spans="2:7" x14ac:dyDescent="0.25">
      <c r="B28" s="2"/>
      <c r="C28" s="2"/>
      <c r="D28" s="2"/>
      <c r="E28" s="23"/>
      <c r="F28" s="2"/>
      <c r="G28" s="2"/>
    </row>
    <row r="29" spans="2:7" x14ac:dyDescent="0.25">
      <c r="B29" s="2"/>
      <c r="C29" s="2"/>
      <c r="D29" s="2"/>
      <c r="E29" s="23"/>
      <c r="F29" s="2"/>
      <c r="G29" s="2"/>
    </row>
    <row r="30" spans="2:7" x14ac:dyDescent="0.25">
      <c r="B30" s="2"/>
      <c r="C30" s="2"/>
      <c r="D30" s="2"/>
      <c r="E30" s="2"/>
      <c r="F30" s="2"/>
      <c r="G30" s="2"/>
    </row>
    <row r="31" spans="2:7" x14ac:dyDescent="0.25">
      <c r="B31" s="2"/>
      <c r="C31" s="2"/>
      <c r="D31" s="2"/>
      <c r="E31" s="2"/>
      <c r="F31" s="2"/>
      <c r="G31" s="2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92D050"/>
  </sheetPr>
  <dimension ref="B2:G31"/>
  <sheetViews>
    <sheetView workbookViewId="0">
      <selection activeCell="C10" sqref="C10"/>
    </sheetView>
  </sheetViews>
  <sheetFormatPr defaultRowHeight="15" x14ac:dyDescent="0.25"/>
  <cols>
    <col min="2" max="2" width="18" bestFit="1" customWidth="1"/>
    <col min="3" max="3" width="72" bestFit="1" customWidth="1"/>
    <col min="4" max="4" width="42.140625" bestFit="1" customWidth="1"/>
    <col min="5" max="5" width="11.85546875" bestFit="1" customWidth="1"/>
    <col min="6" max="6" width="8.42578125" bestFit="1" customWidth="1"/>
    <col min="7" max="7" width="11" bestFit="1" customWidth="1"/>
  </cols>
  <sheetData>
    <row r="2" spans="2:7" x14ac:dyDescent="0.25">
      <c r="C2" t="s">
        <v>2528</v>
      </c>
    </row>
    <row r="4" spans="2:7" ht="15.75" x14ac:dyDescent="0.25">
      <c r="B4" s="10" t="s">
        <v>0</v>
      </c>
      <c r="C4" s="11" t="s">
        <v>1</v>
      </c>
      <c r="D4" s="11" t="s">
        <v>2</v>
      </c>
      <c r="E4" s="11" t="s">
        <v>934</v>
      </c>
      <c r="F4" s="11" t="s">
        <v>1095</v>
      </c>
      <c r="G4" s="11" t="s">
        <v>1507</v>
      </c>
    </row>
    <row r="5" spans="2:7" x14ac:dyDescent="0.25">
      <c r="B5" s="3">
        <v>45611</v>
      </c>
      <c r="C5" s="2" t="s">
        <v>1796</v>
      </c>
      <c r="D5" s="2"/>
      <c r="E5" s="23">
        <v>0</v>
      </c>
      <c r="F5" s="2"/>
      <c r="G5" s="2"/>
    </row>
    <row r="6" spans="2:7" x14ac:dyDescent="0.25">
      <c r="B6" s="3">
        <v>45612</v>
      </c>
      <c r="C6" s="2" t="s">
        <v>522</v>
      </c>
      <c r="D6" s="2"/>
      <c r="E6" s="23">
        <v>0</v>
      </c>
      <c r="F6" s="2"/>
      <c r="G6" s="2"/>
    </row>
    <row r="7" spans="2:7" x14ac:dyDescent="0.25">
      <c r="B7" s="3">
        <v>45613</v>
      </c>
      <c r="C7" s="2" t="s">
        <v>2529</v>
      </c>
      <c r="D7" s="2"/>
      <c r="E7" s="23">
        <v>55</v>
      </c>
      <c r="F7" s="2">
        <f>E7-E6</f>
        <v>55</v>
      </c>
      <c r="G7" s="2"/>
    </row>
    <row r="8" spans="2:7" x14ac:dyDescent="0.25">
      <c r="B8" s="3">
        <v>45614</v>
      </c>
      <c r="C8" s="2" t="s">
        <v>2557</v>
      </c>
      <c r="D8" s="2"/>
      <c r="E8" s="23">
        <v>80</v>
      </c>
      <c r="F8" s="2">
        <f>E8-E7</f>
        <v>25</v>
      </c>
      <c r="G8" s="2"/>
    </row>
    <row r="9" spans="2:7" x14ac:dyDescent="0.25">
      <c r="B9" s="3">
        <v>45615</v>
      </c>
      <c r="C9" s="2" t="s">
        <v>2558</v>
      </c>
      <c r="D9" s="2"/>
      <c r="E9" s="23"/>
      <c r="F9" s="2"/>
      <c r="G9" s="2"/>
    </row>
    <row r="10" spans="2:7" x14ac:dyDescent="0.25">
      <c r="B10" s="3">
        <v>45616</v>
      </c>
      <c r="C10" s="2" t="s">
        <v>2559</v>
      </c>
      <c r="D10" s="2"/>
      <c r="E10" s="33"/>
      <c r="F10" s="2"/>
      <c r="G10" s="2"/>
    </row>
    <row r="11" spans="2:7" x14ac:dyDescent="0.25">
      <c r="B11" s="3"/>
      <c r="C11" s="2"/>
      <c r="D11" s="2"/>
      <c r="E11" s="23"/>
      <c r="F11" s="2"/>
      <c r="G11" s="2"/>
    </row>
    <row r="12" spans="2:7" x14ac:dyDescent="0.25">
      <c r="B12" s="3"/>
      <c r="C12" s="2"/>
      <c r="D12" s="2"/>
      <c r="E12" s="23"/>
      <c r="F12" s="2"/>
      <c r="G12" s="2"/>
    </row>
    <row r="13" spans="2:7" x14ac:dyDescent="0.25">
      <c r="B13" s="3"/>
      <c r="C13" s="2"/>
      <c r="D13" s="2"/>
      <c r="E13" s="23"/>
      <c r="F13" s="2"/>
      <c r="G13" s="2"/>
    </row>
    <row r="14" spans="2:7" x14ac:dyDescent="0.25">
      <c r="B14" s="3"/>
      <c r="C14" s="2"/>
      <c r="D14" s="2"/>
      <c r="E14" s="23"/>
      <c r="F14" s="2"/>
      <c r="G14" s="2"/>
    </row>
    <row r="15" spans="2:7" x14ac:dyDescent="0.25">
      <c r="B15" s="3"/>
      <c r="C15" s="2"/>
      <c r="D15" s="2"/>
      <c r="E15" s="23"/>
      <c r="F15" s="2"/>
      <c r="G15" s="2"/>
    </row>
    <row r="16" spans="2:7" x14ac:dyDescent="0.25">
      <c r="B16" s="3"/>
      <c r="C16" s="2"/>
      <c r="D16" s="2"/>
      <c r="E16" s="23"/>
      <c r="F16" s="2"/>
      <c r="G16" s="2"/>
    </row>
    <row r="17" spans="2:7" x14ac:dyDescent="0.25">
      <c r="B17" s="3"/>
      <c r="C17" s="2"/>
      <c r="D17" s="2"/>
      <c r="E17" s="23"/>
      <c r="F17" s="2"/>
      <c r="G17" s="2"/>
    </row>
    <row r="18" spans="2:7" x14ac:dyDescent="0.25">
      <c r="B18" s="3"/>
      <c r="C18" s="2"/>
      <c r="D18" s="2"/>
      <c r="E18" s="23"/>
      <c r="F18" s="2"/>
      <c r="G18" s="2"/>
    </row>
    <row r="19" spans="2:7" x14ac:dyDescent="0.25">
      <c r="B19" s="3"/>
      <c r="C19" s="2"/>
      <c r="D19" s="2"/>
      <c r="E19" s="23"/>
      <c r="F19" s="2"/>
      <c r="G19" s="2"/>
    </row>
    <row r="20" spans="2:7" x14ac:dyDescent="0.25">
      <c r="B20" s="3"/>
      <c r="C20" s="2"/>
      <c r="D20" s="2"/>
      <c r="E20" s="23"/>
      <c r="F20" s="2"/>
      <c r="G20" s="2"/>
    </row>
    <row r="21" spans="2:7" x14ac:dyDescent="0.25">
      <c r="B21" s="3"/>
      <c r="C21" s="2"/>
      <c r="D21" s="2"/>
      <c r="E21" s="23"/>
      <c r="F21" s="2"/>
      <c r="G21" s="2"/>
    </row>
    <row r="22" spans="2:7" x14ac:dyDescent="0.25">
      <c r="B22" s="3"/>
      <c r="C22" s="2"/>
      <c r="D22" s="2"/>
      <c r="E22" s="23"/>
      <c r="F22" s="2"/>
      <c r="G22" s="2"/>
    </row>
    <row r="23" spans="2:7" x14ac:dyDescent="0.25">
      <c r="B23" s="3"/>
      <c r="C23" s="2"/>
      <c r="D23" s="2"/>
      <c r="E23" s="23"/>
      <c r="F23" s="2"/>
      <c r="G23" s="2"/>
    </row>
    <row r="24" spans="2:7" x14ac:dyDescent="0.25">
      <c r="B24" s="3"/>
      <c r="C24" s="2"/>
      <c r="D24" s="2"/>
      <c r="E24" s="23"/>
      <c r="F24" s="2"/>
      <c r="G24" s="2"/>
    </row>
    <row r="25" spans="2:7" x14ac:dyDescent="0.25">
      <c r="B25" s="3"/>
      <c r="C25" s="2"/>
      <c r="D25" s="2"/>
      <c r="E25" s="23"/>
      <c r="F25" s="2"/>
      <c r="G25" s="2"/>
    </row>
    <row r="26" spans="2:7" x14ac:dyDescent="0.25">
      <c r="B26" s="2"/>
      <c r="C26" s="2"/>
      <c r="D26" s="2"/>
      <c r="E26" s="23"/>
      <c r="F26" s="2"/>
      <c r="G26" s="2"/>
    </row>
    <row r="27" spans="2:7" x14ac:dyDescent="0.25">
      <c r="B27" s="2"/>
      <c r="C27" s="2"/>
      <c r="D27" s="2"/>
      <c r="E27" s="23"/>
      <c r="F27" s="2"/>
      <c r="G27" s="2"/>
    </row>
    <row r="28" spans="2:7" x14ac:dyDescent="0.25">
      <c r="B28" s="2"/>
      <c r="C28" s="2"/>
      <c r="D28" s="2"/>
      <c r="E28" s="23"/>
      <c r="F28" s="2"/>
      <c r="G28" s="2"/>
    </row>
    <row r="29" spans="2:7" x14ac:dyDescent="0.25">
      <c r="B29" s="2"/>
      <c r="C29" s="2"/>
      <c r="D29" s="2"/>
      <c r="E29" s="23"/>
      <c r="F29" s="2"/>
      <c r="G29" s="2"/>
    </row>
    <row r="30" spans="2:7" x14ac:dyDescent="0.25">
      <c r="B30" s="2"/>
      <c r="C30" s="2"/>
      <c r="D30" s="2"/>
      <c r="E30" s="2"/>
      <c r="F30" s="2"/>
      <c r="G30" s="2"/>
    </row>
    <row r="31" spans="2:7" x14ac:dyDescent="0.25">
      <c r="B31" s="2"/>
      <c r="C31" s="2"/>
      <c r="D31" s="2"/>
      <c r="E31" s="2"/>
      <c r="F31" s="2"/>
      <c r="G31" s="2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theme="7" tint="0.39997558519241921"/>
  </sheetPr>
  <dimension ref="B2:G31"/>
  <sheetViews>
    <sheetView topLeftCell="A4" workbookViewId="0">
      <selection activeCell="C12" sqref="C12"/>
    </sheetView>
  </sheetViews>
  <sheetFormatPr defaultRowHeight="15" x14ac:dyDescent="0.25"/>
  <cols>
    <col min="2" max="2" width="18" bestFit="1" customWidth="1"/>
    <col min="3" max="3" width="72" bestFit="1" customWidth="1"/>
    <col min="4" max="4" width="42.140625" bestFit="1" customWidth="1"/>
    <col min="5" max="5" width="11.85546875" bestFit="1" customWidth="1"/>
    <col min="6" max="6" width="8.42578125" bestFit="1" customWidth="1"/>
    <col min="7" max="7" width="11" bestFit="1" customWidth="1"/>
  </cols>
  <sheetData>
    <row r="2" spans="2:7" x14ac:dyDescent="0.25">
      <c r="C2" t="s">
        <v>2528</v>
      </c>
    </row>
    <row r="4" spans="2:7" ht="15.75" x14ac:dyDescent="0.25">
      <c r="B4" s="10" t="s">
        <v>0</v>
      </c>
      <c r="C4" s="11" t="s">
        <v>1</v>
      </c>
      <c r="D4" s="11" t="s">
        <v>2</v>
      </c>
      <c r="E4" s="11" t="s">
        <v>934</v>
      </c>
      <c r="F4" s="11" t="s">
        <v>1095</v>
      </c>
      <c r="G4" s="11" t="s">
        <v>1507</v>
      </c>
    </row>
    <row r="5" spans="2:7" x14ac:dyDescent="0.25">
      <c r="B5" s="3">
        <v>45624</v>
      </c>
      <c r="C5" s="2" t="s">
        <v>1528</v>
      </c>
      <c r="D5" s="2"/>
      <c r="E5" s="23">
        <v>0</v>
      </c>
      <c r="F5" s="2"/>
      <c r="G5" s="2"/>
    </row>
    <row r="6" spans="2:7" x14ac:dyDescent="0.25">
      <c r="B6" s="3">
        <v>45625</v>
      </c>
      <c r="C6" s="2" t="s">
        <v>2649</v>
      </c>
      <c r="D6" s="2"/>
      <c r="E6" s="23">
        <v>35</v>
      </c>
      <c r="F6" s="2">
        <f>E6-E5</f>
        <v>35</v>
      </c>
      <c r="G6" s="2"/>
    </row>
    <row r="7" spans="2:7" x14ac:dyDescent="0.25">
      <c r="B7" s="3">
        <v>45626</v>
      </c>
      <c r="C7" s="2"/>
      <c r="D7" s="2"/>
      <c r="E7" s="23">
        <v>35</v>
      </c>
      <c r="F7" s="2">
        <f t="shared" ref="F7:F16" si="0">E7-E6</f>
        <v>0</v>
      </c>
      <c r="G7" s="2"/>
    </row>
    <row r="8" spans="2:7" x14ac:dyDescent="0.25">
      <c r="B8" s="3">
        <v>45627</v>
      </c>
      <c r="C8" s="2"/>
      <c r="D8" s="2"/>
      <c r="E8" s="23">
        <v>35</v>
      </c>
      <c r="F8" s="2">
        <f t="shared" si="0"/>
        <v>0</v>
      </c>
      <c r="G8" s="2"/>
    </row>
    <row r="9" spans="2:7" x14ac:dyDescent="0.25">
      <c r="B9" s="3">
        <v>45628</v>
      </c>
      <c r="C9" s="2" t="s">
        <v>2668</v>
      </c>
      <c r="D9" s="2" t="s">
        <v>2669</v>
      </c>
      <c r="E9" s="23">
        <v>80</v>
      </c>
      <c r="F9" s="2">
        <f t="shared" si="0"/>
        <v>45</v>
      </c>
      <c r="G9" s="2"/>
    </row>
    <row r="10" spans="2:7" x14ac:dyDescent="0.25">
      <c r="B10" s="3">
        <v>45629</v>
      </c>
      <c r="C10" s="2"/>
      <c r="D10" s="2"/>
      <c r="E10" s="23">
        <v>80</v>
      </c>
      <c r="F10" s="2">
        <f t="shared" si="0"/>
        <v>0</v>
      </c>
      <c r="G10" s="2"/>
    </row>
    <row r="11" spans="2:7" x14ac:dyDescent="0.25">
      <c r="B11" s="3">
        <v>45630</v>
      </c>
      <c r="C11" s="2" t="s">
        <v>2695</v>
      </c>
      <c r="D11" s="2"/>
      <c r="E11" s="23">
        <v>111</v>
      </c>
      <c r="F11" s="2">
        <f t="shared" si="0"/>
        <v>31</v>
      </c>
      <c r="G11" s="2"/>
    </row>
    <row r="12" spans="2:7" x14ac:dyDescent="0.25">
      <c r="B12" s="3">
        <v>45631</v>
      </c>
      <c r="C12" s="2" t="s">
        <v>2701</v>
      </c>
      <c r="D12" s="2"/>
      <c r="E12" s="23">
        <v>130</v>
      </c>
      <c r="F12" s="2">
        <f t="shared" si="0"/>
        <v>19</v>
      </c>
      <c r="G12" s="2"/>
    </row>
    <row r="13" spans="2:7" x14ac:dyDescent="0.25">
      <c r="B13" s="3">
        <v>45632</v>
      </c>
      <c r="C13" s="2" t="s">
        <v>2116</v>
      </c>
      <c r="D13" s="2"/>
      <c r="E13" s="23"/>
      <c r="F13" s="2">
        <f t="shared" si="0"/>
        <v>-130</v>
      </c>
      <c r="G13" s="2"/>
    </row>
    <row r="14" spans="2:7" x14ac:dyDescent="0.25">
      <c r="B14" s="3">
        <v>45633</v>
      </c>
      <c r="C14" s="2" t="s">
        <v>1166</v>
      </c>
      <c r="D14" s="2"/>
      <c r="E14" s="23"/>
      <c r="F14" s="2">
        <f t="shared" si="0"/>
        <v>0</v>
      </c>
      <c r="G14" s="2"/>
    </row>
    <row r="15" spans="2:7" x14ac:dyDescent="0.25">
      <c r="B15" s="3"/>
      <c r="C15" s="2"/>
      <c r="D15" s="2"/>
      <c r="E15" s="23"/>
      <c r="F15" s="2">
        <f t="shared" si="0"/>
        <v>0</v>
      </c>
      <c r="G15" s="2"/>
    </row>
    <row r="16" spans="2:7" x14ac:dyDescent="0.25">
      <c r="B16" s="3"/>
      <c r="C16" s="2"/>
      <c r="D16" s="2"/>
      <c r="E16" s="23"/>
      <c r="F16" s="2">
        <f t="shared" si="0"/>
        <v>0</v>
      </c>
      <c r="G16" s="2"/>
    </row>
    <row r="17" spans="2:7" x14ac:dyDescent="0.25">
      <c r="B17" s="3"/>
      <c r="C17" s="2"/>
      <c r="D17" s="2"/>
      <c r="E17" s="23"/>
      <c r="F17" s="2"/>
      <c r="G17" s="2"/>
    </row>
    <row r="18" spans="2:7" x14ac:dyDescent="0.25">
      <c r="B18" s="3"/>
      <c r="C18" s="2"/>
      <c r="D18" s="2"/>
      <c r="E18" s="23"/>
      <c r="F18" s="2"/>
      <c r="G18" s="2"/>
    </row>
    <row r="19" spans="2:7" x14ac:dyDescent="0.25">
      <c r="B19" s="3"/>
      <c r="C19" s="2"/>
      <c r="D19" s="2"/>
      <c r="E19" s="23"/>
      <c r="F19" s="2"/>
      <c r="G19" s="2"/>
    </row>
    <row r="20" spans="2:7" x14ac:dyDescent="0.25">
      <c r="B20" s="3"/>
      <c r="C20" s="2"/>
      <c r="D20" s="2"/>
      <c r="E20" s="23"/>
      <c r="F20" s="2"/>
      <c r="G20" s="2"/>
    </row>
    <row r="21" spans="2:7" x14ac:dyDescent="0.25">
      <c r="B21" s="3"/>
      <c r="C21" s="2"/>
      <c r="D21" s="2"/>
      <c r="E21" s="23"/>
      <c r="F21" s="2"/>
      <c r="G21" s="2"/>
    </row>
    <row r="22" spans="2:7" x14ac:dyDescent="0.25">
      <c r="B22" s="3"/>
      <c r="C22" s="2"/>
      <c r="D22" s="2"/>
      <c r="E22" s="23"/>
      <c r="F22" s="2"/>
      <c r="G22" s="2"/>
    </row>
    <row r="23" spans="2:7" x14ac:dyDescent="0.25">
      <c r="B23" s="3"/>
      <c r="C23" s="2"/>
      <c r="D23" s="2"/>
      <c r="E23" s="23"/>
      <c r="F23" s="2"/>
      <c r="G23" s="2"/>
    </row>
    <row r="24" spans="2:7" x14ac:dyDescent="0.25">
      <c r="B24" s="3"/>
      <c r="C24" s="2"/>
      <c r="D24" s="2"/>
      <c r="E24" s="23"/>
      <c r="F24" s="2"/>
      <c r="G24" s="2"/>
    </row>
    <row r="25" spans="2:7" x14ac:dyDescent="0.25">
      <c r="B25" s="3"/>
      <c r="C25" s="2"/>
      <c r="D25" s="2"/>
      <c r="E25" s="23"/>
      <c r="F25" s="2"/>
      <c r="G25" s="2"/>
    </row>
    <row r="26" spans="2:7" x14ac:dyDescent="0.25">
      <c r="B26" s="2"/>
      <c r="C26" s="2"/>
      <c r="D26" s="2"/>
      <c r="E26" s="23"/>
      <c r="F26" s="2"/>
      <c r="G26" s="2"/>
    </row>
    <row r="27" spans="2:7" x14ac:dyDescent="0.25">
      <c r="B27" s="2"/>
      <c r="C27" s="2"/>
      <c r="D27" s="2"/>
      <c r="E27" s="23"/>
      <c r="F27" s="2"/>
      <c r="G27" s="2"/>
    </row>
    <row r="28" spans="2:7" x14ac:dyDescent="0.25">
      <c r="B28" s="2"/>
      <c r="C28" s="2"/>
      <c r="D28" s="2"/>
      <c r="E28" s="23"/>
      <c r="F28" s="2"/>
      <c r="G28" s="2"/>
    </row>
    <row r="29" spans="2:7" x14ac:dyDescent="0.25">
      <c r="B29" s="2"/>
      <c r="C29" s="2"/>
      <c r="D29" s="2"/>
      <c r="E29" s="23"/>
      <c r="F29" s="2"/>
      <c r="G29" s="2"/>
    </row>
    <row r="30" spans="2:7" x14ac:dyDescent="0.25">
      <c r="B30" s="2"/>
      <c r="C30" s="2"/>
      <c r="D30" s="2"/>
      <c r="E30" s="2"/>
      <c r="F30" s="2"/>
      <c r="G30" s="2"/>
    </row>
    <row r="31" spans="2:7" x14ac:dyDescent="0.25">
      <c r="B31" s="2"/>
      <c r="C31" s="2"/>
      <c r="D31" s="2"/>
      <c r="E31" s="2"/>
      <c r="F31" s="2"/>
      <c r="G31" s="2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B2:G41"/>
  <sheetViews>
    <sheetView topLeftCell="A22" workbookViewId="0">
      <selection activeCell="C31" sqref="C31"/>
    </sheetView>
  </sheetViews>
  <sheetFormatPr defaultRowHeight="15" x14ac:dyDescent="0.25"/>
  <cols>
    <col min="2" max="2" width="18" bestFit="1" customWidth="1"/>
    <col min="3" max="3" width="72" bestFit="1" customWidth="1"/>
    <col min="4" max="4" width="42.140625" bestFit="1" customWidth="1"/>
    <col min="5" max="5" width="11.85546875" bestFit="1" customWidth="1"/>
    <col min="6" max="6" width="8.42578125" bestFit="1" customWidth="1"/>
    <col min="7" max="7" width="11" bestFit="1" customWidth="1"/>
  </cols>
  <sheetData>
    <row r="2" spans="2:7" x14ac:dyDescent="0.25">
      <c r="C2" t="s">
        <v>3122</v>
      </c>
    </row>
    <row r="4" spans="2:7" ht="15.75" x14ac:dyDescent="0.25">
      <c r="B4" s="10" t="s">
        <v>0</v>
      </c>
      <c r="C4" s="11" t="s">
        <v>1</v>
      </c>
      <c r="D4" s="11" t="s">
        <v>2</v>
      </c>
      <c r="E4" s="11" t="s">
        <v>934</v>
      </c>
      <c r="F4" s="11" t="s">
        <v>1095</v>
      </c>
      <c r="G4" s="11" t="s">
        <v>1507</v>
      </c>
    </row>
    <row r="5" spans="2:7" x14ac:dyDescent="0.25">
      <c r="B5" s="4">
        <v>45668</v>
      </c>
      <c r="C5" s="2" t="s">
        <v>1528</v>
      </c>
      <c r="D5" s="2"/>
      <c r="E5" s="2"/>
      <c r="F5" s="2"/>
      <c r="G5" s="2"/>
    </row>
    <row r="6" spans="2:7" x14ac:dyDescent="0.25">
      <c r="B6" s="4">
        <v>45669</v>
      </c>
      <c r="C6" s="2" t="s">
        <v>1545</v>
      </c>
      <c r="D6" s="2"/>
      <c r="E6" s="23">
        <v>0</v>
      </c>
      <c r="F6" s="2">
        <f t="shared" ref="F6:F8" si="0">E6-E5</f>
        <v>0</v>
      </c>
      <c r="G6" s="2"/>
    </row>
    <row r="7" spans="2:7" x14ac:dyDescent="0.25">
      <c r="B7" s="4">
        <v>45670</v>
      </c>
      <c r="C7" s="2" t="s">
        <v>3123</v>
      </c>
      <c r="D7" s="2"/>
      <c r="E7" s="23">
        <v>50</v>
      </c>
      <c r="F7" s="2">
        <f t="shared" si="0"/>
        <v>50</v>
      </c>
      <c r="G7" s="2"/>
    </row>
    <row r="8" spans="2:7" x14ac:dyDescent="0.25">
      <c r="B8" s="4">
        <v>45671</v>
      </c>
      <c r="C8" s="2" t="s">
        <v>3135</v>
      </c>
      <c r="D8" s="2" t="s">
        <v>3136</v>
      </c>
      <c r="E8" s="23">
        <v>90</v>
      </c>
      <c r="F8" s="2">
        <f t="shared" si="0"/>
        <v>40</v>
      </c>
      <c r="G8" s="2"/>
    </row>
    <row r="9" spans="2:7" x14ac:dyDescent="0.25">
      <c r="B9" s="4">
        <v>45672</v>
      </c>
      <c r="C9" s="2" t="s">
        <v>3139</v>
      </c>
      <c r="D9" s="2" t="s">
        <v>3161</v>
      </c>
      <c r="E9" s="23">
        <v>110</v>
      </c>
      <c r="F9" s="2">
        <f>E9-E8</f>
        <v>20</v>
      </c>
      <c r="G9" s="2"/>
    </row>
    <row r="10" spans="2:7" x14ac:dyDescent="0.25">
      <c r="B10" s="4">
        <v>45673</v>
      </c>
      <c r="C10" s="2" t="s">
        <v>3160</v>
      </c>
      <c r="D10" s="2"/>
      <c r="E10" s="23">
        <v>60</v>
      </c>
      <c r="F10" s="2">
        <f t="shared" ref="F10:F18" si="1">E10-E9</f>
        <v>-50</v>
      </c>
      <c r="G10" s="2"/>
    </row>
    <row r="11" spans="2:7" x14ac:dyDescent="0.25">
      <c r="B11" s="4">
        <v>45674</v>
      </c>
      <c r="C11" s="2" t="s">
        <v>3168</v>
      </c>
      <c r="D11" s="2"/>
      <c r="E11" s="23">
        <v>80</v>
      </c>
      <c r="F11" s="2">
        <f t="shared" si="1"/>
        <v>20</v>
      </c>
      <c r="G11" s="2"/>
    </row>
    <row r="12" spans="2:7" x14ac:dyDescent="0.25">
      <c r="B12" s="4">
        <v>45675</v>
      </c>
      <c r="C12" s="2" t="s">
        <v>3183</v>
      </c>
      <c r="D12" s="2"/>
      <c r="E12" s="23">
        <v>120</v>
      </c>
      <c r="F12" s="2">
        <f t="shared" si="1"/>
        <v>40</v>
      </c>
      <c r="G12" s="2"/>
    </row>
    <row r="13" spans="2:7" x14ac:dyDescent="0.25">
      <c r="B13" s="4">
        <v>45676</v>
      </c>
      <c r="C13" s="2" t="s">
        <v>3191</v>
      </c>
      <c r="D13" s="2"/>
      <c r="E13" s="23">
        <v>120</v>
      </c>
      <c r="F13" s="2">
        <f t="shared" si="1"/>
        <v>0</v>
      </c>
      <c r="G13" s="2"/>
    </row>
    <row r="14" spans="2:7" x14ac:dyDescent="0.25">
      <c r="B14" s="4">
        <v>45677</v>
      </c>
      <c r="C14" s="2" t="s">
        <v>3191</v>
      </c>
      <c r="D14" s="2"/>
      <c r="E14" s="23">
        <v>120</v>
      </c>
      <c r="F14" s="2">
        <f t="shared" si="1"/>
        <v>0</v>
      </c>
      <c r="G14" s="2"/>
    </row>
    <row r="15" spans="2:7" x14ac:dyDescent="0.25">
      <c r="B15" s="4">
        <v>45678</v>
      </c>
      <c r="C15" s="2" t="s">
        <v>3191</v>
      </c>
      <c r="D15" s="2" t="s">
        <v>3193</v>
      </c>
      <c r="E15" s="23">
        <v>120</v>
      </c>
      <c r="F15" s="2">
        <f t="shared" si="1"/>
        <v>0</v>
      </c>
      <c r="G15" s="2"/>
    </row>
    <row r="16" spans="2:7" x14ac:dyDescent="0.25">
      <c r="B16" s="4">
        <v>45679</v>
      </c>
      <c r="C16" s="2" t="s">
        <v>3198</v>
      </c>
      <c r="D16" s="2" t="s">
        <v>3199</v>
      </c>
      <c r="E16" s="23">
        <v>120</v>
      </c>
      <c r="F16" s="2">
        <f t="shared" si="1"/>
        <v>0</v>
      </c>
      <c r="G16" s="2"/>
    </row>
    <row r="17" spans="2:7" x14ac:dyDescent="0.25">
      <c r="B17" s="4">
        <v>45680</v>
      </c>
      <c r="C17" s="2" t="s">
        <v>3245</v>
      </c>
      <c r="D17" s="2"/>
      <c r="E17" s="23">
        <v>120</v>
      </c>
      <c r="F17" s="2">
        <f t="shared" si="1"/>
        <v>0</v>
      </c>
      <c r="G17" s="2"/>
    </row>
    <row r="18" spans="2:7" x14ac:dyDescent="0.25">
      <c r="B18" s="4">
        <v>45681</v>
      </c>
      <c r="C18" s="2" t="s">
        <v>3246</v>
      </c>
      <c r="D18" s="2"/>
      <c r="E18" s="23">
        <v>120</v>
      </c>
      <c r="F18" s="2">
        <f t="shared" si="1"/>
        <v>0</v>
      </c>
      <c r="G18" s="2"/>
    </row>
    <row r="19" spans="2:7" x14ac:dyDescent="0.25">
      <c r="B19" s="4">
        <v>45682</v>
      </c>
      <c r="C19" s="2" t="s">
        <v>3247</v>
      </c>
      <c r="D19" s="2"/>
      <c r="E19" s="23">
        <v>120</v>
      </c>
      <c r="F19" s="2"/>
      <c r="G19" s="2"/>
    </row>
    <row r="20" spans="2:7" x14ac:dyDescent="0.25">
      <c r="B20" s="4">
        <v>45683</v>
      </c>
      <c r="C20" s="2" t="s">
        <v>480</v>
      </c>
      <c r="D20" s="2"/>
      <c r="E20" s="23">
        <v>120</v>
      </c>
      <c r="F20" s="2"/>
      <c r="G20" s="2"/>
    </row>
    <row r="21" spans="2:7" x14ac:dyDescent="0.25">
      <c r="B21" s="4">
        <v>45684</v>
      </c>
      <c r="C21" s="2" t="s">
        <v>1524</v>
      </c>
      <c r="D21" s="2"/>
      <c r="E21" s="23">
        <v>120</v>
      </c>
      <c r="F21" s="2"/>
      <c r="G21" s="2"/>
    </row>
    <row r="22" spans="2:7" x14ac:dyDescent="0.25">
      <c r="B22" s="4">
        <v>45685</v>
      </c>
      <c r="C22" s="2" t="s">
        <v>3248</v>
      </c>
      <c r="D22" s="2"/>
      <c r="E22" s="23">
        <v>120</v>
      </c>
      <c r="F22" s="2"/>
      <c r="G22" s="2"/>
    </row>
    <row r="23" spans="2:7" x14ac:dyDescent="0.25">
      <c r="B23" s="4">
        <v>45686</v>
      </c>
      <c r="C23" s="2" t="s">
        <v>149</v>
      </c>
      <c r="D23" s="2"/>
      <c r="E23" s="23">
        <v>120</v>
      </c>
      <c r="F23" s="2"/>
      <c r="G23" s="2"/>
    </row>
    <row r="24" spans="2:7" x14ac:dyDescent="0.25">
      <c r="B24" s="4">
        <v>45687</v>
      </c>
      <c r="C24" s="2" t="s">
        <v>1178</v>
      </c>
      <c r="D24" s="2"/>
      <c r="E24" s="23">
        <v>120</v>
      </c>
      <c r="F24" s="2"/>
      <c r="G24" s="2"/>
    </row>
    <row r="25" spans="2:7" x14ac:dyDescent="0.25">
      <c r="B25" s="4">
        <v>45688</v>
      </c>
      <c r="C25" s="2" t="s">
        <v>3265</v>
      </c>
      <c r="D25" s="2"/>
      <c r="E25" s="23">
        <v>120</v>
      </c>
      <c r="F25" s="2"/>
      <c r="G25" s="2"/>
    </row>
    <row r="26" spans="2:7" x14ac:dyDescent="0.25">
      <c r="B26" s="4">
        <v>45689</v>
      </c>
      <c r="C26" s="2" t="s">
        <v>3265</v>
      </c>
      <c r="D26" s="2"/>
      <c r="E26" s="23">
        <v>120</v>
      </c>
      <c r="F26" s="2"/>
      <c r="G26" s="2"/>
    </row>
    <row r="27" spans="2:7" x14ac:dyDescent="0.25">
      <c r="B27" s="4">
        <v>45690</v>
      </c>
      <c r="C27" s="2"/>
      <c r="D27" s="2"/>
      <c r="E27" s="23">
        <v>120</v>
      </c>
      <c r="F27" s="2"/>
      <c r="G27" s="2"/>
    </row>
    <row r="28" spans="2:7" x14ac:dyDescent="0.25">
      <c r="B28" s="4">
        <v>45691</v>
      </c>
      <c r="C28" s="2" t="s">
        <v>3266</v>
      </c>
      <c r="D28" s="2"/>
      <c r="E28" s="23">
        <v>120</v>
      </c>
      <c r="F28" s="2"/>
      <c r="G28" s="2"/>
    </row>
    <row r="29" spans="2:7" x14ac:dyDescent="0.25">
      <c r="B29" s="4">
        <v>45692</v>
      </c>
      <c r="C29" s="2" t="s">
        <v>1166</v>
      </c>
      <c r="D29" s="2"/>
      <c r="E29" s="2"/>
      <c r="F29" s="2"/>
      <c r="G29" s="2"/>
    </row>
    <row r="30" spans="2:7" x14ac:dyDescent="0.25">
      <c r="B30" s="4">
        <v>45693</v>
      </c>
      <c r="C30" s="2" t="s">
        <v>1166</v>
      </c>
      <c r="D30" s="2"/>
      <c r="E30" s="2"/>
      <c r="F30" s="2"/>
      <c r="G30" s="2"/>
    </row>
    <row r="31" spans="2:7" x14ac:dyDescent="0.25">
      <c r="B31" s="4">
        <v>45694</v>
      </c>
      <c r="C31" s="2" t="s">
        <v>1166</v>
      </c>
      <c r="D31" s="2"/>
      <c r="E31" s="2"/>
      <c r="F31" s="2"/>
      <c r="G31" s="2"/>
    </row>
    <row r="32" spans="2:7" x14ac:dyDescent="0.25">
      <c r="B32" s="4">
        <v>45695</v>
      </c>
      <c r="C32" s="2"/>
      <c r="D32" s="2"/>
      <c r="E32" s="2"/>
      <c r="F32" s="2"/>
      <c r="G32" s="2"/>
    </row>
    <row r="33" spans="2:7" x14ac:dyDescent="0.25">
      <c r="B33" s="4">
        <v>45696</v>
      </c>
      <c r="C33" s="2"/>
      <c r="D33" s="2"/>
      <c r="E33" s="2"/>
      <c r="F33" s="2"/>
      <c r="G33" s="2"/>
    </row>
    <row r="34" spans="2:7" x14ac:dyDescent="0.25">
      <c r="B34" s="2"/>
      <c r="C34" s="2"/>
      <c r="D34" s="2"/>
      <c r="E34" s="2"/>
      <c r="F34" s="2"/>
      <c r="G34" s="2"/>
    </row>
    <row r="35" spans="2:7" x14ac:dyDescent="0.25">
      <c r="B35" s="2"/>
      <c r="C35" s="2"/>
      <c r="D35" s="2"/>
      <c r="E35" s="2"/>
      <c r="F35" s="2"/>
      <c r="G35" s="2"/>
    </row>
    <row r="36" spans="2:7" x14ac:dyDescent="0.25">
      <c r="B36" s="2"/>
      <c r="C36" s="2"/>
      <c r="D36" s="2"/>
      <c r="E36" s="2"/>
      <c r="F36" s="2"/>
      <c r="G36" s="2"/>
    </row>
    <row r="37" spans="2:7" x14ac:dyDescent="0.25">
      <c r="B37" s="2"/>
      <c r="C37" s="2"/>
      <c r="D37" s="2"/>
      <c r="E37" s="2"/>
      <c r="F37" s="2"/>
      <c r="G37" s="2"/>
    </row>
    <row r="38" spans="2:7" x14ac:dyDescent="0.25">
      <c r="B38" s="2"/>
      <c r="C38" s="2"/>
      <c r="D38" s="2"/>
      <c r="E38" s="2"/>
      <c r="F38" s="2"/>
      <c r="G38" s="2"/>
    </row>
    <row r="39" spans="2:7" x14ac:dyDescent="0.25">
      <c r="B39" s="2"/>
      <c r="C39" s="2"/>
      <c r="D39" s="2"/>
      <c r="E39" s="2"/>
      <c r="F39" s="2"/>
      <c r="G39" s="2"/>
    </row>
    <row r="40" spans="2:7" x14ac:dyDescent="0.25">
      <c r="B40" s="2"/>
      <c r="C40" s="2"/>
      <c r="D40" s="2"/>
      <c r="E40" s="2"/>
      <c r="F40" s="2"/>
      <c r="G40" s="2"/>
    </row>
    <row r="41" spans="2:7" x14ac:dyDescent="0.25">
      <c r="B41" s="2"/>
      <c r="C41" s="2"/>
      <c r="D41" s="2"/>
      <c r="E41" s="2"/>
      <c r="F41" s="2"/>
      <c r="G41" s="2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theme="9" tint="0.39997558519241921"/>
  </sheetPr>
  <dimension ref="A1"/>
  <sheetViews>
    <sheetView workbookViewId="0">
      <selection activeCell="P9" sqref="P9"/>
    </sheetView>
  </sheetViews>
  <sheetFormatPr defaultRowHeight="15" x14ac:dyDescent="0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B2:G33"/>
  <sheetViews>
    <sheetView topLeftCell="A16" workbookViewId="0">
      <selection activeCell="D27" sqref="D27"/>
    </sheetView>
  </sheetViews>
  <sheetFormatPr defaultRowHeight="15" x14ac:dyDescent="0.25"/>
  <cols>
    <col min="2" max="2" width="18" bestFit="1" customWidth="1"/>
    <col min="3" max="3" width="72" bestFit="1" customWidth="1"/>
    <col min="4" max="4" width="42.140625" bestFit="1" customWidth="1"/>
    <col min="5" max="5" width="11.85546875" bestFit="1" customWidth="1"/>
    <col min="6" max="6" width="8.42578125" bestFit="1" customWidth="1"/>
    <col min="7" max="7" width="11" bestFit="1" customWidth="1"/>
  </cols>
  <sheetData>
    <row r="2" spans="2:7" x14ac:dyDescent="0.25">
      <c r="C2" t="s">
        <v>3282</v>
      </c>
    </row>
    <row r="4" spans="2:7" ht="15.75" x14ac:dyDescent="0.25">
      <c r="B4" s="10" t="s">
        <v>0</v>
      </c>
      <c r="C4" s="11" t="s">
        <v>1</v>
      </c>
      <c r="D4" s="11" t="s">
        <v>2</v>
      </c>
      <c r="E4" s="11" t="s">
        <v>934</v>
      </c>
      <c r="F4" s="11" t="s">
        <v>1095</v>
      </c>
      <c r="G4" s="11" t="s">
        <v>1507</v>
      </c>
    </row>
    <row r="5" spans="2:7" x14ac:dyDescent="0.25">
      <c r="B5" s="4">
        <v>45688</v>
      </c>
      <c r="C5" s="2" t="s">
        <v>1528</v>
      </c>
      <c r="D5" s="2"/>
      <c r="E5" s="23">
        <v>0</v>
      </c>
      <c r="F5" s="2"/>
      <c r="G5" s="2"/>
    </row>
    <row r="6" spans="2:7" x14ac:dyDescent="0.25">
      <c r="B6" s="4">
        <v>45691</v>
      </c>
      <c r="C6" s="2" t="s">
        <v>3283</v>
      </c>
      <c r="D6" s="2"/>
      <c r="E6" s="23">
        <v>24</v>
      </c>
      <c r="F6" s="2">
        <f t="shared" ref="F6:F8" si="0">E6-E5</f>
        <v>24</v>
      </c>
      <c r="G6" s="2"/>
    </row>
    <row r="7" spans="2:7" x14ac:dyDescent="0.25">
      <c r="B7" s="4">
        <v>45692</v>
      </c>
      <c r="C7" s="2" t="s">
        <v>3299</v>
      </c>
      <c r="D7" s="2"/>
      <c r="E7" s="23">
        <v>40</v>
      </c>
      <c r="F7" s="2">
        <f t="shared" si="0"/>
        <v>16</v>
      </c>
      <c r="G7" s="2"/>
    </row>
    <row r="8" spans="2:7" x14ac:dyDescent="0.25">
      <c r="B8" s="4">
        <v>45693</v>
      </c>
      <c r="C8" s="2" t="s">
        <v>3300</v>
      </c>
      <c r="D8" s="2"/>
      <c r="E8" s="23">
        <v>58</v>
      </c>
      <c r="F8" s="2">
        <f t="shared" si="0"/>
        <v>18</v>
      </c>
      <c r="G8" s="2"/>
    </row>
    <row r="9" spans="2:7" x14ac:dyDescent="0.25">
      <c r="B9" s="4">
        <v>45694</v>
      </c>
      <c r="C9" s="2" t="s">
        <v>3311</v>
      </c>
      <c r="D9" s="2"/>
      <c r="E9" s="23">
        <v>85</v>
      </c>
      <c r="F9" s="2">
        <f>E9-E8</f>
        <v>27</v>
      </c>
      <c r="G9" s="2"/>
    </row>
    <row r="10" spans="2:7" x14ac:dyDescent="0.25">
      <c r="B10" s="4">
        <v>45695</v>
      </c>
      <c r="C10" s="2" t="s">
        <v>3315</v>
      </c>
      <c r="D10" s="2"/>
      <c r="E10" s="23">
        <v>120</v>
      </c>
      <c r="F10" s="2">
        <f t="shared" ref="F10:F21" si="1">E10-E9</f>
        <v>35</v>
      </c>
      <c r="G10" s="2"/>
    </row>
    <row r="11" spans="2:7" x14ac:dyDescent="0.25">
      <c r="B11" s="4">
        <v>45696</v>
      </c>
      <c r="C11" s="2"/>
      <c r="D11" s="2"/>
      <c r="E11" s="23">
        <v>120</v>
      </c>
      <c r="F11" s="2">
        <f t="shared" si="1"/>
        <v>0</v>
      </c>
      <c r="G11" s="2"/>
    </row>
    <row r="12" spans="2:7" x14ac:dyDescent="0.25">
      <c r="B12" s="4">
        <v>45697</v>
      </c>
      <c r="C12" s="2"/>
      <c r="D12" s="2"/>
      <c r="E12" s="23">
        <v>120</v>
      </c>
      <c r="F12" s="2">
        <f t="shared" si="1"/>
        <v>0</v>
      </c>
      <c r="G12" s="2"/>
    </row>
    <row r="13" spans="2:7" x14ac:dyDescent="0.25">
      <c r="B13" s="4">
        <v>45698</v>
      </c>
      <c r="C13" s="2"/>
      <c r="D13" s="2"/>
      <c r="E13" s="23">
        <v>120</v>
      </c>
      <c r="F13" s="2">
        <f t="shared" si="1"/>
        <v>0</v>
      </c>
      <c r="G13" s="2"/>
    </row>
    <row r="14" spans="2:7" x14ac:dyDescent="0.25">
      <c r="B14" s="4">
        <v>45699</v>
      </c>
      <c r="C14" s="2" t="s">
        <v>2381</v>
      </c>
      <c r="D14" s="2"/>
      <c r="E14" s="23">
        <v>120</v>
      </c>
      <c r="F14" s="2">
        <f t="shared" si="1"/>
        <v>0</v>
      </c>
      <c r="G14" s="2"/>
    </row>
    <row r="15" spans="2:7" x14ac:dyDescent="0.25">
      <c r="B15" s="4">
        <v>45700</v>
      </c>
      <c r="C15" s="2"/>
      <c r="D15" s="2"/>
      <c r="E15" s="23">
        <v>120</v>
      </c>
      <c r="F15" s="2">
        <f t="shared" si="1"/>
        <v>0</v>
      </c>
      <c r="G15" s="2"/>
    </row>
    <row r="16" spans="2:7" x14ac:dyDescent="0.25">
      <c r="B16" s="4">
        <v>45701</v>
      </c>
      <c r="C16" s="2" t="s">
        <v>1178</v>
      </c>
      <c r="D16" s="2"/>
      <c r="E16" s="23">
        <v>120</v>
      </c>
      <c r="F16" s="2">
        <f t="shared" si="1"/>
        <v>0</v>
      </c>
      <c r="G16" s="2"/>
    </row>
    <row r="17" spans="2:7" x14ac:dyDescent="0.25">
      <c r="B17" s="4">
        <v>45702</v>
      </c>
      <c r="C17" s="2"/>
      <c r="D17" s="2"/>
      <c r="E17" s="23">
        <v>120</v>
      </c>
      <c r="F17" s="2">
        <f t="shared" si="1"/>
        <v>0</v>
      </c>
      <c r="G17" s="2"/>
    </row>
    <row r="18" spans="2:7" x14ac:dyDescent="0.25">
      <c r="B18" s="4">
        <v>45703</v>
      </c>
      <c r="C18" s="2" t="s">
        <v>3317</v>
      </c>
      <c r="D18" s="2"/>
      <c r="E18" s="23">
        <v>120</v>
      </c>
      <c r="F18" s="2">
        <f t="shared" si="1"/>
        <v>0</v>
      </c>
      <c r="G18" s="2"/>
    </row>
    <row r="19" spans="2:7" x14ac:dyDescent="0.25">
      <c r="B19" s="4">
        <v>45704</v>
      </c>
      <c r="C19" s="2"/>
      <c r="D19" s="2"/>
      <c r="E19" s="23">
        <v>120</v>
      </c>
      <c r="F19" s="2">
        <f t="shared" si="1"/>
        <v>0</v>
      </c>
      <c r="G19" s="2"/>
    </row>
    <row r="20" spans="2:7" x14ac:dyDescent="0.25">
      <c r="B20" s="4">
        <v>45705</v>
      </c>
      <c r="C20" s="2" t="s">
        <v>3357</v>
      </c>
      <c r="D20" s="2"/>
      <c r="E20" s="23">
        <v>120</v>
      </c>
      <c r="F20" s="2">
        <f t="shared" si="1"/>
        <v>0</v>
      </c>
      <c r="G20" s="2"/>
    </row>
    <row r="21" spans="2:7" x14ac:dyDescent="0.25">
      <c r="B21" s="4">
        <v>45706</v>
      </c>
      <c r="C21" s="2" t="s">
        <v>1166</v>
      </c>
      <c r="D21" s="2"/>
      <c r="E21" s="23">
        <v>120</v>
      </c>
      <c r="F21" s="2">
        <f t="shared" si="1"/>
        <v>0</v>
      </c>
      <c r="G21" s="2"/>
    </row>
    <row r="22" spans="2:7" x14ac:dyDescent="0.25">
      <c r="B22" s="4">
        <v>45707</v>
      </c>
      <c r="C22" s="2" t="s">
        <v>1166</v>
      </c>
      <c r="D22" s="2"/>
      <c r="E22" s="23"/>
      <c r="F22" s="2"/>
      <c r="G22" s="2"/>
    </row>
    <row r="23" spans="2:7" x14ac:dyDescent="0.25">
      <c r="B23" s="4">
        <v>45708</v>
      </c>
      <c r="C23" s="2"/>
      <c r="D23" s="2"/>
      <c r="E23" s="23"/>
      <c r="F23" s="2"/>
      <c r="G23" s="2"/>
    </row>
    <row r="24" spans="2:7" x14ac:dyDescent="0.25">
      <c r="B24" s="4">
        <v>45709</v>
      </c>
      <c r="C24" s="2"/>
      <c r="D24" s="2"/>
      <c r="E24" s="23"/>
      <c r="F24" s="2"/>
      <c r="G24" s="2"/>
    </row>
    <row r="25" spans="2:7" x14ac:dyDescent="0.25">
      <c r="B25" s="4">
        <v>45710</v>
      </c>
      <c r="C25" s="2"/>
      <c r="D25" s="2"/>
      <c r="E25" s="23"/>
      <c r="F25" s="2"/>
      <c r="G25" s="2"/>
    </row>
    <row r="26" spans="2:7" x14ac:dyDescent="0.25">
      <c r="B26" s="4">
        <v>45711</v>
      </c>
      <c r="C26" s="2"/>
      <c r="D26" s="2"/>
      <c r="E26" s="2"/>
      <c r="F26" s="2"/>
      <c r="G26" s="2"/>
    </row>
    <row r="27" spans="2:7" x14ac:dyDescent="0.25">
      <c r="B27" s="4">
        <v>45712</v>
      </c>
      <c r="C27" s="2"/>
      <c r="D27" s="2"/>
      <c r="E27" s="2"/>
      <c r="F27" s="2"/>
      <c r="G27" s="2"/>
    </row>
    <row r="28" spans="2:7" x14ac:dyDescent="0.25">
      <c r="B28" s="4">
        <v>45713</v>
      </c>
      <c r="C28" s="2"/>
      <c r="D28" s="2"/>
      <c r="E28" s="2"/>
      <c r="F28" s="2"/>
      <c r="G28" s="2"/>
    </row>
    <row r="29" spans="2:7" x14ac:dyDescent="0.25">
      <c r="B29" s="4">
        <v>45714</v>
      </c>
      <c r="C29" s="2"/>
      <c r="D29" s="2"/>
      <c r="E29" s="2"/>
      <c r="F29" s="2"/>
      <c r="G29" s="2"/>
    </row>
    <row r="30" spans="2:7" x14ac:dyDescent="0.25">
      <c r="B30" s="4">
        <v>45715</v>
      </c>
      <c r="C30" s="2"/>
      <c r="D30" s="2"/>
      <c r="E30" s="2"/>
      <c r="F30" s="2"/>
      <c r="G30" s="2"/>
    </row>
    <row r="31" spans="2:7" x14ac:dyDescent="0.25">
      <c r="B31" s="2"/>
      <c r="C31" s="2"/>
      <c r="D31" s="2"/>
      <c r="E31" s="2"/>
      <c r="F31" s="2"/>
      <c r="G31" s="2"/>
    </row>
    <row r="32" spans="2:7" x14ac:dyDescent="0.25">
      <c r="B32" s="2"/>
      <c r="C32" s="2"/>
      <c r="D32" s="2"/>
      <c r="E32" s="2"/>
      <c r="F32" s="2"/>
      <c r="G32" s="2"/>
    </row>
    <row r="33" spans="2:7" x14ac:dyDescent="0.25">
      <c r="B33" s="2"/>
      <c r="C33" s="2"/>
      <c r="D33" s="2"/>
      <c r="E33" s="2"/>
      <c r="F33" s="2"/>
      <c r="G33" s="2"/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00B050"/>
  </sheetPr>
  <dimension ref="B2:G33"/>
  <sheetViews>
    <sheetView workbookViewId="0">
      <selection activeCell="C9" sqref="C9"/>
    </sheetView>
  </sheetViews>
  <sheetFormatPr defaultRowHeight="15" x14ac:dyDescent="0.25"/>
  <cols>
    <col min="2" max="2" width="18" bestFit="1" customWidth="1"/>
    <col min="3" max="3" width="72" bestFit="1" customWidth="1"/>
    <col min="4" max="4" width="42.140625" bestFit="1" customWidth="1"/>
    <col min="5" max="5" width="11.85546875" bestFit="1" customWidth="1"/>
    <col min="6" max="6" width="8.42578125" bestFit="1" customWidth="1"/>
    <col min="7" max="7" width="11" bestFit="1" customWidth="1"/>
  </cols>
  <sheetData>
    <row r="2" spans="2:7" x14ac:dyDescent="0.25">
      <c r="C2" t="s">
        <v>954</v>
      </c>
    </row>
    <row r="4" spans="2:7" ht="15.75" x14ac:dyDescent="0.25">
      <c r="B4" s="10" t="s">
        <v>0</v>
      </c>
      <c r="C4" s="11" t="s">
        <v>1</v>
      </c>
      <c r="D4" s="11" t="s">
        <v>2</v>
      </c>
      <c r="E4" s="11" t="s">
        <v>934</v>
      </c>
      <c r="F4" s="11" t="s">
        <v>1095</v>
      </c>
      <c r="G4" s="11" t="s">
        <v>1507</v>
      </c>
    </row>
    <row r="5" spans="2:7" x14ac:dyDescent="0.25">
      <c r="B5" s="4">
        <v>45690</v>
      </c>
      <c r="C5" s="2" t="s">
        <v>1528</v>
      </c>
      <c r="D5" s="2"/>
      <c r="E5" s="2">
        <v>0</v>
      </c>
      <c r="F5" s="2"/>
      <c r="G5" s="2"/>
    </row>
    <row r="6" spans="2:7" x14ac:dyDescent="0.25">
      <c r="B6" s="4">
        <v>45691</v>
      </c>
      <c r="C6" s="2" t="s">
        <v>3284</v>
      </c>
      <c r="D6" s="2"/>
      <c r="E6" s="23">
        <v>24</v>
      </c>
      <c r="F6" s="2">
        <f t="shared" ref="F6:F8" si="0">E6-E5</f>
        <v>24</v>
      </c>
      <c r="G6" s="2"/>
    </row>
    <row r="7" spans="2:7" x14ac:dyDescent="0.25">
      <c r="B7" s="4">
        <v>45692</v>
      </c>
      <c r="C7" s="2" t="s">
        <v>3301</v>
      </c>
      <c r="D7" s="2"/>
      <c r="E7" s="23">
        <v>100</v>
      </c>
      <c r="F7" s="2">
        <f t="shared" si="0"/>
        <v>76</v>
      </c>
      <c r="G7" s="2"/>
    </row>
    <row r="8" spans="2:7" x14ac:dyDescent="0.25">
      <c r="B8" s="4">
        <v>45693</v>
      </c>
      <c r="C8" s="2" t="s">
        <v>1178</v>
      </c>
      <c r="D8" s="2"/>
      <c r="E8" s="23"/>
      <c r="F8" s="2">
        <f t="shared" si="0"/>
        <v>-100</v>
      </c>
      <c r="G8" s="2"/>
    </row>
    <row r="9" spans="2:7" x14ac:dyDescent="0.25">
      <c r="B9" s="4">
        <v>45694</v>
      </c>
      <c r="C9" s="2" t="s">
        <v>539</v>
      </c>
      <c r="D9" s="2"/>
      <c r="E9" s="23"/>
      <c r="F9" s="2">
        <f>E9-E8</f>
        <v>0</v>
      </c>
      <c r="G9" s="2"/>
    </row>
    <row r="10" spans="2:7" x14ac:dyDescent="0.25">
      <c r="B10" s="4">
        <v>45695</v>
      </c>
      <c r="C10" s="2"/>
      <c r="D10" s="2"/>
      <c r="E10" s="23"/>
      <c r="F10" s="2">
        <f t="shared" ref="F10:F18" si="1">E10-E9</f>
        <v>0</v>
      </c>
      <c r="G10" s="2"/>
    </row>
    <row r="11" spans="2:7" x14ac:dyDescent="0.25">
      <c r="B11" s="4">
        <v>45696</v>
      </c>
      <c r="C11" s="2"/>
      <c r="D11" s="2"/>
      <c r="E11" s="23"/>
      <c r="F11" s="2">
        <f t="shared" si="1"/>
        <v>0</v>
      </c>
      <c r="G11" s="2"/>
    </row>
    <row r="12" spans="2:7" x14ac:dyDescent="0.25">
      <c r="B12" s="4">
        <v>45697</v>
      </c>
      <c r="C12" s="2"/>
      <c r="D12" s="2"/>
      <c r="E12" s="23"/>
      <c r="F12" s="2">
        <f t="shared" si="1"/>
        <v>0</v>
      </c>
      <c r="G12" s="2"/>
    </row>
    <row r="13" spans="2:7" x14ac:dyDescent="0.25">
      <c r="B13" s="4">
        <v>45698</v>
      </c>
      <c r="C13" s="2"/>
      <c r="D13" s="2"/>
      <c r="E13" s="23"/>
      <c r="F13" s="2">
        <f t="shared" si="1"/>
        <v>0</v>
      </c>
      <c r="G13" s="2"/>
    </row>
    <row r="14" spans="2:7" x14ac:dyDescent="0.25">
      <c r="B14" s="4">
        <v>45699</v>
      </c>
      <c r="C14" s="2"/>
      <c r="D14" s="2"/>
      <c r="E14" s="23"/>
      <c r="F14" s="2">
        <f t="shared" si="1"/>
        <v>0</v>
      </c>
      <c r="G14" s="2"/>
    </row>
    <row r="15" spans="2:7" x14ac:dyDescent="0.25">
      <c r="B15" s="4">
        <v>45700</v>
      </c>
      <c r="C15" s="2"/>
      <c r="D15" s="2"/>
      <c r="E15" s="23"/>
      <c r="F15" s="2">
        <f t="shared" si="1"/>
        <v>0</v>
      </c>
      <c r="G15" s="2"/>
    </row>
    <row r="16" spans="2:7" x14ac:dyDescent="0.25">
      <c r="B16" s="4">
        <v>45701</v>
      </c>
      <c r="C16" s="2"/>
      <c r="D16" s="2"/>
      <c r="E16" s="23"/>
      <c r="F16" s="2">
        <f t="shared" si="1"/>
        <v>0</v>
      </c>
      <c r="G16" s="2"/>
    </row>
    <row r="17" spans="2:7" x14ac:dyDescent="0.25">
      <c r="B17" s="4">
        <v>45702</v>
      </c>
      <c r="C17" s="2"/>
      <c r="D17" s="2"/>
      <c r="E17" s="23"/>
      <c r="F17" s="2">
        <f t="shared" si="1"/>
        <v>0</v>
      </c>
      <c r="G17" s="2"/>
    </row>
    <row r="18" spans="2:7" x14ac:dyDescent="0.25">
      <c r="B18" s="4">
        <v>45703</v>
      </c>
      <c r="C18" s="2"/>
      <c r="D18" s="2"/>
      <c r="E18" s="23"/>
      <c r="F18" s="2">
        <f t="shared" si="1"/>
        <v>0</v>
      </c>
      <c r="G18" s="2"/>
    </row>
    <row r="19" spans="2:7" x14ac:dyDescent="0.25">
      <c r="B19" s="4">
        <v>45704</v>
      </c>
      <c r="C19" s="2"/>
      <c r="D19" s="2"/>
      <c r="E19" s="23"/>
      <c r="F19" s="2"/>
      <c r="G19" s="2"/>
    </row>
    <row r="20" spans="2:7" x14ac:dyDescent="0.25">
      <c r="B20" s="4">
        <v>45705</v>
      </c>
      <c r="C20" s="2"/>
      <c r="D20" s="2"/>
      <c r="E20" s="23"/>
      <c r="F20" s="2"/>
      <c r="G20" s="2"/>
    </row>
    <row r="21" spans="2:7" x14ac:dyDescent="0.25">
      <c r="B21" s="4">
        <v>45706</v>
      </c>
      <c r="C21" s="2"/>
      <c r="D21" s="2"/>
      <c r="E21" s="23"/>
      <c r="F21" s="2"/>
      <c r="G21" s="2"/>
    </row>
    <row r="22" spans="2:7" x14ac:dyDescent="0.25">
      <c r="B22" s="4">
        <v>45707</v>
      </c>
      <c r="C22" s="2"/>
      <c r="D22" s="2"/>
      <c r="E22" s="23"/>
      <c r="F22" s="2"/>
      <c r="G22" s="2"/>
    </row>
    <row r="23" spans="2:7" x14ac:dyDescent="0.25">
      <c r="B23" s="4">
        <v>45708</v>
      </c>
      <c r="C23" s="2"/>
      <c r="D23" s="2"/>
      <c r="E23" s="23"/>
      <c r="F23" s="2"/>
      <c r="G23" s="2"/>
    </row>
    <row r="24" spans="2:7" x14ac:dyDescent="0.25">
      <c r="B24" s="4">
        <v>45709</v>
      </c>
      <c r="C24" s="2"/>
      <c r="D24" s="2"/>
      <c r="E24" s="23"/>
      <c r="F24" s="2"/>
      <c r="G24" s="2"/>
    </row>
    <row r="25" spans="2:7" x14ac:dyDescent="0.25">
      <c r="B25" s="4">
        <v>45710</v>
      </c>
      <c r="C25" s="2"/>
      <c r="D25" s="2"/>
      <c r="E25" s="23"/>
      <c r="F25" s="2"/>
      <c r="G25" s="2"/>
    </row>
    <row r="26" spans="2:7" x14ac:dyDescent="0.25">
      <c r="B26" s="4">
        <v>45711</v>
      </c>
      <c r="C26" s="2"/>
      <c r="D26" s="2"/>
      <c r="E26" s="2"/>
      <c r="F26" s="2"/>
      <c r="G26" s="2"/>
    </row>
    <row r="27" spans="2:7" x14ac:dyDescent="0.25">
      <c r="B27" s="4">
        <v>45712</v>
      </c>
      <c r="C27" s="2"/>
      <c r="D27" s="2"/>
      <c r="E27" s="2"/>
      <c r="F27" s="2"/>
      <c r="G27" s="2"/>
    </row>
    <row r="28" spans="2:7" x14ac:dyDescent="0.25">
      <c r="B28" s="4">
        <v>45713</v>
      </c>
      <c r="C28" s="2"/>
      <c r="D28" s="2"/>
      <c r="E28" s="2"/>
      <c r="F28" s="2"/>
      <c r="G28" s="2"/>
    </row>
    <row r="29" spans="2:7" x14ac:dyDescent="0.25">
      <c r="B29" s="4">
        <v>45714</v>
      </c>
      <c r="C29" s="2"/>
      <c r="D29" s="2"/>
      <c r="E29" s="2"/>
      <c r="F29" s="2"/>
      <c r="G29" s="2"/>
    </row>
    <row r="30" spans="2:7" x14ac:dyDescent="0.25">
      <c r="B30" s="4">
        <v>45715</v>
      </c>
      <c r="C30" s="2"/>
      <c r="D30" s="2"/>
      <c r="E30" s="2"/>
      <c r="F30" s="2"/>
      <c r="G30" s="2"/>
    </row>
    <row r="31" spans="2:7" x14ac:dyDescent="0.25">
      <c r="B31" s="2"/>
      <c r="C31" s="2"/>
      <c r="D31" s="2"/>
      <c r="E31" s="2"/>
      <c r="F31" s="2"/>
      <c r="G31" s="2"/>
    </row>
    <row r="32" spans="2:7" x14ac:dyDescent="0.25">
      <c r="B32" s="2"/>
      <c r="C32" s="2"/>
      <c r="D32" s="2"/>
      <c r="E32" s="2"/>
      <c r="F32" s="2"/>
      <c r="G32" s="2"/>
    </row>
    <row r="33" spans="2:7" x14ac:dyDescent="0.25">
      <c r="B33" s="2"/>
      <c r="C33" s="2"/>
      <c r="D33" s="2"/>
      <c r="E33" s="2"/>
      <c r="F33" s="2"/>
      <c r="G33" s="2"/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B3:G97"/>
  <sheetViews>
    <sheetView topLeftCell="A81" workbookViewId="0">
      <selection activeCell="C92" sqref="C92"/>
    </sheetView>
  </sheetViews>
  <sheetFormatPr defaultRowHeight="15" x14ac:dyDescent="0.25"/>
  <cols>
    <col min="2" max="2" width="18" bestFit="1" customWidth="1"/>
    <col min="3" max="3" width="72" bestFit="1" customWidth="1"/>
    <col min="4" max="4" width="42.140625" bestFit="1" customWidth="1"/>
    <col min="5" max="5" width="11.85546875" bestFit="1" customWidth="1"/>
    <col min="6" max="6" width="8.42578125" bestFit="1" customWidth="1"/>
    <col min="7" max="7" width="11" bestFit="1" customWidth="1"/>
  </cols>
  <sheetData>
    <row r="3" spans="2:7" x14ac:dyDescent="0.25">
      <c r="B3" s="53" t="s">
        <v>3371</v>
      </c>
    </row>
    <row r="4" spans="2:7" ht="15.75" x14ac:dyDescent="0.25">
      <c r="B4" s="10" t="s">
        <v>0</v>
      </c>
      <c r="C4" s="11" t="s">
        <v>1</v>
      </c>
      <c r="D4" s="11" t="s">
        <v>2</v>
      </c>
      <c r="E4" s="11" t="s">
        <v>934</v>
      </c>
      <c r="F4" s="11" t="s">
        <v>1095</v>
      </c>
      <c r="G4" s="11" t="s">
        <v>1507</v>
      </c>
    </row>
    <row r="5" spans="2:7" x14ac:dyDescent="0.25">
      <c r="B5" s="4">
        <v>45709</v>
      </c>
      <c r="C5" s="2" t="s">
        <v>1528</v>
      </c>
      <c r="D5" s="2"/>
      <c r="E5" s="23">
        <v>0</v>
      </c>
      <c r="F5" s="2"/>
      <c r="G5" s="2"/>
    </row>
    <row r="6" spans="2:7" x14ac:dyDescent="0.25">
      <c r="B6" s="4">
        <v>45710</v>
      </c>
      <c r="C6" s="2" t="s">
        <v>3372</v>
      </c>
      <c r="D6" s="2"/>
      <c r="E6" s="23">
        <v>0</v>
      </c>
      <c r="F6" s="2"/>
      <c r="G6" s="2"/>
    </row>
    <row r="7" spans="2:7" x14ac:dyDescent="0.25">
      <c r="B7" s="4">
        <v>45711</v>
      </c>
      <c r="C7" s="2" t="s">
        <v>522</v>
      </c>
      <c r="D7" s="2"/>
      <c r="E7" s="23">
        <v>0</v>
      </c>
      <c r="F7" s="2"/>
      <c r="G7" s="2"/>
    </row>
    <row r="8" spans="2:7" x14ac:dyDescent="0.25">
      <c r="B8" s="4">
        <v>45712</v>
      </c>
      <c r="C8" s="2" t="s">
        <v>3388</v>
      </c>
      <c r="D8" s="2"/>
      <c r="E8" s="23">
        <v>0</v>
      </c>
      <c r="F8" s="2"/>
      <c r="G8" s="2"/>
    </row>
    <row r="9" spans="2:7" x14ac:dyDescent="0.25">
      <c r="B9" s="4">
        <v>45713</v>
      </c>
      <c r="C9" s="2" t="s">
        <v>3393</v>
      </c>
      <c r="D9" s="2"/>
      <c r="E9" s="23">
        <v>24</v>
      </c>
      <c r="F9" s="2">
        <f>E9-E8</f>
        <v>24</v>
      </c>
      <c r="G9" s="2"/>
    </row>
    <row r="10" spans="2:7" x14ac:dyDescent="0.25">
      <c r="B10" s="4">
        <v>45714</v>
      </c>
      <c r="C10" s="2" t="s">
        <v>3400</v>
      </c>
      <c r="D10" s="2"/>
      <c r="E10" s="23">
        <v>42</v>
      </c>
      <c r="F10" s="2">
        <f t="shared" ref="F10:F33" si="0">E10-E9</f>
        <v>18</v>
      </c>
      <c r="G10" s="2"/>
    </row>
    <row r="11" spans="2:7" x14ac:dyDescent="0.25">
      <c r="B11" s="4">
        <v>45715</v>
      </c>
      <c r="C11" s="2" t="s">
        <v>3407</v>
      </c>
      <c r="D11" s="2"/>
      <c r="E11" s="23">
        <v>57</v>
      </c>
      <c r="F11" s="2">
        <f t="shared" si="0"/>
        <v>15</v>
      </c>
      <c r="G11" s="2"/>
    </row>
    <row r="12" spans="2:7" x14ac:dyDescent="0.25">
      <c r="B12" s="4">
        <v>45716</v>
      </c>
      <c r="C12" s="58" t="s">
        <v>3414</v>
      </c>
      <c r="D12" s="58"/>
      <c r="E12" s="59">
        <v>63</v>
      </c>
      <c r="F12" s="58">
        <f t="shared" si="0"/>
        <v>6</v>
      </c>
      <c r="G12" s="2"/>
    </row>
    <row r="13" spans="2:7" x14ac:dyDescent="0.25">
      <c r="B13" s="4">
        <v>45717</v>
      </c>
      <c r="C13" s="58" t="s">
        <v>3415</v>
      </c>
      <c r="D13" s="58"/>
      <c r="E13" s="59">
        <v>66</v>
      </c>
      <c r="F13" s="58">
        <f t="shared" si="0"/>
        <v>3</v>
      </c>
      <c r="G13" s="2"/>
    </row>
    <row r="14" spans="2:7" x14ac:dyDescent="0.25">
      <c r="B14" s="4">
        <v>45718</v>
      </c>
      <c r="C14" s="58" t="s">
        <v>3416</v>
      </c>
      <c r="D14" s="58"/>
      <c r="E14" s="59">
        <v>78</v>
      </c>
      <c r="F14" s="58">
        <f t="shared" si="0"/>
        <v>12</v>
      </c>
      <c r="G14" s="2"/>
    </row>
    <row r="15" spans="2:7" x14ac:dyDescent="0.25">
      <c r="B15" s="4">
        <v>45719</v>
      </c>
      <c r="C15" s="58" t="s">
        <v>3419</v>
      </c>
      <c r="D15" s="2"/>
      <c r="E15" s="23">
        <v>98</v>
      </c>
      <c r="F15" s="58">
        <f t="shared" si="0"/>
        <v>20</v>
      </c>
      <c r="G15" s="2"/>
    </row>
    <row r="16" spans="2:7" x14ac:dyDescent="0.25">
      <c r="B16" s="4">
        <v>45720</v>
      </c>
      <c r="C16" s="58" t="s">
        <v>3439</v>
      </c>
      <c r="D16" s="2"/>
      <c r="E16" s="23">
        <v>116</v>
      </c>
      <c r="F16" s="58">
        <f t="shared" si="0"/>
        <v>18</v>
      </c>
      <c r="G16" s="2"/>
    </row>
    <row r="17" spans="2:7" x14ac:dyDescent="0.25">
      <c r="B17" s="4">
        <v>45721</v>
      </c>
      <c r="C17" s="58" t="s">
        <v>3444</v>
      </c>
      <c r="D17" s="2"/>
      <c r="E17" s="23">
        <v>129</v>
      </c>
      <c r="F17" s="58">
        <f t="shared" si="0"/>
        <v>13</v>
      </c>
      <c r="G17" s="2"/>
    </row>
    <row r="18" spans="2:7" x14ac:dyDescent="0.25">
      <c r="B18" s="4">
        <v>45722</v>
      </c>
      <c r="C18" s="58" t="s">
        <v>3453</v>
      </c>
      <c r="D18" s="2"/>
      <c r="E18" s="23">
        <v>135</v>
      </c>
      <c r="F18" s="58">
        <f t="shared" si="0"/>
        <v>6</v>
      </c>
      <c r="G18" s="2"/>
    </row>
    <row r="19" spans="2:7" x14ac:dyDescent="0.25">
      <c r="B19" s="4">
        <v>45723</v>
      </c>
      <c r="C19" s="58" t="s">
        <v>3459</v>
      </c>
      <c r="D19" s="2"/>
      <c r="E19" s="23">
        <v>153</v>
      </c>
      <c r="F19" s="58">
        <f t="shared" si="0"/>
        <v>18</v>
      </c>
      <c r="G19" s="2"/>
    </row>
    <row r="20" spans="2:7" x14ac:dyDescent="0.25">
      <c r="B20" s="4">
        <v>45724</v>
      </c>
      <c r="C20" s="58" t="s">
        <v>3476</v>
      </c>
      <c r="D20" s="2" t="s">
        <v>3467</v>
      </c>
      <c r="E20" s="23">
        <v>160</v>
      </c>
      <c r="F20" s="58">
        <f t="shared" si="0"/>
        <v>7</v>
      </c>
      <c r="G20" s="2"/>
    </row>
    <row r="21" spans="2:7" x14ac:dyDescent="0.25">
      <c r="B21" s="4">
        <v>45725</v>
      </c>
      <c r="C21" s="58" t="s">
        <v>149</v>
      </c>
      <c r="D21" s="2"/>
      <c r="E21" s="23">
        <v>160</v>
      </c>
      <c r="F21" s="58">
        <f t="shared" si="0"/>
        <v>0</v>
      </c>
      <c r="G21" s="2"/>
    </row>
    <row r="22" spans="2:7" x14ac:dyDescent="0.25">
      <c r="B22" s="4">
        <v>45726</v>
      </c>
      <c r="C22" s="58" t="s">
        <v>149</v>
      </c>
      <c r="D22" s="2"/>
      <c r="E22" s="23">
        <v>160</v>
      </c>
      <c r="F22" s="58">
        <f t="shared" si="0"/>
        <v>0</v>
      </c>
      <c r="G22" s="2"/>
    </row>
    <row r="23" spans="2:7" x14ac:dyDescent="0.25">
      <c r="B23" s="4">
        <v>45727</v>
      </c>
      <c r="C23" s="2" t="s">
        <v>1827</v>
      </c>
      <c r="D23" s="2"/>
      <c r="E23" s="23">
        <v>160</v>
      </c>
      <c r="F23" s="58">
        <f t="shared" si="0"/>
        <v>0</v>
      </c>
      <c r="G23" s="2"/>
    </row>
    <row r="24" spans="2:7" x14ac:dyDescent="0.25">
      <c r="B24" s="4">
        <v>45728</v>
      </c>
      <c r="C24" s="2" t="s">
        <v>3501</v>
      </c>
      <c r="D24" s="2"/>
      <c r="E24" s="23">
        <v>40</v>
      </c>
      <c r="F24" s="58">
        <f t="shared" si="0"/>
        <v>-120</v>
      </c>
      <c r="G24" s="2"/>
    </row>
    <row r="25" spans="2:7" x14ac:dyDescent="0.25">
      <c r="B25" s="4">
        <v>45729</v>
      </c>
      <c r="C25" s="2" t="s">
        <v>3509</v>
      </c>
      <c r="D25" s="2"/>
      <c r="E25" s="23">
        <v>65</v>
      </c>
      <c r="F25" s="58">
        <f t="shared" si="0"/>
        <v>25</v>
      </c>
      <c r="G25" s="2"/>
    </row>
    <row r="26" spans="2:7" x14ac:dyDescent="0.25">
      <c r="B26" s="4">
        <v>45730</v>
      </c>
      <c r="C26" s="2" t="s">
        <v>3519</v>
      </c>
      <c r="D26" s="2"/>
      <c r="E26" s="23">
        <v>86</v>
      </c>
      <c r="F26" s="58">
        <f t="shared" si="0"/>
        <v>21</v>
      </c>
      <c r="G26" s="2"/>
    </row>
    <row r="27" spans="2:7" x14ac:dyDescent="0.25">
      <c r="B27" s="4">
        <v>45731</v>
      </c>
      <c r="C27" s="2" t="s">
        <v>3529</v>
      </c>
      <c r="D27" s="2"/>
      <c r="E27" s="23">
        <v>90</v>
      </c>
      <c r="F27" s="58">
        <f t="shared" si="0"/>
        <v>4</v>
      </c>
      <c r="G27" s="2"/>
    </row>
    <row r="28" spans="2:7" x14ac:dyDescent="0.25">
      <c r="B28" s="4">
        <v>45732</v>
      </c>
      <c r="C28" s="2" t="s">
        <v>3530</v>
      </c>
      <c r="D28" s="2"/>
      <c r="E28" s="23">
        <v>110</v>
      </c>
      <c r="F28" s="58">
        <f t="shared" si="0"/>
        <v>20</v>
      </c>
      <c r="G28" s="2"/>
    </row>
    <row r="29" spans="2:7" x14ac:dyDescent="0.25">
      <c r="B29" s="4">
        <v>45733</v>
      </c>
      <c r="C29" s="2" t="s">
        <v>3540</v>
      </c>
      <c r="D29" s="2"/>
      <c r="E29" s="23">
        <v>135</v>
      </c>
      <c r="F29" s="58">
        <f t="shared" si="0"/>
        <v>25</v>
      </c>
      <c r="G29" s="2"/>
    </row>
    <row r="30" spans="2:7" x14ac:dyDescent="0.25">
      <c r="B30" s="4">
        <v>45734</v>
      </c>
      <c r="C30" s="2" t="s">
        <v>3555</v>
      </c>
      <c r="D30" s="2"/>
      <c r="E30" s="23">
        <v>150</v>
      </c>
      <c r="F30" s="58">
        <f t="shared" si="0"/>
        <v>15</v>
      </c>
      <c r="G30" s="2"/>
    </row>
    <row r="31" spans="2:7" x14ac:dyDescent="0.25">
      <c r="B31" s="4">
        <v>45735</v>
      </c>
      <c r="C31" s="2" t="s">
        <v>3556</v>
      </c>
      <c r="D31" s="2"/>
      <c r="E31" s="23">
        <v>163</v>
      </c>
      <c r="F31" s="58">
        <f t="shared" si="0"/>
        <v>13</v>
      </c>
      <c r="G31" s="2"/>
    </row>
    <row r="32" spans="2:7" x14ac:dyDescent="0.25">
      <c r="B32" s="4">
        <v>45736</v>
      </c>
      <c r="C32" s="2" t="s">
        <v>1178</v>
      </c>
      <c r="D32" s="2"/>
      <c r="E32" s="23">
        <v>163</v>
      </c>
      <c r="F32" s="58">
        <f t="shared" si="0"/>
        <v>0</v>
      </c>
      <c r="G32" s="2"/>
    </row>
    <row r="33" spans="2:7" x14ac:dyDescent="0.25">
      <c r="B33" s="4">
        <v>45737</v>
      </c>
      <c r="C33" s="2" t="s">
        <v>149</v>
      </c>
      <c r="D33" s="2"/>
      <c r="E33" s="23"/>
      <c r="F33" s="58">
        <f t="shared" si="0"/>
        <v>-163</v>
      </c>
      <c r="G33" s="2"/>
    </row>
    <row r="34" spans="2:7" x14ac:dyDescent="0.25">
      <c r="B34" s="4">
        <v>45738</v>
      </c>
      <c r="C34" s="2" t="s">
        <v>149</v>
      </c>
      <c r="D34" s="2"/>
      <c r="E34" s="2"/>
      <c r="F34" s="2"/>
      <c r="G34" s="2"/>
    </row>
    <row r="35" spans="2:7" x14ac:dyDescent="0.25">
      <c r="B35" s="4">
        <v>45739</v>
      </c>
      <c r="C35" s="2" t="s">
        <v>149</v>
      </c>
      <c r="D35" s="2"/>
      <c r="E35" s="2"/>
      <c r="F35" s="2"/>
      <c r="G35" s="2"/>
    </row>
    <row r="36" spans="2:7" x14ac:dyDescent="0.25">
      <c r="B36" s="4">
        <v>45740</v>
      </c>
      <c r="C36" s="2" t="s">
        <v>3570</v>
      </c>
      <c r="D36" s="2"/>
      <c r="E36" s="2"/>
      <c r="F36" s="2"/>
      <c r="G36" s="2"/>
    </row>
    <row r="37" spans="2:7" x14ac:dyDescent="0.25">
      <c r="B37" s="4">
        <v>45741</v>
      </c>
      <c r="C37" s="2" t="s">
        <v>1166</v>
      </c>
      <c r="D37" s="2" t="s">
        <v>3589</v>
      </c>
      <c r="E37" s="2"/>
      <c r="F37" s="2"/>
      <c r="G37" s="2"/>
    </row>
    <row r="38" spans="2:7" x14ac:dyDescent="0.25">
      <c r="B38" s="4">
        <v>45742</v>
      </c>
      <c r="C38" s="2" t="s">
        <v>1166</v>
      </c>
      <c r="D38" s="2"/>
      <c r="E38" s="2"/>
      <c r="F38" s="2"/>
      <c r="G38" s="2"/>
    </row>
    <row r="39" spans="2:7" x14ac:dyDescent="0.25">
      <c r="B39" s="4">
        <v>45743</v>
      </c>
      <c r="C39" s="2" t="s">
        <v>1166</v>
      </c>
      <c r="D39" s="2"/>
      <c r="E39" s="2"/>
      <c r="F39" s="2"/>
      <c r="G39" s="2"/>
    </row>
    <row r="40" spans="2:7" x14ac:dyDescent="0.25">
      <c r="B40" s="4">
        <v>45744</v>
      </c>
      <c r="C40" s="2" t="s">
        <v>131</v>
      </c>
      <c r="D40" s="2"/>
      <c r="E40" s="2"/>
      <c r="F40" s="2"/>
      <c r="G40" s="2"/>
    </row>
    <row r="41" spans="2:7" x14ac:dyDescent="0.25">
      <c r="B41" s="4">
        <v>45745</v>
      </c>
      <c r="C41" s="2" t="s">
        <v>131</v>
      </c>
      <c r="D41" s="2"/>
      <c r="E41" s="2"/>
      <c r="F41" s="2"/>
      <c r="G41" s="2"/>
    </row>
    <row r="42" spans="2:7" x14ac:dyDescent="0.25">
      <c r="B42" s="4">
        <v>45746</v>
      </c>
      <c r="C42" s="2" t="s">
        <v>131</v>
      </c>
      <c r="D42" s="2"/>
      <c r="E42" s="2"/>
      <c r="F42" s="2"/>
      <c r="G42" s="2"/>
    </row>
    <row r="43" spans="2:7" x14ac:dyDescent="0.25">
      <c r="B43" s="4">
        <v>45747</v>
      </c>
      <c r="C43" s="2" t="s">
        <v>131</v>
      </c>
      <c r="D43" s="2"/>
      <c r="E43" s="2"/>
      <c r="F43" s="2"/>
      <c r="G43" s="2"/>
    </row>
    <row r="44" spans="2:7" x14ac:dyDescent="0.25">
      <c r="B44" s="4">
        <v>45748</v>
      </c>
      <c r="C44" s="2" t="s">
        <v>131</v>
      </c>
      <c r="D44" s="2"/>
      <c r="E44" s="2"/>
      <c r="F44" s="2"/>
      <c r="G44" s="2"/>
    </row>
    <row r="45" spans="2:7" x14ac:dyDescent="0.25">
      <c r="B45" s="4">
        <v>45749</v>
      </c>
      <c r="C45" s="2" t="s">
        <v>131</v>
      </c>
      <c r="D45" s="2"/>
      <c r="E45" s="2"/>
      <c r="F45" s="2"/>
      <c r="G45" s="2"/>
    </row>
    <row r="46" spans="2:7" x14ac:dyDescent="0.25">
      <c r="B46" s="4">
        <v>45750</v>
      </c>
      <c r="C46" s="2" t="s">
        <v>131</v>
      </c>
      <c r="D46" s="2"/>
      <c r="E46" s="2"/>
      <c r="F46" s="2"/>
      <c r="G46" s="2"/>
    </row>
    <row r="47" spans="2:7" x14ac:dyDescent="0.25">
      <c r="B47" s="4">
        <v>45751</v>
      </c>
      <c r="C47" s="2" t="s">
        <v>131</v>
      </c>
      <c r="D47" s="2"/>
      <c r="E47" s="2"/>
      <c r="F47" s="2"/>
      <c r="G47" s="2"/>
    </row>
    <row r="48" spans="2:7" x14ac:dyDescent="0.25">
      <c r="B48" s="4">
        <v>45752</v>
      </c>
      <c r="C48" s="2" t="s">
        <v>131</v>
      </c>
      <c r="D48" s="2"/>
      <c r="E48" s="2"/>
      <c r="F48" s="2"/>
      <c r="G48" s="2"/>
    </row>
    <row r="49" spans="2:7" x14ac:dyDescent="0.25">
      <c r="B49" s="4">
        <v>45753</v>
      </c>
      <c r="C49" s="2" t="s">
        <v>131</v>
      </c>
      <c r="D49" s="2"/>
      <c r="E49" s="2"/>
      <c r="F49" s="2"/>
      <c r="G49" s="2"/>
    </row>
    <row r="50" spans="2:7" x14ac:dyDescent="0.25">
      <c r="B50" s="4">
        <v>45754</v>
      </c>
      <c r="C50" s="2" t="s">
        <v>131</v>
      </c>
      <c r="D50" s="2" t="s">
        <v>3653</v>
      </c>
      <c r="E50" s="2"/>
      <c r="F50" s="2"/>
      <c r="G50" s="2"/>
    </row>
    <row r="51" spans="2:7" x14ac:dyDescent="0.25">
      <c r="B51" s="4">
        <v>45755</v>
      </c>
      <c r="C51" s="2"/>
      <c r="D51" s="2" t="s">
        <v>3705</v>
      </c>
      <c r="E51" s="2"/>
      <c r="F51" s="2"/>
      <c r="G51" s="2"/>
    </row>
    <row r="52" spans="2:7" x14ac:dyDescent="0.25">
      <c r="B52" s="4">
        <v>45756</v>
      </c>
      <c r="C52" s="2"/>
      <c r="D52" s="2" t="s">
        <v>3844</v>
      </c>
      <c r="E52" s="2"/>
      <c r="F52" s="2"/>
      <c r="G52" s="2"/>
    </row>
    <row r="53" spans="2:7" x14ac:dyDescent="0.25">
      <c r="B53" s="4">
        <v>45757</v>
      </c>
      <c r="C53" s="2"/>
      <c r="D53" s="2" t="s">
        <v>3845</v>
      </c>
      <c r="E53" s="2"/>
      <c r="F53" s="2"/>
      <c r="G53" s="2"/>
    </row>
    <row r="54" spans="2:7" x14ac:dyDescent="0.25">
      <c r="B54" s="4">
        <v>45758</v>
      </c>
      <c r="C54" s="2"/>
      <c r="D54" s="2"/>
      <c r="E54" s="2"/>
      <c r="F54" s="2"/>
      <c r="G54" s="2"/>
    </row>
    <row r="55" spans="2:7" x14ac:dyDescent="0.25">
      <c r="B55" s="4">
        <v>45759</v>
      </c>
      <c r="C55" s="2"/>
      <c r="D55" s="2"/>
      <c r="E55" s="2"/>
      <c r="F55" s="2"/>
      <c r="G55" s="2"/>
    </row>
    <row r="56" spans="2:7" x14ac:dyDescent="0.25">
      <c r="B56" s="4">
        <v>45760</v>
      </c>
      <c r="C56" s="2"/>
      <c r="D56" s="2"/>
      <c r="E56" s="2"/>
      <c r="F56" s="2"/>
      <c r="G56" s="2"/>
    </row>
    <row r="57" spans="2:7" x14ac:dyDescent="0.25">
      <c r="B57" s="4">
        <v>45761</v>
      </c>
      <c r="C57" s="2"/>
      <c r="D57" s="2"/>
      <c r="E57" s="2"/>
      <c r="F57" s="2"/>
      <c r="G57" s="2"/>
    </row>
    <row r="58" spans="2:7" x14ac:dyDescent="0.25">
      <c r="B58" s="4">
        <v>45762</v>
      </c>
      <c r="C58" s="2"/>
      <c r="D58" s="2"/>
      <c r="E58" s="2"/>
      <c r="F58" s="2"/>
      <c r="G58" s="2"/>
    </row>
    <row r="59" spans="2:7" x14ac:dyDescent="0.25">
      <c r="B59" s="4">
        <v>45763</v>
      </c>
      <c r="C59" s="2"/>
      <c r="D59" s="2"/>
      <c r="E59" s="2"/>
      <c r="F59" s="2"/>
      <c r="G59" s="2"/>
    </row>
    <row r="60" spans="2:7" x14ac:dyDescent="0.25">
      <c r="B60" s="4">
        <v>45764</v>
      </c>
      <c r="C60" s="2"/>
      <c r="D60" s="2"/>
      <c r="E60" s="2"/>
      <c r="F60" s="2"/>
      <c r="G60" s="2"/>
    </row>
    <row r="61" spans="2:7" x14ac:dyDescent="0.25">
      <c r="B61" s="4">
        <v>45765</v>
      </c>
      <c r="C61" s="2"/>
      <c r="D61" s="2"/>
      <c r="E61" s="2"/>
      <c r="F61" s="2"/>
      <c r="G61" s="2"/>
    </row>
    <row r="62" spans="2:7" x14ac:dyDescent="0.25">
      <c r="B62" s="4">
        <v>45766</v>
      </c>
      <c r="C62" s="2"/>
      <c r="D62" s="2"/>
      <c r="E62" s="2"/>
      <c r="F62" s="2"/>
      <c r="G62" s="2"/>
    </row>
    <row r="63" spans="2:7" x14ac:dyDescent="0.25">
      <c r="B63" s="4">
        <v>45767</v>
      </c>
      <c r="C63" s="2"/>
      <c r="D63" s="2"/>
      <c r="E63" s="2"/>
      <c r="F63" s="2"/>
      <c r="G63" s="2"/>
    </row>
    <row r="64" spans="2:7" x14ac:dyDescent="0.25">
      <c r="B64" s="4">
        <v>45768</v>
      </c>
      <c r="C64" s="2"/>
      <c r="D64" s="2"/>
      <c r="E64" s="2"/>
      <c r="F64" s="2"/>
      <c r="G64" s="2"/>
    </row>
    <row r="65" spans="2:7" x14ac:dyDescent="0.25">
      <c r="B65" s="4">
        <v>45769</v>
      </c>
      <c r="C65" s="2"/>
      <c r="D65" s="2"/>
      <c r="E65" s="2"/>
      <c r="F65" s="2"/>
      <c r="G65" s="2"/>
    </row>
    <row r="66" spans="2:7" x14ac:dyDescent="0.25">
      <c r="B66" s="4">
        <v>45770</v>
      </c>
      <c r="C66" s="2"/>
      <c r="D66" s="2"/>
      <c r="E66" s="2"/>
      <c r="F66" s="2"/>
      <c r="G66" s="2"/>
    </row>
    <row r="67" spans="2:7" x14ac:dyDescent="0.25">
      <c r="B67" s="4">
        <v>45771</v>
      </c>
      <c r="C67" s="2"/>
      <c r="D67" s="2"/>
      <c r="E67" s="2"/>
      <c r="F67" s="2"/>
      <c r="G67" s="2"/>
    </row>
    <row r="68" spans="2:7" x14ac:dyDescent="0.25">
      <c r="B68" s="4">
        <v>45772</v>
      </c>
      <c r="C68" s="2"/>
      <c r="D68" s="2"/>
      <c r="E68" s="2"/>
      <c r="F68" s="2"/>
      <c r="G68" s="2"/>
    </row>
    <row r="69" spans="2:7" x14ac:dyDescent="0.25">
      <c r="B69" s="4">
        <v>45773</v>
      </c>
      <c r="C69" s="2"/>
      <c r="D69" s="2"/>
      <c r="E69" s="2"/>
      <c r="F69" s="2"/>
      <c r="G69" s="2"/>
    </row>
    <row r="70" spans="2:7" x14ac:dyDescent="0.25">
      <c r="B70" s="4">
        <v>45774</v>
      </c>
      <c r="C70" s="2"/>
      <c r="D70" s="2"/>
      <c r="E70" s="2"/>
      <c r="F70" s="2"/>
      <c r="G70" s="2"/>
    </row>
    <row r="71" spans="2:7" x14ac:dyDescent="0.25">
      <c r="B71" s="4">
        <v>45775</v>
      </c>
      <c r="C71" s="2"/>
      <c r="D71" s="2"/>
      <c r="E71" s="2"/>
      <c r="F71" s="2"/>
      <c r="G71" s="2"/>
    </row>
    <row r="72" spans="2:7" x14ac:dyDescent="0.25">
      <c r="B72" s="4">
        <v>45776</v>
      </c>
      <c r="C72" s="2"/>
      <c r="D72" s="2"/>
      <c r="E72" s="2"/>
      <c r="F72" s="2"/>
      <c r="G72" s="2"/>
    </row>
    <row r="73" spans="2:7" x14ac:dyDescent="0.25">
      <c r="B73" s="4">
        <v>45777</v>
      </c>
      <c r="C73" s="2"/>
      <c r="D73" s="2"/>
      <c r="E73" s="2"/>
      <c r="F73" s="2"/>
      <c r="G73" s="2"/>
    </row>
    <row r="74" spans="2:7" x14ac:dyDescent="0.25">
      <c r="B74" s="4">
        <v>45778</v>
      </c>
      <c r="C74" s="2"/>
      <c r="D74" s="2" t="s">
        <v>3845</v>
      </c>
      <c r="E74" s="2"/>
      <c r="F74" s="2"/>
      <c r="G74" s="2"/>
    </row>
    <row r="75" spans="2:7" x14ac:dyDescent="0.25">
      <c r="B75" s="4">
        <v>45779</v>
      </c>
      <c r="C75" s="2"/>
      <c r="D75" s="2"/>
      <c r="E75" s="2"/>
      <c r="F75" s="2"/>
      <c r="G75" s="2"/>
    </row>
    <row r="76" spans="2:7" x14ac:dyDescent="0.25">
      <c r="B76" s="4">
        <v>45780</v>
      </c>
      <c r="C76" s="2"/>
      <c r="D76" s="2"/>
      <c r="E76" s="2"/>
      <c r="F76" s="2"/>
      <c r="G76" s="2"/>
    </row>
    <row r="77" spans="2:7" x14ac:dyDescent="0.25">
      <c r="B77" s="4">
        <v>45781</v>
      </c>
      <c r="C77" s="2"/>
      <c r="D77" s="2"/>
      <c r="E77" s="2"/>
      <c r="F77" s="2"/>
      <c r="G77" s="2"/>
    </row>
    <row r="78" spans="2:7" x14ac:dyDescent="0.25">
      <c r="B78" s="4">
        <v>45782</v>
      </c>
      <c r="C78" s="2" t="s">
        <v>3859</v>
      </c>
      <c r="D78" s="2"/>
      <c r="E78" s="2"/>
      <c r="F78" s="2"/>
      <c r="G78" s="2"/>
    </row>
    <row r="79" spans="2:7" x14ac:dyDescent="0.25">
      <c r="B79" s="4">
        <v>45783</v>
      </c>
      <c r="C79" s="2" t="s">
        <v>3860</v>
      </c>
      <c r="D79" s="2"/>
      <c r="E79" s="2"/>
      <c r="F79" s="2"/>
      <c r="G79" s="2"/>
    </row>
    <row r="80" spans="2:7" x14ac:dyDescent="0.25">
      <c r="B80" s="4">
        <v>45784</v>
      </c>
      <c r="C80" s="2"/>
      <c r="D80" s="2"/>
      <c r="E80" s="2"/>
      <c r="F80" s="2"/>
      <c r="G80" s="2"/>
    </row>
    <row r="81" spans="2:7" x14ac:dyDescent="0.25">
      <c r="B81" s="4">
        <v>45785</v>
      </c>
      <c r="C81" s="2" t="s">
        <v>3881</v>
      </c>
      <c r="D81" s="2"/>
      <c r="E81" s="2"/>
      <c r="F81" s="2"/>
      <c r="G81" s="2"/>
    </row>
    <row r="82" spans="2:7" x14ac:dyDescent="0.25">
      <c r="B82" s="4">
        <v>45786</v>
      </c>
      <c r="C82" s="2" t="s">
        <v>3880</v>
      </c>
      <c r="D82" s="2"/>
      <c r="E82" s="2"/>
      <c r="F82" s="2"/>
      <c r="G82" s="2"/>
    </row>
    <row r="83" spans="2:7" x14ac:dyDescent="0.25">
      <c r="B83" s="4">
        <v>45787</v>
      </c>
      <c r="C83" s="2" t="s">
        <v>3893</v>
      </c>
      <c r="D83" s="2"/>
      <c r="E83" s="2"/>
      <c r="F83" s="2"/>
      <c r="G83" s="2"/>
    </row>
    <row r="84" spans="2:7" x14ac:dyDescent="0.25">
      <c r="B84" s="4">
        <v>45788</v>
      </c>
      <c r="C84" s="2" t="s">
        <v>3894</v>
      </c>
      <c r="D84" s="2"/>
      <c r="E84" s="2"/>
      <c r="F84" s="2"/>
      <c r="G84" s="2"/>
    </row>
    <row r="85" spans="2:7" x14ac:dyDescent="0.25">
      <c r="B85" s="4">
        <v>45789</v>
      </c>
      <c r="C85" s="2" t="s">
        <v>3895</v>
      </c>
      <c r="D85" s="2"/>
      <c r="E85" s="2"/>
      <c r="F85" s="2"/>
      <c r="G85" s="2"/>
    </row>
    <row r="86" spans="2:7" x14ac:dyDescent="0.25">
      <c r="B86" s="4">
        <v>45790</v>
      </c>
      <c r="C86" s="2" t="s">
        <v>3909</v>
      </c>
      <c r="D86" s="2"/>
      <c r="E86" s="2"/>
      <c r="F86" s="2"/>
      <c r="G86" s="2"/>
    </row>
    <row r="87" spans="2:7" x14ac:dyDescent="0.25">
      <c r="B87" s="4">
        <v>45791</v>
      </c>
      <c r="C87" s="2" t="s">
        <v>3920</v>
      </c>
      <c r="D87" s="2"/>
      <c r="E87" s="2"/>
      <c r="F87" s="2"/>
      <c r="G87" s="2"/>
    </row>
    <row r="88" spans="2:7" x14ac:dyDescent="0.25">
      <c r="B88" s="4">
        <v>45792</v>
      </c>
      <c r="C88" s="2" t="s">
        <v>3929</v>
      </c>
      <c r="D88" s="2"/>
      <c r="E88" s="2"/>
      <c r="F88" s="2"/>
      <c r="G88" s="2"/>
    </row>
    <row r="89" spans="2:7" x14ac:dyDescent="0.25">
      <c r="B89" s="4">
        <v>45793</v>
      </c>
      <c r="C89" s="2"/>
      <c r="D89" s="2"/>
      <c r="E89" s="2"/>
      <c r="F89" s="2"/>
      <c r="G89" s="2"/>
    </row>
    <row r="90" spans="2:7" x14ac:dyDescent="0.25">
      <c r="B90" s="4">
        <v>45794</v>
      </c>
      <c r="C90" s="2"/>
      <c r="D90" s="2"/>
      <c r="E90" s="2"/>
      <c r="F90" s="2"/>
      <c r="G90" s="2"/>
    </row>
    <row r="91" spans="2:7" x14ac:dyDescent="0.25">
      <c r="B91" s="4">
        <v>45795</v>
      </c>
      <c r="C91" s="2" t="s">
        <v>3951</v>
      </c>
      <c r="D91" s="2"/>
      <c r="E91" s="2"/>
      <c r="F91" s="2"/>
      <c r="G91" s="2"/>
    </row>
    <row r="92" spans="2:7" x14ac:dyDescent="0.25">
      <c r="B92" s="4">
        <v>45796</v>
      </c>
      <c r="C92" s="2"/>
      <c r="D92" s="2"/>
      <c r="E92" s="2"/>
      <c r="F92" s="2"/>
      <c r="G92" s="2"/>
    </row>
    <row r="93" spans="2:7" x14ac:dyDescent="0.25">
      <c r="B93" s="2"/>
      <c r="C93" s="2"/>
      <c r="D93" s="2"/>
      <c r="E93" s="2"/>
      <c r="F93" s="2"/>
      <c r="G93" s="2"/>
    </row>
    <row r="94" spans="2:7" x14ac:dyDescent="0.25">
      <c r="B94" s="2"/>
      <c r="C94" s="2"/>
      <c r="D94" s="2"/>
      <c r="E94" s="2"/>
      <c r="F94" s="2"/>
      <c r="G94" s="2"/>
    </row>
    <row r="95" spans="2:7" x14ac:dyDescent="0.25">
      <c r="B95" s="2"/>
      <c r="C95" s="2"/>
      <c r="D95" s="2"/>
      <c r="E95" s="2"/>
      <c r="F95" s="2"/>
      <c r="G95" s="2"/>
    </row>
    <row r="96" spans="2:7" x14ac:dyDescent="0.25">
      <c r="B96" s="2"/>
      <c r="C96" s="2"/>
      <c r="D96" s="2"/>
      <c r="E96" s="2"/>
      <c r="F96" s="2"/>
      <c r="G96" s="2"/>
    </row>
    <row r="97" spans="2:7" x14ac:dyDescent="0.25">
      <c r="B97" s="2"/>
      <c r="C97" s="2"/>
      <c r="D97" s="2"/>
      <c r="E97" s="2"/>
      <c r="F97" s="2"/>
      <c r="G97" s="2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B3:G112"/>
  <sheetViews>
    <sheetView topLeftCell="A100" workbookViewId="0">
      <selection activeCell="C110" sqref="C110"/>
    </sheetView>
  </sheetViews>
  <sheetFormatPr defaultRowHeight="15" x14ac:dyDescent="0.25"/>
  <cols>
    <col min="2" max="2" width="18" bestFit="1" customWidth="1"/>
    <col min="3" max="3" width="72" bestFit="1" customWidth="1"/>
    <col min="4" max="4" width="42.140625" bestFit="1" customWidth="1"/>
    <col min="5" max="5" width="11.85546875" bestFit="1" customWidth="1"/>
    <col min="6" max="6" width="8.42578125" bestFit="1" customWidth="1"/>
    <col min="7" max="7" width="11" bestFit="1" customWidth="1"/>
  </cols>
  <sheetData>
    <row r="3" spans="2:7" x14ac:dyDescent="0.25">
      <c r="B3" s="53" t="s">
        <v>2349</v>
      </c>
    </row>
    <row r="4" spans="2:7" ht="15.75" x14ac:dyDescent="0.25">
      <c r="B4" s="10" t="s">
        <v>0</v>
      </c>
      <c r="C4" s="11" t="s">
        <v>1</v>
      </c>
      <c r="D4" s="11" t="s">
        <v>2</v>
      </c>
      <c r="E4" s="11" t="s">
        <v>934</v>
      </c>
      <c r="F4" s="11" t="s">
        <v>1095</v>
      </c>
      <c r="G4" s="11" t="s">
        <v>1507</v>
      </c>
    </row>
    <row r="5" spans="2:7" x14ac:dyDescent="0.25">
      <c r="B5" s="4">
        <v>45719</v>
      </c>
      <c r="C5" s="2" t="s">
        <v>1528</v>
      </c>
      <c r="D5" s="2"/>
      <c r="E5" s="23">
        <v>0</v>
      </c>
      <c r="F5" s="2"/>
      <c r="G5" s="2"/>
    </row>
    <row r="6" spans="2:7" x14ac:dyDescent="0.25">
      <c r="B6" s="4">
        <v>45720</v>
      </c>
      <c r="C6" s="2" t="s">
        <v>3440</v>
      </c>
      <c r="D6" s="2"/>
      <c r="E6" s="23">
        <v>0</v>
      </c>
      <c r="F6" s="2"/>
      <c r="G6" s="2"/>
    </row>
    <row r="7" spans="2:7" x14ac:dyDescent="0.25">
      <c r="B7" s="4">
        <v>45721</v>
      </c>
      <c r="C7" s="2" t="s">
        <v>3443</v>
      </c>
      <c r="D7" s="2"/>
      <c r="E7" s="23">
        <v>0</v>
      </c>
      <c r="F7" s="2"/>
      <c r="G7" s="2"/>
    </row>
    <row r="8" spans="2:7" x14ac:dyDescent="0.25">
      <c r="B8" s="4">
        <v>45722</v>
      </c>
      <c r="C8" s="2" t="s">
        <v>3455</v>
      </c>
      <c r="D8" s="2"/>
      <c r="E8" s="23">
        <v>0</v>
      </c>
      <c r="F8" s="2"/>
      <c r="G8" s="2"/>
    </row>
    <row r="9" spans="2:7" x14ac:dyDescent="0.25">
      <c r="B9" s="4">
        <v>45723</v>
      </c>
      <c r="C9" s="2" t="s">
        <v>3458</v>
      </c>
      <c r="D9" s="2" t="s">
        <v>3468</v>
      </c>
      <c r="E9" s="23">
        <v>6</v>
      </c>
      <c r="F9" s="2">
        <f>E9-E8</f>
        <v>6</v>
      </c>
      <c r="G9" s="2"/>
    </row>
    <row r="10" spans="2:7" x14ac:dyDescent="0.25">
      <c r="B10" s="4">
        <v>45724</v>
      </c>
      <c r="C10" s="2" t="s">
        <v>3471</v>
      </c>
      <c r="D10" s="2"/>
      <c r="E10" s="23">
        <v>14</v>
      </c>
      <c r="F10" s="2">
        <f t="shared" ref="F10:F32" si="0">E10-E9</f>
        <v>8</v>
      </c>
      <c r="G10" s="2"/>
    </row>
    <row r="11" spans="2:7" x14ac:dyDescent="0.25">
      <c r="B11" s="4">
        <v>45725</v>
      </c>
      <c r="C11" s="2" t="s">
        <v>3472</v>
      </c>
      <c r="D11" s="2"/>
      <c r="E11" s="23">
        <v>21</v>
      </c>
      <c r="F11" s="2">
        <f t="shared" si="0"/>
        <v>7</v>
      </c>
      <c r="G11" s="2"/>
    </row>
    <row r="12" spans="2:7" x14ac:dyDescent="0.25">
      <c r="B12" s="4">
        <v>45726</v>
      </c>
      <c r="C12" s="2" t="s">
        <v>3484</v>
      </c>
      <c r="D12" s="58"/>
      <c r="E12" s="59">
        <v>26</v>
      </c>
      <c r="F12" s="58">
        <f t="shared" si="0"/>
        <v>5</v>
      </c>
      <c r="G12" s="2"/>
    </row>
    <row r="13" spans="2:7" x14ac:dyDescent="0.25">
      <c r="B13" s="4">
        <v>45727</v>
      </c>
      <c r="C13" s="58" t="s">
        <v>3492</v>
      </c>
      <c r="D13" s="58"/>
      <c r="E13" s="59">
        <v>26</v>
      </c>
      <c r="F13" s="58">
        <f t="shared" si="0"/>
        <v>0</v>
      </c>
      <c r="G13" s="2"/>
    </row>
    <row r="14" spans="2:7" x14ac:dyDescent="0.25">
      <c r="B14" s="4">
        <v>45728</v>
      </c>
      <c r="C14" s="2" t="s">
        <v>3502</v>
      </c>
      <c r="D14" s="58"/>
      <c r="E14" s="59">
        <v>42</v>
      </c>
      <c r="F14" s="58">
        <f t="shared" si="0"/>
        <v>16</v>
      </c>
      <c r="G14" s="2"/>
    </row>
    <row r="15" spans="2:7" x14ac:dyDescent="0.25">
      <c r="B15" s="4">
        <v>45729</v>
      </c>
      <c r="C15" s="2" t="s">
        <v>3507</v>
      </c>
      <c r="D15" s="2"/>
      <c r="E15" s="23">
        <v>51</v>
      </c>
      <c r="F15" s="58">
        <f t="shared" si="0"/>
        <v>9</v>
      </c>
      <c r="G15" s="2"/>
    </row>
    <row r="16" spans="2:7" x14ac:dyDescent="0.25">
      <c r="B16" s="4">
        <v>45730</v>
      </c>
      <c r="C16" s="2" t="s">
        <v>3521</v>
      </c>
      <c r="D16" s="2"/>
      <c r="E16" s="23">
        <v>69</v>
      </c>
      <c r="F16" s="58">
        <f t="shared" si="0"/>
        <v>18</v>
      </c>
      <c r="G16" s="2"/>
    </row>
    <row r="17" spans="2:7" x14ac:dyDescent="0.25">
      <c r="B17" s="4">
        <v>45731</v>
      </c>
      <c r="C17" s="2" t="s">
        <v>3532</v>
      </c>
      <c r="D17" s="2"/>
      <c r="E17" s="23">
        <v>90</v>
      </c>
      <c r="F17" s="58">
        <f t="shared" si="0"/>
        <v>21</v>
      </c>
      <c r="G17" s="2"/>
    </row>
    <row r="18" spans="2:7" x14ac:dyDescent="0.25">
      <c r="B18" s="4">
        <v>45732</v>
      </c>
      <c r="C18" s="2" t="s">
        <v>3533</v>
      </c>
      <c r="D18" s="2"/>
      <c r="E18" s="23">
        <v>96</v>
      </c>
      <c r="F18" s="58">
        <f t="shared" si="0"/>
        <v>6</v>
      </c>
      <c r="G18" s="2"/>
    </row>
    <row r="19" spans="2:7" x14ac:dyDescent="0.25">
      <c r="B19" s="4">
        <v>45733</v>
      </c>
      <c r="C19" s="2" t="s">
        <v>3542</v>
      </c>
      <c r="D19" s="2"/>
      <c r="E19" s="23">
        <v>96</v>
      </c>
      <c r="F19" s="58">
        <f t="shared" si="0"/>
        <v>0</v>
      </c>
      <c r="G19" s="2"/>
    </row>
    <row r="20" spans="2:7" x14ac:dyDescent="0.25">
      <c r="B20" s="4">
        <v>45734</v>
      </c>
      <c r="C20" s="2" t="s">
        <v>3557</v>
      </c>
      <c r="D20" s="2"/>
      <c r="E20" s="23">
        <v>113</v>
      </c>
      <c r="F20" s="58">
        <f t="shared" si="0"/>
        <v>17</v>
      </c>
      <c r="G20" s="2"/>
    </row>
    <row r="21" spans="2:7" x14ac:dyDescent="0.25">
      <c r="B21" s="4">
        <v>45735</v>
      </c>
      <c r="C21" s="2" t="s">
        <v>3558</v>
      </c>
      <c r="D21" s="2"/>
      <c r="E21" s="23">
        <v>130</v>
      </c>
      <c r="F21" s="58">
        <f t="shared" si="0"/>
        <v>17</v>
      </c>
      <c r="G21" s="2"/>
    </row>
    <row r="22" spans="2:7" x14ac:dyDescent="0.25">
      <c r="B22" s="4">
        <v>45736</v>
      </c>
      <c r="C22" s="2" t="s">
        <v>3559</v>
      </c>
      <c r="D22" s="2"/>
      <c r="E22" s="23">
        <v>152</v>
      </c>
      <c r="F22" s="58">
        <f t="shared" si="0"/>
        <v>22</v>
      </c>
      <c r="G22" s="2"/>
    </row>
    <row r="23" spans="2:7" x14ac:dyDescent="0.25">
      <c r="B23" s="4">
        <v>45737</v>
      </c>
      <c r="C23" s="2" t="s">
        <v>3265</v>
      </c>
      <c r="D23" s="2"/>
      <c r="E23" s="23">
        <v>152</v>
      </c>
      <c r="F23" s="58">
        <f t="shared" si="0"/>
        <v>0</v>
      </c>
      <c r="G23" s="2"/>
    </row>
    <row r="24" spans="2:7" x14ac:dyDescent="0.25">
      <c r="B24" s="4">
        <v>45738</v>
      </c>
      <c r="C24" s="2" t="s">
        <v>1610</v>
      </c>
      <c r="D24" s="2"/>
      <c r="E24" s="23">
        <v>152</v>
      </c>
      <c r="F24" s="58">
        <f t="shared" si="0"/>
        <v>0</v>
      </c>
      <c r="G24" s="2"/>
    </row>
    <row r="25" spans="2:7" x14ac:dyDescent="0.25">
      <c r="B25" s="4">
        <v>45739</v>
      </c>
      <c r="C25" s="2" t="s">
        <v>3566</v>
      </c>
      <c r="D25" s="2"/>
      <c r="E25" s="23">
        <v>152</v>
      </c>
      <c r="F25" s="58">
        <f t="shared" si="0"/>
        <v>0</v>
      </c>
      <c r="G25" s="2"/>
    </row>
    <row r="26" spans="2:7" x14ac:dyDescent="0.25">
      <c r="B26" s="4">
        <v>45740</v>
      </c>
      <c r="C26" s="2" t="s">
        <v>3567</v>
      </c>
      <c r="D26" s="2"/>
      <c r="E26" s="23">
        <v>152</v>
      </c>
      <c r="F26" s="58">
        <f t="shared" si="0"/>
        <v>0</v>
      </c>
      <c r="G26" s="2"/>
    </row>
    <row r="27" spans="2:7" x14ac:dyDescent="0.25">
      <c r="B27" s="4">
        <v>45741</v>
      </c>
      <c r="C27" s="2" t="s">
        <v>3657</v>
      </c>
      <c r="D27" s="2" t="s">
        <v>3661</v>
      </c>
      <c r="E27" s="2"/>
      <c r="F27" s="58">
        <f t="shared" si="0"/>
        <v>-152</v>
      </c>
      <c r="G27" s="2"/>
    </row>
    <row r="28" spans="2:7" x14ac:dyDescent="0.25">
      <c r="B28" s="4">
        <v>45742</v>
      </c>
      <c r="C28" s="2"/>
      <c r="D28" s="2"/>
      <c r="E28" s="2"/>
      <c r="F28" s="58">
        <f t="shared" si="0"/>
        <v>0</v>
      </c>
      <c r="G28" s="2"/>
    </row>
    <row r="29" spans="2:7" x14ac:dyDescent="0.25">
      <c r="B29" s="4">
        <v>45743</v>
      </c>
      <c r="C29" s="2"/>
      <c r="D29" s="2"/>
      <c r="E29" s="2"/>
      <c r="F29" s="58">
        <f t="shared" si="0"/>
        <v>0</v>
      </c>
      <c r="G29" s="2"/>
    </row>
    <row r="30" spans="2:7" x14ac:dyDescent="0.25">
      <c r="B30" s="4">
        <v>45744</v>
      </c>
      <c r="C30" s="2" t="s">
        <v>480</v>
      </c>
      <c r="D30" s="2"/>
      <c r="E30" s="2"/>
      <c r="F30" s="58">
        <f t="shared" si="0"/>
        <v>0</v>
      </c>
      <c r="G30" s="2"/>
    </row>
    <row r="31" spans="2:7" x14ac:dyDescent="0.25">
      <c r="B31" s="4">
        <v>45745</v>
      </c>
      <c r="C31" s="2" t="s">
        <v>480</v>
      </c>
      <c r="D31" s="2"/>
      <c r="E31" s="2"/>
      <c r="F31" s="58">
        <f t="shared" si="0"/>
        <v>0</v>
      </c>
      <c r="G31" s="2"/>
    </row>
    <row r="32" spans="2:7" x14ac:dyDescent="0.25">
      <c r="B32" s="4">
        <v>45746</v>
      </c>
      <c r="C32" s="2" t="s">
        <v>480</v>
      </c>
      <c r="D32" s="2"/>
      <c r="E32" s="2"/>
      <c r="F32" s="58">
        <f t="shared" si="0"/>
        <v>0</v>
      </c>
      <c r="G32" s="2"/>
    </row>
    <row r="33" spans="2:7" x14ac:dyDescent="0.25">
      <c r="B33" s="4">
        <v>45747</v>
      </c>
      <c r="C33" s="2" t="s">
        <v>480</v>
      </c>
      <c r="D33" s="2"/>
      <c r="E33" s="2"/>
      <c r="F33" s="2"/>
      <c r="G33" s="2"/>
    </row>
    <row r="34" spans="2:7" x14ac:dyDescent="0.25">
      <c r="B34" s="4">
        <v>45748</v>
      </c>
      <c r="C34" s="2" t="s">
        <v>480</v>
      </c>
      <c r="D34" s="2"/>
      <c r="E34" s="2"/>
      <c r="F34" s="2"/>
      <c r="G34" s="2"/>
    </row>
    <row r="35" spans="2:7" x14ac:dyDescent="0.25">
      <c r="B35" s="4">
        <v>45749</v>
      </c>
      <c r="C35" s="2" t="s">
        <v>480</v>
      </c>
      <c r="D35" s="2"/>
      <c r="E35" s="2"/>
      <c r="F35" s="2"/>
      <c r="G35" s="2"/>
    </row>
    <row r="36" spans="2:7" x14ac:dyDescent="0.25">
      <c r="B36" s="4">
        <v>45750</v>
      </c>
      <c r="C36" s="2" t="s">
        <v>480</v>
      </c>
      <c r="D36" s="2"/>
      <c r="E36" s="2"/>
      <c r="F36" s="2"/>
      <c r="G36" s="2"/>
    </row>
    <row r="37" spans="2:7" x14ac:dyDescent="0.25">
      <c r="B37" s="4">
        <v>45751</v>
      </c>
      <c r="C37" s="2" t="s">
        <v>480</v>
      </c>
      <c r="D37" s="2"/>
      <c r="E37" s="2"/>
      <c r="F37" s="2"/>
      <c r="G37" s="2"/>
    </row>
    <row r="38" spans="2:7" x14ac:dyDescent="0.25">
      <c r="B38" s="4">
        <v>45752</v>
      </c>
      <c r="C38" s="2" t="s">
        <v>480</v>
      </c>
      <c r="D38" s="2"/>
      <c r="E38" s="2"/>
      <c r="F38" s="2"/>
      <c r="G38" s="2"/>
    </row>
    <row r="39" spans="2:7" x14ac:dyDescent="0.25">
      <c r="B39" s="4">
        <v>45753</v>
      </c>
      <c r="C39" s="2" t="s">
        <v>480</v>
      </c>
      <c r="D39" s="2"/>
      <c r="E39" s="2"/>
      <c r="F39" s="2"/>
      <c r="G39" s="2"/>
    </row>
    <row r="40" spans="2:7" x14ac:dyDescent="0.25">
      <c r="B40" s="4">
        <v>45754</v>
      </c>
      <c r="C40" s="2" t="s">
        <v>480</v>
      </c>
      <c r="D40" s="2"/>
      <c r="E40" s="2"/>
      <c r="F40" s="2"/>
      <c r="G40" s="2"/>
    </row>
    <row r="41" spans="2:7" x14ac:dyDescent="0.25">
      <c r="B41" s="4">
        <v>45755</v>
      </c>
      <c r="C41" s="2" t="s">
        <v>480</v>
      </c>
      <c r="D41" s="2"/>
      <c r="E41" s="2"/>
      <c r="F41" s="2"/>
      <c r="G41" s="2"/>
    </row>
    <row r="42" spans="2:7" x14ac:dyDescent="0.25">
      <c r="B42" s="4">
        <v>45756</v>
      </c>
      <c r="C42" s="2"/>
      <c r="D42" s="2"/>
      <c r="E42" s="2"/>
      <c r="F42" s="2"/>
      <c r="G42" s="2"/>
    </row>
    <row r="43" spans="2:7" x14ac:dyDescent="0.25">
      <c r="B43" s="4">
        <v>45757</v>
      </c>
      <c r="C43" s="2"/>
      <c r="D43" s="2"/>
      <c r="E43" s="2"/>
      <c r="F43" s="2"/>
      <c r="G43" s="2"/>
    </row>
    <row r="44" spans="2:7" x14ac:dyDescent="0.25">
      <c r="B44" s="4">
        <v>45758</v>
      </c>
      <c r="C44" s="2"/>
      <c r="D44" s="2"/>
      <c r="E44" s="2"/>
      <c r="F44" s="2"/>
      <c r="G44" s="2"/>
    </row>
    <row r="45" spans="2:7" x14ac:dyDescent="0.25">
      <c r="B45" s="4">
        <v>45759</v>
      </c>
      <c r="C45" s="2" t="s">
        <v>2488</v>
      </c>
      <c r="D45" s="2"/>
      <c r="E45" s="2"/>
      <c r="F45" s="2"/>
      <c r="G45" s="2"/>
    </row>
    <row r="46" spans="2:7" x14ac:dyDescent="0.25">
      <c r="B46" s="4">
        <v>45760</v>
      </c>
      <c r="C46" s="2" t="s">
        <v>3665</v>
      </c>
      <c r="D46" s="2" t="s">
        <v>3674</v>
      </c>
      <c r="E46" s="2"/>
      <c r="F46" s="2"/>
      <c r="G46" s="2"/>
    </row>
    <row r="47" spans="2:7" x14ac:dyDescent="0.25">
      <c r="B47" s="4">
        <v>45761</v>
      </c>
      <c r="C47" s="2" t="s">
        <v>3678</v>
      </c>
      <c r="D47" s="2"/>
      <c r="E47" s="2"/>
      <c r="F47" s="2"/>
      <c r="G47" s="2"/>
    </row>
    <row r="48" spans="2:7" x14ac:dyDescent="0.25">
      <c r="B48" s="4">
        <v>45762</v>
      </c>
      <c r="C48" s="2"/>
      <c r="D48" s="2"/>
      <c r="E48" s="2"/>
      <c r="F48" s="2"/>
      <c r="G48" s="2"/>
    </row>
    <row r="49" spans="2:7" x14ac:dyDescent="0.25">
      <c r="B49" s="4">
        <v>45763</v>
      </c>
      <c r="C49" s="2" t="s">
        <v>3698</v>
      </c>
      <c r="D49" s="2"/>
      <c r="E49" s="2"/>
      <c r="F49" s="2"/>
      <c r="G49" s="2"/>
    </row>
    <row r="50" spans="2:7" x14ac:dyDescent="0.25">
      <c r="B50" s="4">
        <v>45763</v>
      </c>
      <c r="C50" s="2" t="s">
        <v>3699</v>
      </c>
      <c r="D50" s="2"/>
      <c r="E50" s="2"/>
      <c r="F50" s="2"/>
      <c r="G50" s="2"/>
    </row>
    <row r="51" spans="2:7" x14ac:dyDescent="0.25">
      <c r="B51" s="4">
        <v>45763</v>
      </c>
      <c r="C51" s="2" t="s">
        <v>3700</v>
      </c>
      <c r="D51" s="2"/>
      <c r="E51" s="2"/>
      <c r="F51" s="2"/>
      <c r="G51" s="2"/>
    </row>
    <row r="52" spans="2:7" x14ac:dyDescent="0.25">
      <c r="B52" s="4">
        <v>45764</v>
      </c>
      <c r="C52" s="2" t="s">
        <v>3712</v>
      </c>
      <c r="D52" s="2"/>
      <c r="E52" s="2"/>
      <c r="F52" s="2"/>
      <c r="G52" s="2"/>
    </row>
    <row r="53" spans="2:7" x14ac:dyDescent="0.25">
      <c r="B53" s="4">
        <v>45764</v>
      </c>
      <c r="C53" s="2" t="s">
        <v>3713</v>
      </c>
      <c r="D53" s="2"/>
      <c r="E53" s="2"/>
      <c r="F53" s="2"/>
      <c r="G53" s="2"/>
    </row>
    <row r="54" spans="2:7" x14ac:dyDescent="0.25">
      <c r="B54" s="4">
        <v>45764</v>
      </c>
      <c r="C54" s="2" t="s">
        <v>3714</v>
      </c>
      <c r="D54" s="2"/>
      <c r="E54" s="2"/>
      <c r="F54" s="2"/>
      <c r="G54" s="2"/>
    </row>
    <row r="55" spans="2:7" x14ac:dyDescent="0.25">
      <c r="B55" s="4">
        <v>45764</v>
      </c>
      <c r="C55" s="2" t="s">
        <v>3715</v>
      </c>
      <c r="D55" s="2"/>
      <c r="E55" s="2"/>
      <c r="F55" s="2"/>
      <c r="G55" s="2"/>
    </row>
    <row r="56" spans="2:7" x14ac:dyDescent="0.25">
      <c r="B56" s="4">
        <v>45765</v>
      </c>
      <c r="C56" s="2" t="s">
        <v>3723</v>
      </c>
      <c r="D56" s="2"/>
      <c r="E56" s="2"/>
      <c r="F56" s="2"/>
      <c r="G56" s="2"/>
    </row>
    <row r="57" spans="2:7" x14ac:dyDescent="0.25">
      <c r="B57" s="4">
        <v>45766</v>
      </c>
      <c r="C57" s="2" t="s">
        <v>3734</v>
      </c>
      <c r="D57" s="2"/>
      <c r="E57" s="2"/>
      <c r="F57" s="2"/>
      <c r="G57" s="2"/>
    </row>
    <row r="58" spans="2:7" x14ac:dyDescent="0.25">
      <c r="B58" s="4">
        <v>45766</v>
      </c>
      <c r="C58" s="2" t="s">
        <v>3735</v>
      </c>
      <c r="D58" s="2"/>
      <c r="E58" s="2"/>
      <c r="F58" s="2"/>
      <c r="G58" s="2"/>
    </row>
    <row r="59" spans="2:7" x14ac:dyDescent="0.25">
      <c r="B59" s="4">
        <v>45766</v>
      </c>
      <c r="C59" s="2" t="s">
        <v>3736</v>
      </c>
      <c r="D59" s="2"/>
      <c r="E59" s="2"/>
      <c r="F59" s="2"/>
      <c r="G59" s="2"/>
    </row>
    <row r="60" spans="2:7" x14ac:dyDescent="0.25">
      <c r="B60" s="4">
        <v>45766</v>
      </c>
      <c r="C60" s="2" t="s">
        <v>3737</v>
      </c>
      <c r="D60" s="2"/>
      <c r="E60" s="2"/>
      <c r="F60" s="2"/>
      <c r="G60" s="2"/>
    </row>
    <row r="61" spans="2:7" x14ac:dyDescent="0.25">
      <c r="B61" s="4">
        <v>45766</v>
      </c>
      <c r="C61" s="2" t="s">
        <v>3738</v>
      </c>
      <c r="D61" s="2"/>
      <c r="E61" s="2"/>
      <c r="F61" s="2"/>
      <c r="G61" s="2"/>
    </row>
    <row r="62" spans="2:7" x14ac:dyDescent="0.25">
      <c r="B62" s="4">
        <v>45767</v>
      </c>
      <c r="C62" s="2" t="s">
        <v>3752</v>
      </c>
      <c r="D62" s="2"/>
      <c r="E62" s="2"/>
      <c r="F62" s="2"/>
      <c r="G62" s="2"/>
    </row>
    <row r="63" spans="2:7" x14ac:dyDescent="0.25">
      <c r="B63" s="4">
        <v>45768</v>
      </c>
      <c r="C63" s="2" t="s">
        <v>3753</v>
      </c>
      <c r="D63" s="2"/>
      <c r="E63" s="2"/>
      <c r="F63" s="2"/>
      <c r="G63" s="2"/>
    </row>
    <row r="64" spans="2:7" x14ac:dyDescent="0.25">
      <c r="B64" s="4">
        <v>45768</v>
      </c>
      <c r="C64" s="2" t="s">
        <v>3754</v>
      </c>
      <c r="D64" s="2"/>
      <c r="E64" s="2"/>
      <c r="F64" s="2"/>
      <c r="G64" s="2"/>
    </row>
    <row r="65" spans="2:7" x14ac:dyDescent="0.25">
      <c r="B65" s="4">
        <v>45768</v>
      </c>
      <c r="C65" s="2" t="s">
        <v>3755</v>
      </c>
      <c r="D65" s="2"/>
      <c r="E65" s="2"/>
      <c r="F65" s="2"/>
      <c r="G65" s="2"/>
    </row>
    <row r="66" spans="2:7" x14ac:dyDescent="0.25">
      <c r="B66" s="14">
        <v>45769</v>
      </c>
      <c r="C66" s="2" t="s">
        <v>3762</v>
      </c>
      <c r="D66" s="2"/>
      <c r="E66" s="2"/>
      <c r="F66" s="2"/>
      <c r="G66" s="2"/>
    </row>
    <row r="67" spans="2:7" x14ac:dyDescent="0.25">
      <c r="B67" s="14">
        <v>45770</v>
      </c>
      <c r="C67" s="2" t="s">
        <v>3770</v>
      </c>
      <c r="D67" s="2"/>
      <c r="E67" s="2"/>
      <c r="F67" s="2"/>
      <c r="G67" s="2"/>
    </row>
    <row r="68" spans="2:7" x14ac:dyDescent="0.25">
      <c r="B68" s="14">
        <v>45771</v>
      </c>
      <c r="C68" s="2" t="s">
        <v>3781</v>
      </c>
      <c r="D68" s="2"/>
      <c r="E68" s="2"/>
      <c r="F68" s="2"/>
      <c r="G68" s="2"/>
    </row>
    <row r="69" spans="2:7" x14ac:dyDescent="0.25">
      <c r="B69" s="14">
        <v>45772</v>
      </c>
      <c r="C69" s="2" t="s">
        <v>3792</v>
      </c>
      <c r="D69" s="2" t="s">
        <v>3793</v>
      </c>
      <c r="E69" s="2"/>
      <c r="F69" s="2"/>
      <c r="G69" s="2"/>
    </row>
    <row r="70" spans="2:7" x14ac:dyDescent="0.25">
      <c r="B70" s="14">
        <v>45773</v>
      </c>
      <c r="C70" s="2" t="s">
        <v>3808</v>
      </c>
      <c r="D70" s="2"/>
      <c r="E70" s="2"/>
      <c r="F70" s="2"/>
      <c r="G70" s="2"/>
    </row>
    <row r="71" spans="2:7" x14ac:dyDescent="0.25">
      <c r="B71" s="14">
        <v>45774</v>
      </c>
      <c r="C71" s="2" t="s">
        <v>3815</v>
      </c>
      <c r="D71" s="2"/>
      <c r="E71" s="2"/>
      <c r="F71" s="2"/>
      <c r="G71" s="2"/>
    </row>
    <row r="72" spans="2:7" x14ac:dyDescent="0.25">
      <c r="B72" s="14">
        <v>45775</v>
      </c>
      <c r="C72" s="2" t="s">
        <v>3820</v>
      </c>
      <c r="D72" s="2" t="s">
        <v>3829</v>
      </c>
      <c r="E72" s="2"/>
      <c r="F72" s="2"/>
      <c r="G72" s="2"/>
    </row>
    <row r="73" spans="2:7" x14ac:dyDescent="0.25">
      <c r="B73" s="14">
        <v>45776</v>
      </c>
      <c r="C73" s="2" t="s">
        <v>3837</v>
      </c>
      <c r="D73" s="2"/>
      <c r="E73" s="2"/>
      <c r="F73" s="2"/>
      <c r="G73" s="2"/>
    </row>
    <row r="74" spans="2:7" x14ac:dyDescent="0.25">
      <c r="B74" s="14">
        <v>45777</v>
      </c>
      <c r="C74" s="2" t="s">
        <v>3851</v>
      </c>
      <c r="D74" s="2"/>
      <c r="E74" s="2"/>
      <c r="F74" s="2"/>
      <c r="G74" s="2"/>
    </row>
    <row r="75" spans="2:7" x14ac:dyDescent="0.25">
      <c r="B75" s="14">
        <v>45778</v>
      </c>
      <c r="C75" s="2" t="s">
        <v>3851</v>
      </c>
      <c r="D75" s="2"/>
      <c r="E75" s="2"/>
      <c r="F75" s="2"/>
      <c r="G75" s="2"/>
    </row>
    <row r="76" spans="2:7" x14ac:dyDescent="0.25">
      <c r="B76" s="14">
        <v>45779</v>
      </c>
      <c r="C76" s="2" t="s">
        <v>3852</v>
      </c>
      <c r="D76" s="2"/>
      <c r="E76" s="2"/>
      <c r="F76" s="2"/>
      <c r="G76" s="2"/>
    </row>
    <row r="77" spans="2:7" x14ac:dyDescent="0.25">
      <c r="B77" s="14">
        <v>45779</v>
      </c>
      <c r="C77" s="2" t="s">
        <v>3853</v>
      </c>
      <c r="D77" s="2"/>
      <c r="E77" s="2"/>
      <c r="F77" s="2"/>
      <c r="G77" s="2"/>
    </row>
    <row r="78" spans="2:7" x14ac:dyDescent="0.25">
      <c r="B78" s="14">
        <v>45780</v>
      </c>
      <c r="C78" s="2"/>
      <c r="D78" s="2"/>
      <c r="E78" s="2"/>
      <c r="F78" s="2"/>
      <c r="G78" s="2"/>
    </row>
    <row r="79" spans="2:7" x14ac:dyDescent="0.25">
      <c r="B79" s="14">
        <v>45781</v>
      </c>
      <c r="C79" s="2"/>
      <c r="D79" s="2"/>
      <c r="E79" s="2"/>
      <c r="F79" s="2"/>
      <c r="G79" s="2"/>
    </row>
    <row r="80" spans="2:7" x14ac:dyDescent="0.25">
      <c r="B80" s="14">
        <v>45782</v>
      </c>
      <c r="C80" s="2" t="s">
        <v>3861</v>
      </c>
      <c r="D80" s="2"/>
      <c r="E80" s="2"/>
      <c r="F80" s="2"/>
      <c r="G80" s="2"/>
    </row>
    <row r="81" spans="2:7" x14ac:dyDescent="0.25">
      <c r="B81" s="14">
        <v>45783</v>
      </c>
      <c r="C81" s="2" t="s">
        <v>285</v>
      </c>
      <c r="D81" s="2"/>
      <c r="E81" s="2"/>
      <c r="F81" s="2"/>
      <c r="G81" s="2"/>
    </row>
    <row r="82" spans="2:7" x14ac:dyDescent="0.25">
      <c r="B82" s="14">
        <v>45784</v>
      </c>
      <c r="C82" s="2"/>
      <c r="D82" s="2"/>
      <c r="E82" s="2"/>
      <c r="F82" s="2"/>
      <c r="G82" s="2"/>
    </row>
    <row r="83" spans="2:7" x14ac:dyDescent="0.25">
      <c r="B83" s="14">
        <v>45785</v>
      </c>
      <c r="C83" s="2" t="s">
        <v>3874</v>
      </c>
      <c r="D83" s="2"/>
      <c r="E83" s="2">
        <v>0</v>
      </c>
      <c r="F83" s="2"/>
      <c r="G83" s="2"/>
    </row>
    <row r="84" spans="2:7" x14ac:dyDescent="0.25">
      <c r="B84" s="14">
        <v>45786</v>
      </c>
      <c r="C84" s="2" t="s">
        <v>3882</v>
      </c>
      <c r="D84" s="2" t="s">
        <v>3885</v>
      </c>
      <c r="E84" s="2">
        <v>36</v>
      </c>
      <c r="F84" s="2">
        <f>E84-E83</f>
        <v>36</v>
      </c>
      <c r="G84" s="2"/>
    </row>
    <row r="85" spans="2:7" x14ac:dyDescent="0.25">
      <c r="B85" s="14">
        <v>45787</v>
      </c>
      <c r="C85" s="2" t="s">
        <v>3890</v>
      </c>
      <c r="D85" s="2"/>
      <c r="E85" s="2">
        <v>56</v>
      </c>
      <c r="F85" s="2">
        <f t="shared" ref="F85:F107" si="1">E85-E84</f>
        <v>20</v>
      </c>
      <c r="G85" s="2"/>
    </row>
    <row r="86" spans="2:7" x14ac:dyDescent="0.25">
      <c r="B86" s="14">
        <v>45788</v>
      </c>
      <c r="C86" s="2" t="s">
        <v>3891</v>
      </c>
      <c r="D86" s="2"/>
      <c r="E86" s="2">
        <v>66</v>
      </c>
      <c r="F86" s="2">
        <f t="shared" si="1"/>
        <v>10</v>
      </c>
      <c r="G86" s="2"/>
    </row>
    <row r="87" spans="2:7" x14ac:dyDescent="0.25">
      <c r="B87" s="14">
        <v>45789</v>
      </c>
      <c r="C87" s="2" t="s">
        <v>3892</v>
      </c>
      <c r="D87" s="2"/>
      <c r="E87" s="2">
        <v>72</v>
      </c>
      <c r="F87" s="2">
        <f t="shared" si="1"/>
        <v>6</v>
      </c>
      <c r="G87" s="2"/>
    </row>
    <row r="88" spans="2:7" x14ac:dyDescent="0.25">
      <c r="B88" s="14">
        <v>45790</v>
      </c>
      <c r="C88" s="2" t="s">
        <v>3910</v>
      </c>
      <c r="D88" s="2"/>
      <c r="E88" s="2">
        <v>76</v>
      </c>
      <c r="F88" s="2">
        <f t="shared" si="1"/>
        <v>4</v>
      </c>
      <c r="G88" s="2"/>
    </row>
    <row r="89" spans="2:7" x14ac:dyDescent="0.25">
      <c r="B89" s="14">
        <v>45791</v>
      </c>
      <c r="C89" s="2" t="s">
        <v>3921</v>
      </c>
      <c r="D89" s="2"/>
      <c r="E89" s="2">
        <v>82</v>
      </c>
      <c r="F89" s="2">
        <f t="shared" si="1"/>
        <v>6</v>
      </c>
      <c r="G89" s="2"/>
    </row>
    <row r="90" spans="2:7" x14ac:dyDescent="0.25">
      <c r="B90" s="14">
        <v>45792</v>
      </c>
      <c r="C90" s="2" t="s">
        <v>3930</v>
      </c>
      <c r="D90" s="2"/>
      <c r="E90" s="2">
        <v>91</v>
      </c>
      <c r="F90" s="2">
        <f t="shared" si="1"/>
        <v>9</v>
      </c>
      <c r="G90" s="2"/>
    </row>
    <row r="91" spans="2:7" x14ac:dyDescent="0.25">
      <c r="B91" s="14">
        <v>45793</v>
      </c>
      <c r="C91" s="2" t="s">
        <v>3947</v>
      </c>
      <c r="D91" s="2"/>
      <c r="E91" s="2">
        <v>103</v>
      </c>
      <c r="F91" s="2">
        <f t="shared" si="1"/>
        <v>12</v>
      </c>
      <c r="G91" s="2"/>
    </row>
    <row r="92" spans="2:7" x14ac:dyDescent="0.25">
      <c r="B92" s="14">
        <v>45794</v>
      </c>
      <c r="C92" s="2" t="s">
        <v>3952</v>
      </c>
      <c r="D92" s="2"/>
      <c r="E92" s="2">
        <v>112</v>
      </c>
      <c r="F92" s="2">
        <f t="shared" si="1"/>
        <v>9</v>
      </c>
      <c r="G92" s="2"/>
    </row>
    <row r="93" spans="2:7" x14ac:dyDescent="0.25">
      <c r="B93" s="14">
        <v>45795</v>
      </c>
      <c r="C93" s="2" t="s">
        <v>3953</v>
      </c>
      <c r="D93" s="2" t="s">
        <v>3962</v>
      </c>
      <c r="E93" s="2">
        <v>119</v>
      </c>
      <c r="F93" s="2">
        <f t="shared" si="1"/>
        <v>7</v>
      </c>
      <c r="G93" s="2"/>
    </row>
    <row r="94" spans="2:7" x14ac:dyDescent="0.25">
      <c r="B94" s="14">
        <v>45796</v>
      </c>
      <c r="C94" s="2" t="s">
        <v>3990</v>
      </c>
      <c r="D94" s="2"/>
      <c r="E94" s="2">
        <v>126</v>
      </c>
      <c r="F94" s="2">
        <f t="shared" si="1"/>
        <v>7</v>
      </c>
      <c r="G94" s="2"/>
    </row>
    <row r="95" spans="2:7" x14ac:dyDescent="0.25">
      <c r="B95" s="14">
        <v>45797</v>
      </c>
      <c r="C95" s="2" t="s">
        <v>4000</v>
      </c>
      <c r="D95" s="2"/>
      <c r="E95" s="2">
        <v>132</v>
      </c>
      <c r="F95" s="2">
        <f t="shared" si="1"/>
        <v>6</v>
      </c>
      <c r="G95" s="2"/>
    </row>
    <row r="96" spans="2:7" x14ac:dyDescent="0.25">
      <c r="B96" s="14">
        <v>45798</v>
      </c>
      <c r="C96" s="2" t="s">
        <v>4007</v>
      </c>
      <c r="D96" s="2"/>
      <c r="E96" s="2">
        <v>140</v>
      </c>
      <c r="F96" s="2">
        <f t="shared" si="1"/>
        <v>8</v>
      </c>
      <c r="G96" s="2"/>
    </row>
    <row r="97" spans="2:7" x14ac:dyDescent="0.25">
      <c r="B97" s="14">
        <v>45799</v>
      </c>
      <c r="C97" s="2" t="s">
        <v>4011</v>
      </c>
      <c r="D97" s="2"/>
      <c r="E97" s="2">
        <v>147</v>
      </c>
      <c r="F97" s="2">
        <f t="shared" si="1"/>
        <v>7</v>
      </c>
      <c r="G97" s="2"/>
    </row>
    <row r="98" spans="2:7" x14ac:dyDescent="0.25">
      <c r="B98" s="14">
        <v>45800</v>
      </c>
      <c r="C98" s="2" t="s">
        <v>4022</v>
      </c>
      <c r="D98" s="2"/>
      <c r="E98" s="2">
        <v>152</v>
      </c>
      <c r="F98" s="2">
        <f t="shared" si="1"/>
        <v>5</v>
      </c>
      <c r="G98" s="2"/>
    </row>
    <row r="99" spans="2:7" x14ac:dyDescent="0.25">
      <c r="B99" s="14">
        <v>45801</v>
      </c>
      <c r="C99" s="2" t="s">
        <v>4028</v>
      </c>
      <c r="D99" s="2"/>
      <c r="E99" s="2"/>
      <c r="F99" s="2">
        <f t="shared" si="1"/>
        <v>-152</v>
      </c>
      <c r="G99" s="2"/>
    </row>
    <row r="100" spans="2:7" x14ac:dyDescent="0.25">
      <c r="B100" s="14">
        <v>45802</v>
      </c>
      <c r="C100" s="2" t="s">
        <v>3242</v>
      </c>
      <c r="D100" s="2" t="s">
        <v>4035</v>
      </c>
      <c r="E100" s="2"/>
      <c r="F100" s="2">
        <f t="shared" si="1"/>
        <v>0</v>
      </c>
      <c r="G100" s="2"/>
    </row>
    <row r="101" spans="2:7" x14ac:dyDescent="0.25">
      <c r="B101" s="14">
        <v>45803</v>
      </c>
      <c r="C101" s="2" t="s">
        <v>4053</v>
      </c>
      <c r="D101" s="2"/>
      <c r="E101" s="2"/>
      <c r="F101" s="2">
        <f t="shared" si="1"/>
        <v>0</v>
      </c>
      <c r="G101" s="2"/>
    </row>
    <row r="102" spans="2:7" x14ac:dyDescent="0.25">
      <c r="B102" s="14">
        <v>45804</v>
      </c>
      <c r="C102" s="2" t="s">
        <v>4054</v>
      </c>
      <c r="D102" s="2"/>
      <c r="E102" s="2"/>
      <c r="F102" s="2">
        <f t="shared" si="1"/>
        <v>0</v>
      </c>
      <c r="G102" s="2"/>
    </row>
    <row r="103" spans="2:7" x14ac:dyDescent="0.25">
      <c r="B103" s="14">
        <v>45805</v>
      </c>
      <c r="C103" s="2" t="s">
        <v>149</v>
      </c>
      <c r="D103" s="2"/>
      <c r="E103" s="2"/>
      <c r="F103" s="2">
        <f t="shared" si="1"/>
        <v>0</v>
      </c>
      <c r="G103" s="2"/>
    </row>
    <row r="104" spans="2:7" x14ac:dyDescent="0.25">
      <c r="B104" s="14">
        <v>45806</v>
      </c>
      <c r="C104" s="2" t="s">
        <v>149</v>
      </c>
      <c r="D104" s="2"/>
      <c r="E104" s="2"/>
      <c r="F104" s="2">
        <f t="shared" si="1"/>
        <v>0</v>
      </c>
      <c r="G104" s="2"/>
    </row>
    <row r="105" spans="2:7" x14ac:dyDescent="0.25">
      <c r="B105" s="14">
        <v>45807</v>
      </c>
      <c r="C105" s="2" t="s">
        <v>1299</v>
      </c>
      <c r="D105" s="2"/>
      <c r="E105" s="2"/>
      <c r="F105" s="2">
        <f t="shared" si="1"/>
        <v>0</v>
      </c>
      <c r="G105" s="2"/>
    </row>
    <row r="106" spans="2:7" x14ac:dyDescent="0.25">
      <c r="B106" s="14">
        <v>45808</v>
      </c>
      <c r="C106" s="2" t="s">
        <v>1166</v>
      </c>
      <c r="D106" s="2"/>
      <c r="E106" s="2"/>
      <c r="F106" s="2">
        <f t="shared" si="1"/>
        <v>0</v>
      </c>
      <c r="G106" s="2"/>
    </row>
    <row r="107" spans="2:7" x14ac:dyDescent="0.25">
      <c r="B107" s="14">
        <v>45809</v>
      </c>
      <c r="C107" s="2" t="s">
        <v>4112</v>
      </c>
      <c r="D107" s="2"/>
      <c r="E107" s="2"/>
      <c r="F107" s="2">
        <f t="shared" si="1"/>
        <v>0</v>
      </c>
      <c r="G107" s="2"/>
    </row>
    <row r="108" spans="2:7" x14ac:dyDescent="0.25">
      <c r="B108" s="14">
        <v>45810</v>
      </c>
      <c r="C108" s="2" t="s">
        <v>4122</v>
      </c>
      <c r="D108" s="2"/>
      <c r="E108" s="2"/>
      <c r="F108" s="2"/>
      <c r="G108" s="2"/>
    </row>
    <row r="109" spans="2:7" x14ac:dyDescent="0.25">
      <c r="B109" s="14">
        <v>45811</v>
      </c>
      <c r="C109" s="2" t="s">
        <v>3862</v>
      </c>
      <c r="D109" s="2"/>
      <c r="E109" s="2"/>
      <c r="F109" s="2"/>
      <c r="G109" s="2"/>
    </row>
    <row r="110" spans="2:7" x14ac:dyDescent="0.25">
      <c r="B110" s="14">
        <v>45812</v>
      </c>
      <c r="C110" s="2"/>
      <c r="D110" s="2"/>
      <c r="E110" s="2"/>
      <c r="F110" s="2"/>
      <c r="G110" s="2"/>
    </row>
    <row r="111" spans="2:7" x14ac:dyDescent="0.25">
      <c r="B111" s="2"/>
      <c r="C111" s="2"/>
      <c r="D111" s="2"/>
      <c r="E111" s="2"/>
      <c r="F111" s="2"/>
      <c r="G111" s="2"/>
    </row>
    <row r="112" spans="2:7" x14ac:dyDescent="0.25">
      <c r="B112" s="2"/>
      <c r="C112" s="2"/>
      <c r="D112" s="2"/>
      <c r="E112" s="2"/>
      <c r="F112" s="2"/>
      <c r="G112" s="2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B2:G33"/>
  <sheetViews>
    <sheetView topLeftCell="A19" workbookViewId="0">
      <selection activeCell="C29" sqref="C29"/>
    </sheetView>
  </sheetViews>
  <sheetFormatPr defaultRowHeight="15" x14ac:dyDescent="0.25"/>
  <cols>
    <col min="2" max="2" width="18" bestFit="1" customWidth="1"/>
    <col min="3" max="3" width="72" bestFit="1" customWidth="1"/>
    <col min="4" max="4" width="42.140625" bestFit="1" customWidth="1"/>
    <col min="5" max="5" width="11.85546875" bestFit="1" customWidth="1"/>
    <col min="6" max="6" width="8.42578125" bestFit="1" customWidth="1"/>
    <col min="7" max="7" width="11" bestFit="1" customWidth="1"/>
  </cols>
  <sheetData>
    <row r="2" spans="2:7" x14ac:dyDescent="0.25">
      <c r="C2" t="s">
        <v>3426</v>
      </c>
    </row>
    <row r="4" spans="2:7" ht="15.75" x14ac:dyDescent="0.25">
      <c r="B4" s="10" t="s">
        <v>0</v>
      </c>
      <c r="C4" s="11" t="s">
        <v>1</v>
      </c>
      <c r="D4" s="11" t="s">
        <v>2</v>
      </c>
      <c r="E4" s="11" t="s">
        <v>934</v>
      </c>
      <c r="F4" s="11" t="s">
        <v>1095</v>
      </c>
      <c r="G4" s="11" t="s">
        <v>1507</v>
      </c>
    </row>
    <row r="5" spans="2:7" x14ac:dyDescent="0.25">
      <c r="B5" s="4">
        <v>45716</v>
      </c>
      <c r="C5" s="2" t="s">
        <v>1528</v>
      </c>
      <c r="D5" s="2"/>
      <c r="E5" s="23">
        <v>0</v>
      </c>
      <c r="F5" s="2"/>
      <c r="G5" s="2"/>
    </row>
    <row r="6" spans="2:7" x14ac:dyDescent="0.25">
      <c r="B6" s="4">
        <v>45717</v>
      </c>
      <c r="C6" s="2" t="s">
        <v>3427</v>
      </c>
      <c r="D6" s="2"/>
      <c r="E6" s="23">
        <v>0</v>
      </c>
      <c r="F6" s="2"/>
      <c r="G6" s="2"/>
    </row>
    <row r="7" spans="2:7" x14ac:dyDescent="0.25">
      <c r="B7" s="4">
        <v>45718</v>
      </c>
      <c r="C7" s="2" t="s">
        <v>1545</v>
      </c>
      <c r="D7" s="2"/>
      <c r="E7" s="23">
        <v>0</v>
      </c>
      <c r="F7" s="2"/>
      <c r="G7" s="2"/>
    </row>
    <row r="8" spans="2:7" x14ac:dyDescent="0.25">
      <c r="B8" s="4">
        <v>45719</v>
      </c>
      <c r="C8" s="2" t="s">
        <v>3428</v>
      </c>
      <c r="D8" s="2"/>
      <c r="E8" s="23">
        <v>0</v>
      </c>
      <c r="F8" s="2"/>
      <c r="G8" s="2"/>
    </row>
    <row r="9" spans="2:7" x14ac:dyDescent="0.25">
      <c r="B9" s="4">
        <v>45720</v>
      </c>
      <c r="C9" s="2" t="s">
        <v>3441</v>
      </c>
      <c r="D9" s="2"/>
      <c r="E9" s="23">
        <v>41</v>
      </c>
      <c r="F9" s="2">
        <f>E9-E8</f>
        <v>41</v>
      </c>
      <c r="G9" s="2"/>
    </row>
    <row r="10" spans="2:7" x14ac:dyDescent="0.25">
      <c r="B10" s="4">
        <v>45721</v>
      </c>
      <c r="C10" s="2" t="s">
        <v>3474</v>
      </c>
      <c r="D10" s="2" t="s">
        <v>1020</v>
      </c>
      <c r="E10" s="23">
        <v>41</v>
      </c>
      <c r="F10" s="2">
        <f t="shared" ref="F10:F25" si="0">E10-E9</f>
        <v>0</v>
      </c>
      <c r="G10" s="2"/>
    </row>
    <row r="11" spans="2:7" x14ac:dyDescent="0.25">
      <c r="B11" s="4">
        <v>45722</v>
      </c>
      <c r="C11" s="2" t="s">
        <v>3456</v>
      </c>
      <c r="D11" s="2"/>
      <c r="E11" s="23">
        <v>42</v>
      </c>
      <c r="F11" s="2">
        <f t="shared" si="0"/>
        <v>1</v>
      </c>
      <c r="G11" s="2"/>
    </row>
    <row r="12" spans="2:7" x14ac:dyDescent="0.25">
      <c r="B12" s="4">
        <v>45723</v>
      </c>
      <c r="C12" s="2" t="s">
        <v>3457</v>
      </c>
      <c r="D12" s="58"/>
      <c r="E12" s="59">
        <v>45</v>
      </c>
      <c r="F12" s="58">
        <f t="shared" si="0"/>
        <v>3</v>
      </c>
      <c r="G12" s="2"/>
    </row>
    <row r="13" spans="2:7" x14ac:dyDescent="0.25">
      <c r="B13" s="4">
        <v>45724</v>
      </c>
      <c r="C13" s="2" t="s">
        <v>3473</v>
      </c>
      <c r="D13" s="58"/>
      <c r="E13" s="59">
        <v>55</v>
      </c>
      <c r="F13" s="58">
        <f t="shared" si="0"/>
        <v>10</v>
      </c>
      <c r="G13" s="2"/>
    </row>
    <row r="14" spans="2:7" x14ac:dyDescent="0.25">
      <c r="B14" s="4">
        <v>45725</v>
      </c>
      <c r="C14" s="2" t="s">
        <v>3475</v>
      </c>
      <c r="D14" s="58"/>
      <c r="E14" s="59">
        <v>65</v>
      </c>
      <c r="F14" s="58">
        <f t="shared" si="0"/>
        <v>10</v>
      </c>
      <c r="G14" s="2"/>
    </row>
    <row r="15" spans="2:7" x14ac:dyDescent="0.25">
      <c r="B15" s="4">
        <v>45726</v>
      </c>
      <c r="C15" s="2" t="s">
        <v>3483</v>
      </c>
      <c r="D15" s="2"/>
      <c r="E15" s="23">
        <v>71</v>
      </c>
      <c r="F15" s="58">
        <f t="shared" si="0"/>
        <v>6</v>
      </c>
      <c r="G15" s="2"/>
    </row>
    <row r="16" spans="2:7" x14ac:dyDescent="0.25">
      <c r="B16" s="4">
        <v>45727</v>
      </c>
      <c r="C16" s="2" t="s">
        <v>3491</v>
      </c>
      <c r="D16" s="2"/>
      <c r="E16" s="23">
        <v>82</v>
      </c>
      <c r="F16" s="58">
        <f t="shared" si="0"/>
        <v>11</v>
      </c>
      <c r="G16" s="2"/>
    </row>
    <row r="17" spans="2:7" x14ac:dyDescent="0.25">
      <c r="B17" s="4">
        <v>45728</v>
      </c>
      <c r="C17" s="2" t="s">
        <v>3503</v>
      </c>
      <c r="D17" s="2"/>
      <c r="E17" s="23">
        <v>90</v>
      </c>
      <c r="F17" s="58">
        <f t="shared" si="0"/>
        <v>8</v>
      </c>
      <c r="G17" s="2"/>
    </row>
    <row r="18" spans="2:7" x14ac:dyDescent="0.25">
      <c r="B18" s="4">
        <v>45729</v>
      </c>
      <c r="C18" s="2" t="s">
        <v>3506</v>
      </c>
      <c r="D18" s="2" t="s">
        <v>1827</v>
      </c>
      <c r="E18" s="23">
        <v>100</v>
      </c>
      <c r="F18" s="58">
        <f t="shared" si="0"/>
        <v>10</v>
      </c>
      <c r="G18" s="2"/>
    </row>
    <row r="19" spans="2:7" x14ac:dyDescent="0.25">
      <c r="B19" s="4">
        <v>45730</v>
      </c>
      <c r="C19" s="2" t="s">
        <v>1827</v>
      </c>
      <c r="D19" s="2"/>
      <c r="E19" s="23">
        <v>100</v>
      </c>
      <c r="F19" s="58">
        <f t="shared" si="0"/>
        <v>0</v>
      </c>
      <c r="G19" s="2"/>
    </row>
    <row r="20" spans="2:7" x14ac:dyDescent="0.25">
      <c r="B20" s="4">
        <v>45731</v>
      </c>
      <c r="C20" s="2" t="s">
        <v>3522</v>
      </c>
      <c r="D20" s="2"/>
      <c r="E20" s="23">
        <v>40</v>
      </c>
      <c r="F20" s="58">
        <f t="shared" si="0"/>
        <v>-60</v>
      </c>
      <c r="G20" s="2"/>
    </row>
    <row r="21" spans="2:7" x14ac:dyDescent="0.25">
      <c r="B21" s="4">
        <v>45732</v>
      </c>
      <c r="C21" s="2" t="s">
        <v>3534</v>
      </c>
      <c r="D21" s="2"/>
      <c r="E21" s="23">
        <v>100</v>
      </c>
      <c r="F21" s="58">
        <f t="shared" si="0"/>
        <v>60</v>
      </c>
      <c r="G21" s="2"/>
    </row>
    <row r="22" spans="2:7" x14ac:dyDescent="0.25">
      <c r="B22" s="4">
        <v>45733</v>
      </c>
      <c r="C22" s="2" t="s">
        <v>149</v>
      </c>
      <c r="D22" s="2"/>
      <c r="E22" s="23">
        <v>100</v>
      </c>
      <c r="F22" s="58">
        <f t="shared" si="0"/>
        <v>0</v>
      </c>
      <c r="G22" s="2"/>
    </row>
    <row r="23" spans="2:7" x14ac:dyDescent="0.25">
      <c r="B23" s="4">
        <v>45734</v>
      </c>
      <c r="C23" s="2" t="s">
        <v>149</v>
      </c>
      <c r="D23" s="2"/>
      <c r="E23" s="23">
        <v>100</v>
      </c>
      <c r="F23" s="58">
        <f t="shared" si="0"/>
        <v>0</v>
      </c>
      <c r="G23" s="2"/>
    </row>
    <row r="24" spans="2:7" x14ac:dyDescent="0.25">
      <c r="B24" s="4">
        <v>45735</v>
      </c>
      <c r="C24" s="2" t="s">
        <v>1178</v>
      </c>
      <c r="D24" s="2"/>
      <c r="E24" s="23">
        <v>100</v>
      </c>
      <c r="F24" s="58">
        <f t="shared" si="0"/>
        <v>0</v>
      </c>
      <c r="G24" s="2"/>
    </row>
    <row r="25" spans="2:7" x14ac:dyDescent="0.25">
      <c r="B25" s="4">
        <v>45736</v>
      </c>
      <c r="C25" s="2" t="s">
        <v>1166</v>
      </c>
      <c r="D25" s="2"/>
      <c r="E25" s="23">
        <v>100</v>
      </c>
      <c r="F25" s="58">
        <f t="shared" si="0"/>
        <v>0</v>
      </c>
      <c r="G25" s="2"/>
    </row>
    <row r="26" spans="2:7" x14ac:dyDescent="0.25">
      <c r="B26" s="4">
        <v>45737</v>
      </c>
      <c r="C26" s="2" t="s">
        <v>1166</v>
      </c>
      <c r="D26" s="2"/>
      <c r="E26" s="2"/>
      <c r="F26" s="2"/>
      <c r="G26" s="2"/>
    </row>
    <row r="27" spans="2:7" x14ac:dyDescent="0.25">
      <c r="B27" s="4">
        <v>45738</v>
      </c>
      <c r="C27" s="2" t="s">
        <v>3565</v>
      </c>
      <c r="D27" s="2"/>
      <c r="E27" s="2"/>
      <c r="F27" s="2"/>
      <c r="G27" s="2"/>
    </row>
    <row r="28" spans="2:7" x14ac:dyDescent="0.25">
      <c r="B28" s="4">
        <v>45739</v>
      </c>
      <c r="C28" s="2"/>
      <c r="D28" s="2"/>
      <c r="E28" s="2"/>
      <c r="F28" s="2"/>
      <c r="G28" s="2"/>
    </row>
    <row r="29" spans="2:7" x14ac:dyDescent="0.25">
      <c r="B29" s="4">
        <v>45740</v>
      </c>
      <c r="C29" s="2"/>
      <c r="D29" s="2"/>
      <c r="E29" s="2"/>
      <c r="F29" s="2"/>
      <c r="G29" s="2"/>
    </row>
    <row r="30" spans="2:7" x14ac:dyDescent="0.25">
      <c r="B30" s="4">
        <v>45741</v>
      </c>
      <c r="C30" s="2"/>
      <c r="D30" s="2"/>
      <c r="E30" s="2"/>
      <c r="F30" s="2"/>
      <c r="G30" s="2"/>
    </row>
    <row r="31" spans="2:7" x14ac:dyDescent="0.25">
      <c r="B31" s="4">
        <v>45742</v>
      </c>
      <c r="C31" s="2"/>
      <c r="D31" s="2"/>
      <c r="E31" s="2"/>
      <c r="F31" s="2"/>
      <c r="G31" s="2"/>
    </row>
    <row r="32" spans="2:7" x14ac:dyDescent="0.25">
      <c r="B32" s="2"/>
      <c r="C32" s="2"/>
      <c r="D32" s="2"/>
      <c r="E32" s="2"/>
      <c r="F32" s="2"/>
      <c r="G32" s="2"/>
    </row>
    <row r="33" spans="2:7" x14ac:dyDescent="0.25">
      <c r="B33" s="2"/>
      <c r="C33" s="2"/>
      <c r="D33" s="2"/>
      <c r="E33" s="2"/>
      <c r="F33" s="2"/>
      <c r="G33" s="2"/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B3:G57"/>
  <sheetViews>
    <sheetView topLeftCell="A38" workbookViewId="0">
      <selection activeCell="C48" sqref="C48"/>
    </sheetView>
  </sheetViews>
  <sheetFormatPr defaultRowHeight="15" x14ac:dyDescent="0.25"/>
  <cols>
    <col min="2" max="2" width="18" bestFit="1" customWidth="1"/>
    <col min="3" max="3" width="72" bestFit="1" customWidth="1"/>
    <col min="4" max="4" width="42.140625" bestFit="1" customWidth="1"/>
    <col min="5" max="5" width="11.85546875" bestFit="1" customWidth="1"/>
    <col min="6" max="6" width="8.42578125" bestFit="1" customWidth="1"/>
    <col min="7" max="7" width="11" bestFit="1" customWidth="1"/>
  </cols>
  <sheetData>
    <row r="3" spans="2:7" x14ac:dyDescent="0.25">
      <c r="B3" s="53" t="s">
        <v>3577</v>
      </c>
    </row>
    <row r="4" spans="2:7" ht="15.75" x14ac:dyDescent="0.25">
      <c r="B4" s="10" t="s">
        <v>0</v>
      </c>
      <c r="C4" s="11" t="s">
        <v>1</v>
      </c>
      <c r="D4" s="11" t="s">
        <v>2</v>
      </c>
      <c r="E4" s="11" t="s">
        <v>934</v>
      </c>
      <c r="F4" s="11" t="s">
        <v>1095</v>
      </c>
      <c r="G4" s="11" t="s">
        <v>1507</v>
      </c>
    </row>
    <row r="5" spans="2:7" x14ac:dyDescent="0.25">
      <c r="B5" s="4">
        <v>45735</v>
      </c>
      <c r="C5" s="2" t="s">
        <v>1528</v>
      </c>
      <c r="D5" s="2"/>
      <c r="E5" s="23">
        <v>0</v>
      </c>
      <c r="F5" s="2"/>
      <c r="G5" s="2"/>
    </row>
    <row r="6" spans="2:7" x14ac:dyDescent="0.25">
      <c r="B6" s="4">
        <v>45736</v>
      </c>
      <c r="C6" s="2" t="s">
        <v>1528</v>
      </c>
      <c r="D6" s="2"/>
      <c r="E6" s="23">
        <v>0</v>
      </c>
      <c r="F6" s="2"/>
      <c r="G6" s="2"/>
    </row>
    <row r="7" spans="2:7" x14ac:dyDescent="0.25">
      <c r="B7" s="4">
        <v>45737</v>
      </c>
      <c r="C7" s="2" t="s">
        <v>1528</v>
      </c>
      <c r="D7" s="2"/>
      <c r="E7" s="23">
        <v>0</v>
      </c>
      <c r="F7" s="2"/>
      <c r="G7" s="2"/>
    </row>
    <row r="8" spans="2:7" x14ac:dyDescent="0.25">
      <c r="B8" s="4">
        <v>45738</v>
      </c>
      <c r="C8" s="2"/>
      <c r="D8" s="2"/>
      <c r="E8" s="23">
        <v>0</v>
      </c>
      <c r="F8" s="2"/>
      <c r="G8" s="2"/>
    </row>
    <row r="9" spans="2:7" x14ac:dyDescent="0.25">
      <c r="B9" s="4">
        <v>45739</v>
      </c>
      <c r="C9" s="2"/>
      <c r="D9" s="2"/>
      <c r="E9" s="23">
        <v>0</v>
      </c>
      <c r="F9" s="2">
        <f>E9-E8</f>
        <v>0</v>
      </c>
      <c r="G9" s="2"/>
    </row>
    <row r="10" spans="2:7" x14ac:dyDescent="0.25">
      <c r="B10" s="4">
        <v>45740</v>
      </c>
      <c r="C10" s="2" t="s">
        <v>3580</v>
      </c>
      <c r="D10" s="2"/>
      <c r="E10" s="23">
        <v>0</v>
      </c>
      <c r="F10" s="2">
        <f t="shared" ref="F10:F38" si="0">E10-E9</f>
        <v>0</v>
      </c>
      <c r="G10" s="2"/>
    </row>
    <row r="11" spans="2:7" x14ac:dyDescent="0.25">
      <c r="B11" s="4">
        <v>45741</v>
      </c>
      <c r="C11" s="2"/>
      <c r="D11" s="2"/>
      <c r="E11" s="23">
        <v>0</v>
      </c>
      <c r="F11" s="2">
        <f t="shared" si="0"/>
        <v>0</v>
      </c>
      <c r="G11" s="2"/>
    </row>
    <row r="12" spans="2:7" x14ac:dyDescent="0.25">
      <c r="B12" s="4">
        <v>45742</v>
      </c>
      <c r="C12" s="58"/>
      <c r="D12" s="58"/>
      <c r="E12" s="23">
        <v>0</v>
      </c>
      <c r="F12" s="2">
        <f t="shared" si="0"/>
        <v>0</v>
      </c>
      <c r="G12" s="2"/>
    </row>
    <row r="13" spans="2:7" x14ac:dyDescent="0.25">
      <c r="B13" s="4">
        <v>45743</v>
      </c>
      <c r="C13" s="58"/>
      <c r="D13" s="58"/>
      <c r="E13" s="23">
        <v>0</v>
      </c>
      <c r="F13" s="2">
        <f t="shared" si="0"/>
        <v>0</v>
      </c>
      <c r="G13" s="2"/>
    </row>
    <row r="14" spans="2:7" x14ac:dyDescent="0.25">
      <c r="B14" s="4">
        <v>45744</v>
      </c>
      <c r="C14" s="58"/>
      <c r="D14" s="58"/>
      <c r="E14" s="23">
        <v>0</v>
      </c>
      <c r="F14" s="2">
        <f t="shared" si="0"/>
        <v>0</v>
      </c>
      <c r="G14" s="2"/>
    </row>
    <row r="15" spans="2:7" x14ac:dyDescent="0.25">
      <c r="B15" s="4">
        <v>45745</v>
      </c>
      <c r="C15" s="2" t="s">
        <v>131</v>
      </c>
      <c r="D15" s="2"/>
      <c r="E15" s="23">
        <v>0</v>
      </c>
      <c r="F15" s="2">
        <f t="shared" si="0"/>
        <v>0</v>
      </c>
      <c r="G15" s="2"/>
    </row>
    <row r="16" spans="2:7" x14ac:dyDescent="0.25">
      <c r="B16" s="4">
        <v>45746</v>
      </c>
      <c r="C16" s="2" t="s">
        <v>131</v>
      </c>
      <c r="D16" s="2"/>
      <c r="E16" s="23">
        <v>0</v>
      </c>
      <c r="F16" s="2">
        <f t="shared" si="0"/>
        <v>0</v>
      </c>
      <c r="G16" s="2"/>
    </row>
    <row r="17" spans="2:7" x14ac:dyDescent="0.25">
      <c r="B17" s="4">
        <v>45747</v>
      </c>
      <c r="C17" s="2" t="s">
        <v>131</v>
      </c>
      <c r="D17" s="2"/>
      <c r="E17" s="23">
        <v>0</v>
      </c>
      <c r="F17" s="2">
        <f t="shared" si="0"/>
        <v>0</v>
      </c>
      <c r="G17" s="2"/>
    </row>
    <row r="18" spans="2:7" x14ac:dyDescent="0.25">
      <c r="B18" s="4">
        <v>45748</v>
      </c>
      <c r="C18" s="2" t="s">
        <v>131</v>
      </c>
      <c r="D18" s="2"/>
      <c r="E18" s="23">
        <v>0</v>
      </c>
      <c r="F18" s="2">
        <f t="shared" si="0"/>
        <v>0</v>
      </c>
      <c r="G18" s="2"/>
    </row>
    <row r="19" spans="2:7" x14ac:dyDescent="0.25">
      <c r="B19" s="4">
        <v>45749</v>
      </c>
      <c r="C19" s="2" t="s">
        <v>131</v>
      </c>
      <c r="D19" s="2"/>
      <c r="E19" s="23">
        <v>0</v>
      </c>
      <c r="F19" s="2">
        <f t="shared" si="0"/>
        <v>0</v>
      </c>
      <c r="G19" s="2"/>
    </row>
    <row r="20" spans="2:7" x14ac:dyDescent="0.25">
      <c r="B20" s="4">
        <v>45750</v>
      </c>
      <c r="C20" s="2" t="s">
        <v>131</v>
      </c>
      <c r="D20" s="2"/>
      <c r="E20" s="23">
        <v>0</v>
      </c>
      <c r="F20" s="2">
        <f t="shared" si="0"/>
        <v>0</v>
      </c>
      <c r="G20" s="2"/>
    </row>
    <row r="21" spans="2:7" x14ac:dyDescent="0.25">
      <c r="B21" s="4">
        <v>45751</v>
      </c>
      <c r="C21" s="2" t="s">
        <v>131</v>
      </c>
      <c r="D21" s="2"/>
      <c r="E21" s="23">
        <v>0</v>
      </c>
      <c r="F21" s="2">
        <f t="shared" si="0"/>
        <v>0</v>
      </c>
      <c r="G21" s="2"/>
    </row>
    <row r="22" spans="2:7" x14ac:dyDescent="0.25">
      <c r="B22" s="4">
        <v>45752</v>
      </c>
      <c r="C22" s="2" t="s">
        <v>131</v>
      </c>
      <c r="D22" s="2"/>
      <c r="E22" s="23">
        <v>0</v>
      </c>
      <c r="F22" s="2">
        <f t="shared" si="0"/>
        <v>0</v>
      </c>
      <c r="G22" s="2"/>
    </row>
    <row r="23" spans="2:7" x14ac:dyDescent="0.25">
      <c r="B23" s="4">
        <v>45753</v>
      </c>
      <c r="C23" s="2" t="s">
        <v>131</v>
      </c>
      <c r="D23" s="2"/>
      <c r="E23" s="23">
        <v>0</v>
      </c>
      <c r="F23" s="2">
        <f t="shared" si="0"/>
        <v>0</v>
      </c>
      <c r="G23" s="2"/>
    </row>
    <row r="24" spans="2:7" x14ac:dyDescent="0.25">
      <c r="B24" s="4">
        <v>45754</v>
      </c>
      <c r="C24" s="2" t="s">
        <v>3641</v>
      </c>
      <c r="D24" s="2"/>
      <c r="E24" s="23">
        <v>1</v>
      </c>
      <c r="F24" s="2">
        <f t="shared" si="0"/>
        <v>1</v>
      </c>
      <c r="G24" s="2"/>
    </row>
    <row r="25" spans="2:7" x14ac:dyDescent="0.25">
      <c r="B25" s="4">
        <v>45755</v>
      </c>
      <c r="C25" s="2" t="s">
        <v>3642</v>
      </c>
      <c r="D25" s="2" t="s">
        <v>3645</v>
      </c>
      <c r="E25" s="23">
        <v>1</v>
      </c>
      <c r="F25" s="2">
        <f t="shared" si="0"/>
        <v>0</v>
      </c>
      <c r="G25" s="2"/>
    </row>
    <row r="26" spans="2:7" x14ac:dyDescent="0.25">
      <c r="B26" s="4">
        <v>45756</v>
      </c>
      <c r="C26" s="2" t="s">
        <v>3651</v>
      </c>
      <c r="D26" s="2"/>
      <c r="E26" s="23">
        <v>2</v>
      </c>
      <c r="F26" s="2">
        <f t="shared" si="0"/>
        <v>1</v>
      </c>
      <c r="G26" s="2"/>
    </row>
    <row r="27" spans="2:7" x14ac:dyDescent="0.25">
      <c r="B27" s="4">
        <v>45757</v>
      </c>
      <c r="C27" s="2" t="s">
        <v>3672</v>
      </c>
      <c r="D27" s="2"/>
      <c r="E27" s="23">
        <v>3</v>
      </c>
      <c r="F27" s="2">
        <f t="shared" si="0"/>
        <v>1</v>
      </c>
      <c r="G27" s="2"/>
    </row>
    <row r="28" spans="2:7" x14ac:dyDescent="0.25">
      <c r="B28" s="4">
        <v>45758</v>
      </c>
      <c r="C28" s="2" t="s">
        <v>3670</v>
      </c>
      <c r="D28" s="2"/>
      <c r="E28" s="23">
        <v>4</v>
      </c>
      <c r="F28" s="2">
        <f t="shared" si="0"/>
        <v>1</v>
      </c>
      <c r="G28" s="2"/>
    </row>
    <row r="29" spans="2:7" x14ac:dyDescent="0.25">
      <c r="B29" s="4">
        <v>45759</v>
      </c>
      <c r="C29" s="2" t="s">
        <v>3671</v>
      </c>
      <c r="D29" s="2"/>
      <c r="E29" s="23">
        <v>5</v>
      </c>
      <c r="F29" s="2">
        <f t="shared" si="0"/>
        <v>1</v>
      </c>
      <c r="G29" s="2"/>
    </row>
    <row r="30" spans="2:7" x14ac:dyDescent="0.25">
      <c r="B30" s="4">
        <v>45760</v>
      </c>
      <c r="C30" s="2" t="s">
        <v>3669</v>
      </c>
      <c r="D30" s="2"/>
      <c r="E30" s="23">
        <v>6</v>
      </c>
      <c r="F30" s="2">
        <f t="shared" si="0"/>
        <v>1</v>
      </c>
      <c r="G30" s="2"/>
    </row>
    <row r="31" spans="2:7" x14ac:dyDescent="0.25">
      <c r="B31" s="4">
        <v>45761</v>
      </c>
      <c r="C31" s="2" t="s">
        <v>3679</v>
      </c>
      <c r="D31" s="2"/>
      <c r="E31" s="23">
        <v>7</v>
      </c>
      <c r="F31" s="2">
        <f t="shared" si="0"/>
        <v>1</v>
      </c>
      <c r="G31" s="2"/>
    </row>
    <row r="32" spans="2:7" x14ac:dyDescent="0.25">
      <c r="B32" s="4">
        <v>45762</v>
      </c>
      <c r="C32" s="2" t="s">
        <v>3684</v>
      </c>
      <c r="D32" s="2"/>
      <c r="E32" s="23">
        <v>0</v>
      </c>
      <c r="F32" s="2">
        <f t="shared" si="0"/>
        <v>-7</v>
      </c>
      <c r="G32" s="2"/>
    </row>
    <row r="33" spans="2:7" x14ac:dyDescent="0.25">
      <c r="B33" s="4">
        <v>45763</v>
      </c>
      <c r="C33" s="2" t="s">
        <v>3701</v>
      </c>
      <c r="D33" s="2"/>
      <c r="E33" s="23">
        <v>0</v>
      </c>
      <c r="F33" s="2">
        <f t="shared" si="0"/>
        <v>0</v>
      </c>
      <c r="G33" s="2"/>
    </row>
    <row r="34" spans="2:7" x14ac:dyDescent="0.25">
      <c r="B34" s="4">
        <v>45764</v>
      </c>
      <c r="C34" s="2" t="s">
        <v>3716</v>
      </c>
      <c r="D34" s="2" t="s">
        <v>3717</v>
      </c>
      <c r="E34" s="23">
        <v>0</v>
      </c>
      <c r="F34" s="2">
        <f t="shared" si="0"/>
        <v>0</v>
      </c>
      <c r="G34" s="2"/>
    </row>
    <row r="35" spans="2:7" x14ac:dyDescent="0.25">
      <c r="B35" s="4">
        <v>45765</v>
      </c>
      <c r="C35" s="2" t="s">
        <v>3739</v>
      </c>
      <c r="D35" s="2"/>
      <c r="E35" s="23">
        <v>0</v>
      </c>
      <c r="F35" s="2">
        <f t="shared" si="0"/>
        <v>0</v>
      </c>
      <c r="G35" s="2"/>
    </row>
    <row r="36" spans="2:7" x14ac:dyDescent="0.25">
      <c r="B36" s="4">
        <v>45766</v>
      </c>
      <c r="C36" s="2" t="s">
        <v>3739</v>
      </c>
      <c r="D36" s="2"/>
      <c r="E36" s="23">
        <v>0</v>
      </c>
      <c r="F36" s="2">
        <f t="shared" si="0"/>
        <v>0</v>
      </c>
      <c r="G36" s="2"/>
    </row>
    <row r="37" spans="2:7" x14ac:dyDescent="0.25">
      <c r="B37" s="4">
        <v>45767</v>
      </c>
      <c r="C37" s="2" t="s">
        <v>3739</v>
      </c>
      <c r="D37" s="2"/>
      <c r="E37" s="23">
        <v>0</v>
      </c>
      <c r="F37" s="2">
        <f t="shared" si="0"/>
        <v>0</v>
      </c>
      <c r="G37" s="2"/>
    </row>
    <row r="38" spans="2:7" x14ac:dyDescent="0.25">
      <c r="B38" s="4">
        <v>45768</v>
      </c>
      <c r="C38" s="2" t="s">
        <v>3756</v>
      </c>
      <c r="D38" s="2" t="s">
        <v>3785</v>
      </c>
      <c r="E38" s="23">
        <v>0</v>
      </c>
      <c r="F38" s="2">
        <f t="shared" si="0"/>
        <v>0</v>
      </c>
      <c r="G38" s="2"/>
    </row>
    <row r="39" spans="2:7" x14ac:dyDescent="0.25">
      <c r="B39" s="4">
        <v>45769</v>
      </c>
      <c r="C39" s="2"/>
      <c r="D39" s="2"/>
      <c r="E39" s="23">
        <v>0</v>
      </c>
      <c r="F39" s="2"/>
      <c r="G39" s="2"/>
    </row>
    <row r="40" spans="2:7" x14ac:dyDescent="0.25">
      <c r="B40" s="4">
        <v>45770</v>
      </c>
      <c r="C40" s="2"/>
      <c r="D40" s="2"/>
      <c r="E40" s="23">
        <v>0</v>
      </c>
      <c r="F40" s="2"/>
      <c r="G40" s="2"/>
    </row>
    <row r="41" spans="2:7" x14ac:dyDescent="0.25">
      <c r="B41" s="4">
        <v>45771</v>
      </c>
      <c r="C41" s="2"/>
      <c r="D41" s="2"/>
      <c r="E41" s="23">
        <v>0</v>
      </c>
      <c r="F41" s="2"/>
      <c r="G41" s="2"/>
    </row>
    <row r="42" spans="2:7" x14ac:dyDescent="0.25">
      <c r="B42" s="4">
        <v>45772</v>
      </c>
      <c r="C42" s="2"/>
      <c r="D42" s="2"/>
      <c r="E42" s="2"/>
      <c r="F42" s="2"/>
      <c r="G42" s="2"/>
    </row>
    <row r="43" spans="2:7" x14ac:dyDescent="0.25">
      <c r="B43" s="4">
        <v>45773</v>
      </c>
      <c r="C43" s="2"/>
      <c r="D43" s="2"/>
      <c r="E43" s="2"/>
      <c r="F43" s="2"/>
      <c r="G43" s="2"/>
    </row>
    <row r="44" spans="2:7" x14ac:dyDescent="0.25">
      <c r="B44" s="4">
        <v>45774</v>
      </c>
      <c r="C44" s="2"/>
      <c r="D44" s="2"/>
      <c r="E44" s="2"/>
      <c r="F44" s="2"/>
      <c r="G44" s="2"/>
    </row>
    <row r="45" spans="2:7" x14ac:dyDescent="0.25">
      <c r="B45" s="4">
        <v>45775</v>
      </c>
      <c r="C45" s="2" t="s">
        <v>3824</v>
      </c>
      <c r="D45" s="2"/>
      <c r="E45" s="2"/>
      <c r="F45" s="2"/>
      <c r="G45" s="2"/>
    </row>
    <row r="46" spans="2:7" x14ac:dyDescent="0.25">
      <c r="B46" s="4">
        <v>45776</v>
      </c>
      <c r="C46" s="2"/>
      <c r="D46" s="2"/>
      <c r="E46" s="2"/>
      <c r="F46" s="2"/>
      <c r="G46" s="2"/>
    </row>
    <row r="47" spans="2:7" x14ac:dyDescent="0.25">
      <c r="B47" s="4">
        <v>45777</v>
      </c>
      <c r="C47" s="2"/>
      <c r="D47" s="2"/>
      <c r="E47" s="2"/>
      <c r="F47" s="2"/>
      <c r="G47" s="2"/>
    </row>
    <row r="48" spans="2:7" x14ac:dyDescent="0.25">
      <c r="B48" s="4">
        <v>45778</v>
      </c>
      <c r="C48" s="2"/>
      <c r="D48" s="2"/>
      <c r="E48" s="2"/>
      <c r="F48" s="2"/>
      <c r="G48" s="2"/>
    </row>
    <row r="49" spans="2:7" x14ac:dyDescent="0.25">
      <c r="B49" s="4">
        <v>45779</v>
      </c>
      <c r="C49" s="2"/>
      <c r="D49" s="2"/>
      <c r="E49" s="2"/>
      <c r="F49" s="2"/>
      <c r="G49" s="2"/>
    </row>
    <row r="50" spans="2:7" x14ac:dyDescent="0.25">
      <c r="B50" s="2"/>
      <c r="C50" s="2"/>
      <c r="D50" s="2"/>
      <c r="E50" s="2"/>
      <c r="F50" s="2"/>
      <c r="G50" s="2"/>
    </row>
    <row r="51" spans="2:7" x14ac:dyDescent="0.25">
      <c r="B51" s="2"/>
      <c r="C51" s="2"/>
      <c r="D51" s="2"/>
      <c r="E51" s="2"/>
      <c r="F51" s="2"/>
      <c r="G51" s="2"/>
    </row>
    <row r="52" spans="2:7" x14ac:dyDescent="0.25">
      <c r="B52" s="2"/>
      <c r="C52" s="2"/>
      <c r="D52" s="2"/>
      <c r="E52" s="2"/>
      <c r="F52" s="2"/>
      <c r="G52" s="2"/>
    </row>
    <row r="53" spans="2:7" x14ac:dyDescent="0.25">
      <c r="B53" s="2"/>
      <c r="C53" s="2"/>
      <c r="D53" s="2"/>
      <c r="E53" s="2"/>
      <c r="F53" s="2"/>
      <c r="G53" s="2"/>
    </row>
    <row r="54" spans="2:7" x14ac:dyDescent="0.25">
      <c r="B54" s="2"/>
      <c r="C54" s="2"/>
      <c r="D54" s="2"/>
      <c r="E54" s="2"/>
      <c r="F54" s="2"/>
      <c r="G54" s="2"/>
    </row>
    <row r="55" spans="2:7" x14ac:dyDescent="0.25">
      <c r="B55" s="2"/>
      <c r="C55" s="2"/>
      <c r="D55" s="2"/>
      <c r="E55" s="2"/>
      <c r="F55" s="2"/>
      <c r="G55" s="2"/>
    </row>
    <row r="56" spans="2:7" x14ac:dyDescent="0.25">
      <c r="B56" s="2"/>
      <c r="C56" s="2"/>
      <c r="D56" s="2"/>
      <c r="E56" s="2"/>
      <c r="F56" s="2"/>
      <c r="G56" s="2"/>
    </row>
    <row r="57" spans="2:7" x14ac:dyDescent="0.25">
      <c r="B57" s="2"/>
      <c r="C57" s="2"/>
      <c r="D57" s="2"/>
      <c r="E57" s="2"/>
      <c r="F57" s="2"/>
      <c r="G57" s="2"/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B3:G58"/>
  <sheetViews>
    <sheetView topLeftCell="A46" workbookViewId="0">
      <selection activeCell="C12" sqref="C12"/>
    </sheetView>
  </sheetViews>
  <sheetFormatPr defaultRowHeight="15" x14ac:dyDescent="0.25"/>
  <cols>
    <col min="2" max="2" width="18" bestFit="1" customWidth="1"/>
    <col min="3" max="3" width="72" bestFit="1" customWidth="1"/>
    <col min="4" max="4" width="42.140625" bestFit="1" customWidth="1"/>
    <col min="5" max="5" width="11.85546875" bestFit="1" customWidth="1"/>
    <col min="6" max="6" width="8.42578125" bestFit="1" customWidth="1"/>
    <col min="7" max="7" width="11" bestFit="1" customWidth="1"/>
  </cols>
  <sheetData>
    <row r="3" spans="2:7" x14ac:dyDescent="0.25">
      <c r="B3" s="53" t="s">
        <v>3576</v>
      </c>
    </row>
    <row r="4" spans="2:7" ht="15.75" x14ac:dyDescent="0.25">
      <c r="B4" s="10" t="s">
        <v>0</v>
      </c>
      <c r="C4" s="11" t="s">
        <v>1</v>
      </c>
      <c r="D4" s="11" t="s">
        <v>2</v>
      </c>
      <c r="E4" s="11" t="s">
        <v>934</v>
      </c>
      <c r="F4" s="11" t="s">
        <v>1095</v>
      </c>
      <c r="G4" s="11" t="s">
        <v>1507</v>
      </c>
    </row>
    <row r="5" spans="2:7" x14ac:dyDescent="0.25">
      <c r="B5" s="4">
        <v>45735</v>
      </c>
      <c r="C5" s="2" t="s">
        <v>1528</v>
      </c>
      <c r="D5" s="2"/>
      <c r="E5" s="23">
        <v>0</v>
      </c>
      <c r="F5" s="2"/>
      <c r="G5" s="2"/>
    </row>
    <row r="6" spans="2:7" x14ac:dyDescent="0.25">
      <c r="B6" s="4">
        <v>45736</v>
      </c>
      <c r="C6" s="2" t="s">
        <v>1528</v>
      </c>
      <c r="D6" s="2"/>
      <c r="E6" s="23">
        <v>0</v>
      </c>
      <c r="F6" s="2"/>
      <c r="G6" s="2"/>
    </row>
    <row r="7" spans="2:7" x14ac:dyDescent="0.25">
      <c r="B7" s="4">
        <v>45737</v>
      </c>
      <c r="C7" s="2" t="s">
        <v>1545</v>
      </c>
      <c r="D7" s="2"/>
      <c r="E7" s="23">
        <v>0</v>
      </c>
      <c r="F7" s="2"/>
      <c r="G7" s="2"/>
    </row>
    <row r="8" spans="2:7" x14ac:dyDescent="0.25">
      <c r="B8" s="4">
        <v>45738</v>
      </c>
      <c r="C8" s="2" t="s">
        <v>3579</v>
      </c>
      <c r="D8" s="2"/>
      <c r="E8" s="23">
        <v>0</v>
      </c>
      <c r="F8" s="2"/>
      <c r="G8" s="2"/>
    </row>
    <row r="9" spans="2:7" x14ac:dyDescent="0.25">
      <c r="B9" s="4">
        <v>45739</v>
      </c>
      <c r="C9" s="2" t="s">
        <v>3578</v>
      </c>
      <c r="D9" s="2"/>
      <c r="E9" s="23">
        <v>0</v>
      </c>
      <c r="F9" s="2">
        <f>E9-E8</f>
        <v>0</v>
      </c>
      <c r="G9" s="2"/>
    </row>
    <row r="10" spans="2:7" x14ac:dyDescent="0.25">
      <c r="B10" s="4">
        <v>45740</v>
      </c>
      <c r="C10" s="2" t="s">
        <v>3582</v>
      </c>
      <c r="D10" s="2"/>
      <c r="E10" s="23">
        <v>2</v>
      </c>
      <c r="F10" s="2">
        <f t="shared" ref="F10:F38" si="0">E10-E9</f>
        <v>2</v>
      </c>
      <c r="G10" s="2"/>
    </row>
    <row r="11" spans="2:7" x14ac:dyDescent="0.25">
      <c r="B11" s="4">
        <v>45741</v>
      </c>
      <c r="C11" s="2" t="s">
        <v>3586</v>
      </c>
      <c r="D11" s="2"/>
      <c r="E11" s="23">
        <v>2.5</v>
      </c>
      <c r="F11" s="2">
        <f t="shared" si="0"/>
        <v>0.5</v>
      </c>
      <c r="G11" s="2"/>
    </row>
    <row r="12" spans="2:7" x14ac:dyDescent="0.25">
      <c r="B12" s="4">
        <v>45742</v>
      </c>
      <c r="C12" s="58"/>
      <c r="D12" s="58"/>
      <c r="E12" s="23">
        <v>0</v>
      </c>
      <c r="F12" s="2">
        <f t="shared" si="0"/>
        <v>-2.5</v>
      </c>
      <c r="G12" s="2"/>
    </row>
    <row r="13" spans="2:7" x14ac:dyDescent="0.25">
      <c r="B13" s="4">
        <v>45743</v>
      </c>
      <c r="C13" s="58"/>
      <c r="D13" s="58"/>
      <c r="E13" s="23">
        <v>0</v>
      </c>
      <c r="F13" s="2">
        <f t="shared" si="0"/>
        <v>0</v>
      </c>
      <c r="G13" s="2"/>
    </row>
    <row r="14" spans="2:7" x14ac:dyDescent="0.25">
      <c r="B14" s="4">
        <v>45744</v>
      </c>
      <c r="C14" s="58" t="s">
        <v>131</v>
      </c>
      <c r="D14" s="58"/>
      <c r="E14" s="23">
        <v>0</v>
      </c>
      <c r="F14" s="2">
        <f t="shared" si="0"/>
        <v>0</v>
      </c>
      <c r="G14" s="2"/>
    </row>
    <row r="15" spans="2:7" x14ac:dyDescent="0.25">
      <c r="B15" s="4">
        <v>45745</v>
      </c>
      <c r="C15" s="58" t="s">
        <v>131</v>
      </c>
      <c r="D15" s="2"/>
      <c r="E15" s="23">
        <v>0</v>
      </c>
      <c r="F15" s="2">
        <f t="shared" si="0"/>
        <v>0</v>
      </c>
      <c r="G15" s="2"/>
    </row>
    <row r="16" spans="2:7" x14ac:dyDescent="0.25">
      <c r="B16" s="4">
        <v>45746</v>
      </c>
      <c r="C16" s="58" t="s">
        <v>131</v>
      </c>
      <c r="D16" s="2"/>
      <c r="E16" s="23">
        <v>0</v>
      </c>
      <c r="F16" s="2">
        <f t="shared" si="0"/>
        <v>0</v>
      </c>
      <c r="G16" s="2"/>
    </row>
    <row r="17" spans="2:7" x14ac:dyDescent="0.25">
      <c r="B17" s="4">
        <v>45747</v>
      </c>
      <c r="C17" s="58" t="s">
        <v>131</v>
      </c>
      <c r="D17" s="2"/>
      <c r="E17" s="23">
        <v>0</v>
      </c>
      <c r="F17" s="2">
        <f t="shared" si="0"/>
        <v>0</v>
      </c>
      <c r="G17" s="2"/>
    </row>
    <row r="18" spans="2:7" x14ac:dyDescent="0.25">
      <c r="B18" s="4">
        <v>45748</v>
      </c>
      <c r="C18" s="58" t="s">
        <v>131</v>
      </c>
      <c r="D18" s="2"/>
      <c r="E18" s="23">
        <v>0</v>
      </c>
      <c r="F18" s="2">
        <f t="shared" si="0"/>
        <v>0</v>
      </c>
      <c r="G18" s="2"/>
    </row>
    <row r="19" spans="2:7" x14ac:dyDescent="0.25">
      <c r="B19" s="4">
        <v>45749</v>
      </c>
      <c r="C19" s="58" t="s">
        <v>131</v>
      </c>
      <c r="D19" s="2"/>
      <c r="E19" s="23">
        <v>0</v>
      </c>
      <c r="F19" s="2">
        <f t="shared" si="0"/>
        <v>0</v>
      </c>
      <c r="G19" s="2"/>
    </row>
    <row r="20" spans="2:7" x14ac:dyDescent="0.25">
      <c r="B20" s="4">
        <v>45750</v>
      </c>
      <c r="C20" s="58" t="s">
        <v>131</v>
      </c>
      <c r="D20" s="2"/>
      <c r="E20" s="23">
        <v>0</v>
      </c>
      <c r="F20" s="2">
        <f t="shared" si="0"/>
        <v>0</v>
      </c>
      <c r="G20" s="2"/>
    </row>
    <row r="21" spans="2:7" x14ac:dyDescent="0.25">
      <c r="B21" s="4">
        <v>45751</v>
      </c>
      <c r="C21" s="58" t="s">
        <v>131</v>
      </c>
      <c r="D21" s="2"/>
      <c r="E21" s="23">
        <v>0</v>
      </c>
      <c r="F21" s="2">
        <f t="shared" si="0"/>
        <v>0</v>
      </c>
      <c r="G21" s="2"/>
    </row>
    <row r="22" spans="2:7" x14ac:dyDescent="0.25">
      <c r="B22" s="4">
        <v>45752</v>
      </c>
      <c r="C22" s="58" t="s">
        <v>131</v>
      </c>
      <c r="D22" s="2"/>
      <c r="E22" s="23">
        <v>0</v>
      </c>
      <c r="F22" s="2">
        <f t="shared" si="0"/>
        <v>0</v>
      </c>
      <c r="G22" s="2"/>
    </row>
    <row r="23" spans="2:7" x14ac:dyDescent="0.25">
      <c r="B23" s="4">
        <v>45753</v>
      </c>
      <c r="C23" s="58" t="s">
        <v>131</v>
      </c>
      <c r="D23" s="2"/>
      <c r="E23" s="23">
        <v>0</v>
      </c>
      <c r="F23" s="2">
        <f t="shared" si="0"/>
        <v>0</v>
      </c>
      <c r="G23" s="2"/>
    </row>
    <row r="24" spans="2:7" x14ac:dyDescent="0.25">
      <c r="B24" s="4">
        <v>45754</v>
      </c>
      <c r="C24" s="58" t="s">
        <v>131</v>
      </c>
      <c r="D24" s="2"/>
      <c r="E24" s="23">
        <v>0</v>
      </c>
      <c r="F24" s="2">
        <f t="shared" si="0"/>
        <v>0</v>
      </c>
      <c r="G24" s="2"/>
    </row>
    <row r="25" spans="2:7" x14ac:dyDescent="0.25">
      <c r="B25" s="4">
        <v>45755</v>
      </c>
      <c r="C25" s="58" t="s">
        <v>131</v>
      </c>
      <c r="D25" s="2"/>
      <c r="E25" s="23">
        <v>0</v>
      </c>
      <c r="F25" s="2">
        <f t="shared" si="0"/>
        <v>0</v>
      </c>
      <c r="G25" s="2"/>
    </row>
    <row r="26" spans="2:7" x14ac:dyDescent="0.25">
      <c r="B26" s="4">
        <v>45756</v>
      </c>
      <c r="C26" s="58" t="s">
        <v>131</v>
      </c>
      <c r="D26" s="2"/>
      <c r="E26" s="23">
        <v>0</v>
      </c>
      <c r="F26" s="2">
        <f t="shared" si="0"/>
        <v>0</v>
      </c>
      <c r="G26" s="2"/>
    </row>
    <row r="27" spans="2:7" x14ac:dyDescent="0.25">
      <c r="B27" s="4">
        <v>45757</v>
      </c>
      <c r="C27" s="2" t="s">
        <v>3655</v>
      </c>
      <c r="D27" s="2"/>
      <c r="E27" s="23">
        <v>3.5</v>
      </c>
      <c r="F27" s="2">
        <f t="shared" si="0"/>
        <v>3.5</v>
      </c>
      <c r="G27" s="2"/>
    </row>
    <row r="28" spans="2:7" x14ac:dyDescent="0.25">
      <c r="B28" s="4">
        <v>45758</v>
      </c>
      <c r="C28" s="2" t="s">
        <v>3655</v>
      </c>
      <c r="D28" s="2"/>
      <c r="E28" s="23">
        <v>4.5</v>
      </c>
      <c r="F28" s="2">
        <f t="shared" si="0"/>
        <v>1</v>
      </c>
      <c r="G28" s="2"/>
    </row>
    <row r="29" spans="2:7" x14ac:dyDescent="0.25">
      <c r="B29" s="4">
        <v>45759</v>
      </c>
      <c r="C29" s="2"/>
      <c r="D29" s="2"/>
      <c r="E29" s="2">
        <v>0</v>
      </c>
      <c r="F29" s="2">
        <f t="shared" si="0"/>
        <v>-4.5</v>
      </c>
      <c r="G29" s="2"/>
    </row>
    <row r="30" spans="2:7" x14ac:dyDescent="0.25">
      <c r="B30" s="4">
        <v>45760</v>
      </c>
      <c r="C30" s="2"/>
      <c r="D30" s="2"/>
      <c r="E30" s="2">
        <v>0</v>
      </c>
      <c r="F30" s="2">
        <f t="shared" si="0"/>
        <v>0</v>
      </c>
      <c r="G30" s="2"/>
    </row>
    <row r="31" spans="2:7" x14ac:dyDescent="0.25">
      <c r="B31" s="4">
        <v>45761</v>
      </c>
      <c r="C31" s="2" t="s">
        <v>3680</v>
      </c>
      <c r="D31" s="2"/>
      <c r="E31" s="2">
        <v>0</v>
      </c>
      <c r="F31" s="2">
        <f t="shared" si="0"/>
        <v>0</v>
      </c>
      <c r="G31" s="2"/>
    </row>
    <row r="32" spans="2:7" x14ac:dyDescent="0.25">
      <c r="B32" s="4">
        <v>45762</v>
      </c>
      <c r="C32" s="2"/>
      <c r="D32" s="2"/>
      <c r="E32" s="2">
        <v>0</v>
      </c>
      <c r="F32" s="2">
        <f t="shared" si="0"/>
        <v>0</v>
      </c>
      <c r="G32" s="2"/>
    </row>
    <row r="33" spans="2:7" x14ac:dyDescent="0.25">
      <c r="B33" s="4">
        <v>45763</v>
      </c>
      <c r="C33" s="2" t="s">
        <v>3702</v>
      </c>
      <c r="D33" s="2"/>
      <c r="E33" s="2">
        <v>4</v>
      </c>
      <c r="F33" s="2">
        <f t="shared" si="0"/>
        <v>4</v>
      </c>
      <c r="G33" s="2"/>
    </row>
    <row r="34" spans="2:7" x14ac:dyDescent="0.25">
      <c r="B34" s="4">
        <v>45764</v>
      </c>
      <c r="C34" s="2" t="s">
        <v>3718</v>
      </c>
      <c r="D34" s="2"/>
      <c r="E34" s="2">
        <v>8.5</v>
      </c>
      <c r="F34" s="2">
        <f t="shared" si="0"/>
        <v>4.5</v>
      </c>
      <c r="G34" s="2"/>
    </row>
    <row r="35" spans="2:7" x14ac:dyDescent="0.25">
      <c r="B35" s="4">
        <v>45765</v>
      </c>
      <c r="C35" s="2" t="s">
        <v>3746</v>
      </c>
      <c r="D35" s="2"/>
      <c r="E35" s="2"/>
      <c r="F35" s="2">
        <f t="shared" si="0"/>
        <v>-8.5</v>
      </c>
      <c r="G35" s="2"/>
    </row>
    <row r="36" spans="2:7" x14ac:dyDescent="0.25">
      <c r="B36" s="4">
        <v>45766</v>
      </c>
      <c r="C36" s="2" t="s">
        <v>3746</v>
      </c>
      <c r="D36" s="2"/>
      <c r="E36" s="2"/>
      <c r="F36" s="2">
        <f t="shared" si="0"/>
        <v>0</v>
      </c>
      <c r="G36" s="2"/>
    </row>
    <row r="37" spans="2:7" x14ac:dyDescent="0.25">
      <c r="B37" s="4">
        <v>45767</v>
      </c>
      <c r="C37" s="2" t="s">
        <v>3746</v>
      </c>
      <c r="D37" s="2"/>
      <c r="E37" s="2"/>
      <c r="F37" s="2">
        <f t="shared" si="0"/>
        <v>0</v>
      </c>
      <c r="G37" s="2"/>
    </row>
    <row r="38" spans="2:7" x14ac:dyDescent="0.25">
      <c r="B38" s="4">
        <v>45768</v>
      </c>
      <c r="C38" s="2" t="s">
        <v>3763</v>
      </c>
      <c r="D38" s="2"/>
      <c r="E38" s="2"/>
      <c r="F38" s="2">
        <f t="shared" si="0"/>
        <v>0</v>
      </c>
      <c r="G38" s="2"/>
    </row>
    <row r="39" spans="2:7" x14ac:dyDescent="0.25">
      <c r="B39" s="4">
        <v>45769</v>
      </c>
      <c r="C39" s="2" t="s">
        <v>3771</v>
      </c>
      <c r="D39" s="2"/>
      <c r="E39" s="2">
        <v>11</v>
      </c>
      <c r="F39" s="2"/>
      <c r="G39" s="2"/>
    </row>
    <row r="40" spans="2:7" x14ac:dyDescent="0.25">
      <c r="B40" s="4">
        <v>45770</v>
      </c>
      <c r="C40" s="2" t="s">
        <v>3782</v>
      </c>
      <c r="D40" s="2"/>
      <c r="E40" s="2"/>
      <c r="F40" s="2"/>
      <c r="G40" s="2"/>
    </row>
    <row r="41" spans="2:7" x14ac:dyDescent="0.25">
      <c r="B41" s="4">
        <v>45771</v>
      </c>
      <c r="C41" s="2" t="s">
        <v>3786</v>
      </c>
      <c r="D41" s="2"/>
      <c r="E41" s="2"/>
      <c r="F41" s="2"/>
      <c r="G41" s="2"/>
    </row>
    <row r="42" spans="2:7" x14ac:dyDescent="0.25">
      <c r="B42" s="4">
        <v>45772</v>
      </c>
      <c r="C42" s="2" t="s">
        <v>3794</v>
      </c>
      <c r="D42" s="2"/>
      <c r="E42" s="2"/>
      <c r="F42" s="2"/>
      <c r="G42" s="2"/>
    </row>
    <row r="43" spans="2:7" x14ac:dyDescent="0.25">
      <c r="B43" s="4">
        <v>45773</v>
      </c>
      <c r="C43" s="2" t="s">
        <v>3809</v>
      </c>
      <c r="D43" s="2"/>
      <c r="E43" s="2"/>
      <c r="F43" s="2"/>
      <c r="G43" s="2"/>
    </row>
    <row r="44" spans="2:7" x14ac:dyDescent="0.25">
      <c r="B44" s="4">
        <v>45774</v>
      </c>
      <c r="C44" s="2" t="s">
        <v>3810</v>
      </c>
      <c r="D44" s="2"/>
      <c r="E44" s="2"/>
      <c r="F44" s="2"/>
      <c r="G44" s="2"/>
    </row>
    <row r="45" spans="2:7" x14ac:dyDescent="0.25">
      <c r="B45" s="4">
        <v>45775</v>
      </c>
      <c r="C45" s="2" t="s">
        <v>3821</v>
      </c>
      <c r="D45" s="2" t="s">
        <v>3826</v>
      </c>
      <c r="E45" s="2"/>
      <c r="F45" s="2"/>
      <c r="G45" s="2"/>
    </row>
    <row r="46" spans="2:7" x14ac:dyDescent="0.25">
      <c r="B46" s="4">
        <v>45776</v>
      </c>
      <c r="C46" s="2"/>
      <c r="D46" s="2"/>
      <c r="E46" s="2"/>
      <c r="F46" s="2"/>
      <c r="G46" s="2"/>
    </row>
    <row r="47" spans="2:7" x14ac:dyDescent="0.25">
      <c r="B47" s="4">
        <v>45777</v>
      </c>
      <c r="C47" s="2"/>
      <c r="D47" s="2"/>
      <c r="E47" s="2"/>
      <c r="F47" s="2"/>
      <c r="G47" s="2"/>
    </row>
    <row r="48" spans="2:7" x14ac:dyDescent="0.25">
      <c r="B48" s="4">
        <v>45778</v>
      </c>
      <c r="C48" s="2" t="s">
        <v>3838</v>
      </c>
      <c r="D48" s="2" t="s">
        <v>3846</v>
      </c>
      <c r="E48" s="2">
        <v>10</v>
      </c>
      <c r="F48" s="2"/>
      <c r="G48" s="2"/>
    </row>
    <row r="49" spans="2:7" x14ac:dyDescent="0.25">
      <c r="B49" s="4">
        <v>45779</v>
      </c>
      <c r="C49" s="2" t="s">
        <v>3854</v>
      </c>
      <c r="D49" s="2"/>
      <c r="E49" s="2"/>
      <c r="F49" s="2"/>
      <c r="G49" s="2"/>
    </row>
    <row r="50" spans="2:7" x14ac:dyDescent="0.25">
      <c r="B50" s="4">
        <v>45780</v>
      </c>
      <c r="C50" s="2" t="s">
        <v>3863</v>
      </c>
      <c r="D50" s="2"/>
      <c r="E50" s="2"/>
      <c r="F50" s="2"/>
      <c r="G50" s="2"/>
    </row>
    <row r="51" spans="2:7" x14ac:dyDescent="0.25">
      <c r="B51" s="4">
        <v>45781</v>
      </c>
      <c r="C51" s="2"/>
      <c r="D51" s="2"/>
      <c r="E51" s="2"/>
      <c r="F51" s="2"/>
      <c r="G51" s="2"/>
    </row>
    <row r="52" spans="2:7" x14ac:dyDescent="0.25">
      <c r="B52" s="4">
        <v>45782</v>
      </c>
      <c r="C52" s="2"/>
      <c r="D52" s="2"/>
      <c r="E52" s="2"/>
      <c r="F52" s="2"/>
      <c r="G52" s="2"/>
    </row>
    <row r="53" spans="2:7" x14ac:dyDescent="0.25">
      <c r="B53" s="4">
        <v>45783</v>
      </c>
      <c r="C53" s="2" t="s">
        <v>2281</v>
      </c>
      <c r="D53" s="2"/>
      <c r="E53" s="2"/>
      <c r="F53" s="2"/>
      <c r="G53" s="2"/>
    </row>
    <row r="54" spans="2:7" x14ac:dyDescent="0.25">
      <c r="B54" s="4">
        <v>45784</v>
      </c>
      <c r="C54" s="2" t="s">
        <v>2355</v>
      </c>
      <c r="D54" s="2"/>
      <c r="E54" s="2"/>
      <c r="F54" s="2"/>
      <c r="G54" s="2"/>
    </row>
    <row r="55" spans="2:7" x14ac:dyDescent="0.25">
      <c r="B55" s="4">
        <v>45785</v>
      </c>
      <c r="C55" s="2" t="s">
        <v>3862</v>
      </c>
      <c r="D55" s="2"/>
      <c r="E55" s="2"/>
      <c r="F55" s="2"/>
      <c r="G55" s="2"/>
    </row>
    <row r="56" spans="2:7" x14ac:dyDescent="0.25">
      <c r="B56" s="2"/>
      <c r="C56" s="2"/>
      <c r="D56" s="2"/>
      <c r="E56" s="2"/>
      <c r="F56" s="2"/>
      <c r="G56" s="2"/>
    </row>
    <row r="57" spans="2:7" x14ac:dyDescent="0.25">
      <c r="B57" s="2"/>
      <c r="C57" s="2"/>
      <c r="D57" s="2"/>
      <c r="E57" s="2"/>
      <c r="F57" s="2"/>
      <c r="G57" s="2"/>
    </row>
    <row r="58" spans="2:7" x14ac:dyDescent="0.25">
      <c r="B58" s="2"/>
      <c r="C58" s="2"/>
      <c r="D58" s="2"/>
      <c r="E58" s="2"/>
      <c r="F58" s="2"/>
      <c r="G58" s="2"/>
    </row>
  </sheetData>
  <autoFilter ref="B4:G55" xr:uid="{00000000-0009-0000-0000-000033000000}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B3:G43"/>
  <sheetViews>
    <sheetView topLeftCell="A10" workbookViewId="0">
      <selection activeCell="C19" sqref="C19"/>
    </sheetView>
  </sheetViews>
  <sheetFormatPr defaultRowHeight="15" x14ac:dyDescent="0.25"/>
  <cols>
    <col min="2" max="2" width="18" bestFit="1" customWidth="1"/>
    <col min="3" max="3" width="72" bestFit="1" customWidth="1"/>
    <col min="4" max="4" width="42.140625" bestFit="1" customWidth="1"/>
    <col min="5" max="5" width="11.85546875" bestFit="1" customWidth="1"/>
    <col min="6" max="6" width="8.42578125" bestFit="1" customWidth="1"/>
    <col min="7" max="7" width="11" bestFit="1" customWidth="1"/>
  </cols>
  <sheetData>
    <row r="3" spans="2:7" x14ac:dyDescent="0.25">
      <c r="B3" s="53" t="s">
        <v>954</v>
      </c>
    </row>
    <row r="4" spans="2:7" ht="15.75" x14ac:dyDescent="0.25">
      <c r="B4" s="10" t="s">
        <v>0</v>
      </c>
      <c r="C4" s="11" t="s">
        <v>1</v>
      </c>
      <c r="D4" s="11" t="s">
        <v>2</v>
      </c>
      <c r="E4" s="11" t="s">
        <v>934</v>
      </c>
      <c r="F4" s="11" t="s">
        <v>1095</v>
      </c>
      <c r="G4" s="11" t="s">
        <v>1507</v>
      </c>
    </row>
    <row r="5" spans="2:7" x14ac:dyDescent="0.25">
      <c r="B5" s="4">
        <v>45782</v>
      </c>
      <c r="C5" s="2" t="s">
        <v>1528</v>
      </c>
      <c r="D5" s="2"/>
      <c r="E5" s="23">
        <v>0</v>
      </c>
      <c r="F5" s="2"/>
      <c r="G5" s="2"/>
    </row>
    <row r="6" spans="2:7" x14ac:dyDescent="0.25">
      <c r="B6" s="4">
        <v>45783</v>
      </c>
      <c r="C6" s="2" t="s">
        <v>1828</v>
      </c>
      <c r="D6" s="2"/>
      <c r="E6" s="23">
        <v>0</v>
      </c>
      <c r="F6" s="2">
        <f t="shared" ref="F6:F17" si="0">E6-E5</f>
        <v>0</v>
      </c>
      <c r="G6" s="2"/>
    </row>
    <row r="7" spans="2:7" x14ac:dyDescent="0.25">
      <c r="B7" s="4">
        <v>45784</v>
      </c>
      <c r="C7" s="2" t="s">
        <v>3868</v>
      </c>
      <c r="D7" s="2"/>
      <c r="E7" s="23">
        <v>40</v>
      </c>
      <c r="F7" s="2">
        <f t="shared" si="0"/>
        <v>40</v>
      </c>
      <c r="G7" s="2"/>
    </row>
    <row r="8" spans="2:7" x14ac:dyDescent="0.25">
      <c r="B8" s="4">
        <v>45785</v>
      </c>
      <c r="C8" s="2" t="s">
        <v>3875</v>
      </c>
      <c r="D8" s="2"/>
      <c r="E8" s="23">
        <v>90</v>
      </c>
      <c r="F8" s="2">
        <f t="shared" si="0"/>
        <v>50</v>
      </c>
      <c r="G8" s="2"/>
    </row>
    <row r="9" spans="2:7" x14ac:dyDescent="0.25">
      <c r="B9" s="4">
        <v>45786</v>
      </c>
      <c r="C9" s="2" t="s">
        <v>3883</v>
      </c>
      <c r="D9" s="2" t="s">
        <v>3886</v>
      </c>
      <c r="E9" s="23">
        <v>100</v>
      </c>
      <c r="F9" s="2">
        <f t="shared" si="0"/>
        <v>10</v>
      </c>
      <c r="G9" s="2"/>
    </row>
    <row r="10" spans="2:7" x14ac:dyDescent="0.25">
      <c r="B10" s="4">
        <v>45787</v>
      </c>
      <c r="C10" s="2" t="s">
        <v>3902</v>
      </c>
      <c r="D10" s="2"/>
      <c r="E10" s="23">
        <v>120</v>
      </c>
      <c r="F10" s="2">
        <f t="shared" si="0"/>
        <v>20</v>
      </c>
      <c r="G10" s="2"/>
    </row>
    <row r="11" spans="2:7" x14ac:dyDescent="0.25">
      <c r="B11" s="4">
        <v>45788</v>
      </c>
      <c r="C11" s="2" t="s">
        <v>3903</v>
      </c>
      <c r="D11" s="2"/>
      <c r="E11" s="23">
        <v>140</v>
      </c>
      <c r="F11" s="2">
        <f t="shared" si="0"/>
        <v>20</v>
      </c>
      <c r="G11" s="2"/>
    </row>
    <row r="12" spans="2:7" x14ac:dyDescent="0.25">
      <c r="B12" s="4">
        <v>45789</v>
      </c>
      <c r="C12" s="2" t="s">
        <v>3901</v>
      </c>
      <c r="D12" s="58"/>
      <c r="E12" s="23">
        <v>160</v>
      </c>
      <c r="F12" s="2">
        <f t="shared" si="0"/>
        <v>20</v>
      </c>
      <c r="G12" s="2"/>
    </row>
    <row r="13" spans="2:7" x14ac:dyDescent="0.25">
      <c r="B13" s="4">
        <v>45790</v>
      </c>
      <c r="C13" s="2" t="s">
        <v>3911</v>
      </c>
      <c r="D13" s="58"/>
      <c r="E13" s="23"/>
      <c r="F13" s="2">
        <f t="shared" si="0"/>
        <v>-160</v>
      </c>
      <c r="G13" s="2"/>
    </row>
    <row r="14" spans="2:7" x14ac:dyDescent="0.25">
      <c r="B14" s="4">
        <v>45791</v>
      </c>
      <c r="C14" s="2" t="s">
        <v>1178</v>
      </c>
      <c r="D14" s="58" t="s">
        <v>3925</v>
      </c>
      <c r="E14" s="23"/>
      <c r="F14" s="2">
        <f t="shared" si="0"/>
        <v>0</v>
      </c>
      <c r="G14" s="2"/>
    </row>
    <row r="15" spans="2:7" x14ac:dyDescent="0.25">
      <c r="B15" s="4">
        <v>45792</v>
      </c>
      <c r="C15" s="2" t="s">
        <v>3931</v>
      </c>
      <c r="D15" s="2" t="s">
        <v>3933</v>
      </c>
      <c r="E15" s="23"/>
      <c r="F15" s="2">
        <f t="shared" si="0"/>
        <v>0</v>
      </c>
      <c r="G15" s="2"/>
    </row>
    <row r="16" spans="2:7" x14ac:dyDescent="0.25">
      <c r="B16" s="4">
        <v>45793</v>
      </c>
      <c r="C16" s="2"/>
      <c r="D16" s="2"/>
      <c r="E16" s="23"/>
      <c r="F16" s="2">
        <f t="shared" si="0"/>
        <v>0</v>
      </c>
      <c r="G16" s="2"/>
    </row>
    <row r="17" spans="2:7" x14ac:dyDescent="0.25">
      <c r="B17" s="4">
        <v>45794</v>
      </c>
      <c r="C17" s="2"/>
      <c r="D17" s="2"/>
      <c r="E17" s="23"/>
      <c r="F17" s="2">
        <f t="shared" si="0"/>
        <v>0</v>
      </c>
      <c r="G17" s="2"/>
    </row>
    <row r="18" spans="2:7" x14ac:dyDescent="0.25">
      <c r="B18" s="4">
        <v>45795</v>
      </c>
      <c r="C18" s="2"/>
      <c r="D18" s="2"/>
      <c r="E18" s="23"/>
      <c r="F18" s="2"/>
      <c r="G18" s="2"/>
    </row>
    <row r="19" spans="2:7" x14ac:dyDescent="0.25">
      <c r="B19" s="4">
        <v>45796</v>
      </c>
      <c r="C19" s="58"/>
      <c r="D19" s="2"/>
      <c r="E19" s="23"/>
      <c r="F19" s="2"/>
      <c r="G19" s="2"/>
    </row>
    <row r="20" spans="2:7" x14ac:dyDescent="0.25">
      <c r="B20" s="4">
        <v>45797</v>
      </c>
      <c r="C20" s="2" t="s">
        <v>539</v>
      </c>
      <c r="D20" s="2"/>
      <c r="E20" s="23"/>
      <c r="F20" s="2"/>
      <c r="G20" s="2"/>
    </row>
    <row r="21" spans="2:7" x14ac:dyDescent="0.25">
      <c r="B21" s="4">
        <v>45798</v>
      </c>
      <c r="C21" s="2"/>
      <c r="D21" s="2"/>
      <c r="E21" s="23"/>
      <c r="F21" s="2"/>
      <c r="G21" s="2"/>
    </row>
    <row r="22" spans="2:7" x14ac:dyDescent="0.25">
      <c r="B22" s="4">
        <v>45799</v>
      </c>
      <c r="C22" s="58"/>
      <c r="D22" s="2"/>
      <c r="E22" s="23"/>
      <c r="F22" s="2"/>
      <c r="G22" s="2"/>
    </row>
    <row r="23" spans="2:7" x14ac:dyDescent="0.25">
      <c r="B23" s="4">
        <v>45800</v>
      </c>
      <c r="C23" s="58"/>
      <c r="D23" s="2"/>
      <c r="E23" s="23"/>
      <c r="F23" s="2"/>
      <c r="G23" s="2"/>
    </row>
    <row r="24" spans="2:7" x14ac:dyDescent="0.25">
      <c r="B24" s="4">
        <v>45801</v>
      </c>
      <c r="C24" s="58"/>
      <c r="D24" s="2"/>
      <c r="E24" s="23"/>
      <c r="F24" s="2"/>
      <c r="G24" s="2"/>
    </row>
    <row r="25" spans="2:7" x14ac:dyDescent="0.25">
      <c r="B25" s="4">
        <v>45802</v>
      </c>
      <c r="C25" s="58"/>
      <c r="D25" s="2"/>
      <c r="E25" s="23"/>
      <c r="F25" s="2"/>
      <c r="G25" s="2"/>
    </row>
    <row r="26" spans="2:7" x14ac:dyDescent="0.25">
      <c r="B26" s="4">
        <v>45803</v>
      </c>
      <c r="C26" s="2"/>
      <c r="D26" s="2"/>
      <c r="E26" s="23"/>
      <c r="F26" s="2"/>
      <c r="G26" s="2"/>
    </row>
    <row r="27" spans="2:7" x14ac:dyDescent="0.25">
      <c r="B27" s="4">
        <v>45804</v>
      </c>
      <c r="C27" s="2"/>
      <c r="D27" s="2"/>
      <c r="E27" s="23"/>
      <c r="F27" s="2"/>
      <c r="G27" s="2"/>
    </row>
    <row r="28" spans="2:7" x14ac:dyDescent="0.25">
      <c r="B28" s="4">
        <v>45805</v>
      </c>
      <c r="C28" s="2"/>
      <c r="D28" s="2"/>
      <c r="E28" s="23"/>
      <c r="F28" s="2"/>
      <c r="G28" s="2"/>
    </row>
    <row r="29" spans="2:7" x14ac:dyDescent="0.25">
      <c r="B29" s="4">
        <v>45806</v>
      </c>
      <c r="C29" s="2"/>
      <c r="D29" s="2"/>
      <c r="E29" s="23"/>
      <c r="F29" s="2"/>
      <c r="G29" s="2"/>
    </row>
    <row r="30" spans="2:7" x14ac:dyDescent="0.25">
      <c r="B30" s="4">
        <v>45807</v>
      </c>
      <c r="C30" s="2"/>
      <c r="D30" s="2"/>
      <c r="E30" s="23"/>
      <c r="F30" s="2"/>
      <c r="G30" s="2"/>
    </row>
    <row r="31" spans="2:7" x14ac:dyDescent="0.25">
      <c r="B31" s="4">
        <v>45808</v>
      </c>
      <c r="C31" s="2"/>
      <c r="D31" s="2"/>
      <c r="E31" s="23"/>
      <c r="F31" s="2"/>
      <c r="G31" s="2"/>
    </row>
    <row r="32" spans="2:7" x14ac:dyDescent="0.25">
      <c r="B32" s="4">
        <v>45809</v>
      </c>
      <c r="C32" s="2"/>
      <c r="D32" s="2"/>
      <c r="E32" s="23"/>
      <c r="F32" s="2"/>
      <c r="G32" s="2"/>
    </row>
    <row r="33" spans="2:7" x14ac:dyDescent="0.25">
      <c r="B33" s="4">
        <v>45810</v>
      </c>
      <c r="C33" s="2"/>
      <c r="D33" s="2"/>
      <c r="E33" s="23"/>
      <c r="F33" s="2"/>
      <c r="G33" s="2"/>
    </row>
    <row r="34" spans="2:7" x14ac:dyDescent="0.25">
      <c r="B34" s="4">
        <v>45811</v>
      </c>
      <c r="C34" s="2"/>
      <c r="D34" s="2"/>
      <c r="E34" s="23"/>
      <c r="F34" s="2"/>
      <c r="G34" s="2"/>
    </row>
    <row r="35" spans="2:7" x14ac:dyDescent="0.25">
      <c r="B35" s="4">
        <v>45812</v>
      </c>
      <c r="C35" s="2"/>
      <c r="D35" s="2"/>
      <c r="E35" s="23">
        <v>0</v>
      </c>
      <c r="F35" s="2">
        <f t="shared" ref="F35:F38" si="1">E35-E34</f>
        <v>0</v>
      </c>
      <c r="G35" s="2"/>
    </row>
    <row r="36" spans="2:7" x14ac:dyDescent="0.25">
      <c r="B36" s="4">
        <v>45813</v>
      </c>
      <c r="C36" s="2"/>
      <c r="D36" s="2"/>
      <c r="E36" s="23">
        <v>0</v>
      </c>
      <c r="F36" s="2">
        <f t="shared" si="1"/>
        <v>0</v>
      </c>
      <c r="G36" s="2"/>
    </row>
    <row r="37" spans="2:7" x14ac:dyDescent="0.25">
      <c r="B37" s="4">
        <v>45814</v>
      </c>
      <c r="C37" s="2"/>
      <c r="D37" s="2"/>
      <c r="E37" s="23">
        <v>0</v>
      </c>
      <c r="F37" s="2">
        <f t="shared" si="1"/>
        <v>0</v>
      </c>
      <c r="G37" s="2"/>
    </row>
    <row r="38" spans="2:7" x14ac:dyDescent="0.25">
      <c r="B38" s="4">
        <v>45815</v>
      </c>
      <c r="C38" s="2"/>
      <c r="D38" s="2"/>
      <c r="E38" s="23">
        <v>0</v>
      </c>
      <c r="F38" s="2">
        <f t="shared" si="1"/>
        <v>0</v>
      </c>
      <c r="G38" s="2"/>
    </row>
    <row r="39" spans="2:7" x14ac:dyDescent="0.25">
      <c r="B39" s="4">
        <v>45816</v>
      </c>
      <c r="C39" s="2"/>
      <c r="D39" s="2"/>
      <c r="E39" s="23">
        <v>0</v>
      </c>
      <c r="F39" s="2"/>
      <c r="G39" s="2"/>
    </row>
    <row r="40" spans="2:7" x14ac:dyDescent="0.25">
      <c r="B40" s="4">
        <v>45817</v>
      </c>
      <c r="C40" s="2"/>
      <c r="D40" s="2"/>
      <c r="E40" s="2"/>
      <c r="F40" s="2"/>
      <c r="G40" s="2"/>
    </row>
    <row r="41" spans="2:7" x14ac:dyDescent="0.25">
      <c r="B41" s="4"/>
      <c r="C41" s="2"/>
      <c r="D41" s="2"/>
      <c r="E41" s="2"/>
      <c r="F41" s="2"/>
      <c r="G41" s="2"/>
    </row>
    <row r="42" spans="2:7" x14ac:dyDescent="0.25">
      <c r="B42" s="2"/>
      <c r="C42" s="2"/>
      <c r="D42" s="2"/>
      <c r="E42" s="2"/>
      <c r="F42" s="2"/>
      <c r="G42" s="2"/>
    </row>
    <row r="43" spans="2:7" x14ac:dyDescent="0.25">
      <c r="B43" s="2"/>
      <c r="C43" s="2"/>
      <c r="D43" s="2"/>
      <c r="E43" s="2"/>
      <c r="F43" s="2"/>
      <c r="G43" s="2"/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3:F114"/>
  <sheetViews>
    <sheetView workbookViewId="0">
      <pane ySplit="4" topLeftCell="A104" activePane="bottomLeft" state="frozen"/>
      <selection pane="bottomLeft" activeCell="B113" sqref="B113"/>
    </sheetView>
  </sheetViews>
  <sheetFormatPr defaultRowHeight="15" x14ac:dyDescent="0.25"/>
  <cols>
    <col min="1" max="1" width="19.140625" customWidth="1"/>
    <col min="2" max="2" width="63.42578125" customWidth="1"/>
    <col min="3" max="3" width="45.28515625" customWidth="1"/>
    <col min="4" max="4" width="11.85546875" bestFit="1" customWidth="1"/>
    <col min="5" max="5" width="8.42578125" bestFit="1" customWidth="1"/>
    <col min="6" max="6" width="11" bestFit="1" customWidth="1"/>
  </cols>
  <sheetData>
    <row r="3" spans="1:6" x14ac:dyDescent="0.25">
      <c r="A3" s="53" t="s">
        <v>4500</v>
      </c>
    </row>
    <row r="4" spans="1:6" ht="15.75" x14ac:dyDescent="0.25">
      <c r="A4" s="10" t="s">
        <v>0</v>
      </c>
      <c r="B4" s="11" t="s">
        <v>1</v>
      </c>
      <c r="C4" s="11" t="s">
        <v>2</v>
      </c>
      <c r="D4" s="11" t="s">
        <v>934</v>
      </c>
      <c r="E4" s="11" t="s">
        <v>1095</v>
      </c>
      <c r="F4" s="11" t="s">
        <v>1507</v>
      </c>
    </row>
    <row r="5" spans="1:6" x14ac:dyDescent="0.25">
      <c r="A5" s="4">
        <v>45755</v>
      </c>
      <c r="B5" s="2" t="s">
        <v>1528</v>
      </c>
      <c r="C5" s="2"/>
      <c r="D5" s="23">
        <v>0</v>
      </c>
      <c r="E5" s="2"/>
      <c r="F5" s="2"/>
    </row>
    <row r="6" spans="1:6" x14ac:dyDescent="0.25">
      <c r="A6" s="4">
        <v>45756</v>
      </c>
      <c r="B6" s="2" t="s">
        <v>1528</v>
      </c>
      <c r="C6" s="2"/>
      <c r="D6" s="23">
        <v>0</v>
      </c>
      <c r="E6" s="2">
        <f t="shared" ref="E6:E8" si="0">D6-D5</f>
        <v>0</v>
      </c>
      <c r="F6" s="2"/>
    </row>
    <row r="7" spans="1:6" x14ac:dyDescent="0.25">
      <c r="A7" s="4">
        <v>45757</v>
      </c>
      <c r="B7" s="2" t="s">
        <v>3656</v>
      </c>
      <c r="C7" s="2"/>
      <c r="D7" s="23">
        <v>0</v>
      </c>
      <c r="E7" s="2">
        <f t="shared" si="0"/>
        <v>0</v>
      </c>
      <c r="F7" s="2"/>
    </row>
    <row r="8" spans="1:6" x14ac:dyDescent="0.25">
      <c r="A8" s="4">
        <v>45758</v>
      </c>
      <c r="B8" s="2" t="s">
        <v>3663</v>
      </c>
      <c r="C8" s="2"/>
      <c r="D8" s="23">
        <v>0</v>
      </c>
      <c r="E8" s="2">
        <f t="shared" si="0"/>
        <v>0</v>
      </c>
      <c r="F8" s="2"/>
    </row>
    <row r="9" spans="1:6" x14ac:dyDescent="0.25">
      <c r="A9" s="4">
        <v>45759</v>
      </c>
      <c r="B9" s="2" t="s">
        <v>3666</v>
      </c>
      <c r="C9" s="2"/>
      <c r="D9" s="23">
        <v>0</v>
      </c>
      <c r="E9" s="2">
        <f>D9-D8</f>
        <v>0</v>
      </c>
      <c r="F9" s="2"/>
    </row>
    <row r="10" spans="1:6" x14ac:dyDescent="0.25">
      <c r="A10" s="4">
        <v>45760</v>
      </c>
      <c r="B10" s="2" t="s">
        <v>1853</v>
      </c>
      <c r="C10" s="2"/>
      <c r="D10" s="23">
        <v>0</v>
      </c>
      <c r="E10" s="2">
        <f t="shared" ref="E10:E71" si="1">D10-D9</f>
        <v>0</v>
      </c>
      <c r="F10" s="2"/>
    </row>
    <row r="11" spans="1:6" x14ac:dyDescent="0.25">
      <c r="A11" s="4">
        <v>45761</v>
      </c>
      <c r="B11" s="2" t="s">
        <v>3681</v>
      </c>
      <c r="C11" s="2"/>
      <c r="D11" s="23">
        <v>10</v>
      </c>
      <c r="E11" s="2">
        <f t="shared" si="1"/>
        <v>10</v>
      </c>
      <c r="F11" s="2"/>
    </row>
    <row r="12" spans="1:6" x14ac:dyDescent="0.25">
      <c r="A12" s="4">
        <v>45762</v>
      </c>
      <c r="B12" s="2" t="s">
        <v>3685</v>
      </c>
      <c r="C12" s="58"/>
      <c r="D12" s="23">
        <v>13</v>
      </c>
      <c r="E12" s="2">
        <f t="shared" si="1"/>
        <v>3</v>
      </c>
      <c r="F12" s="2"/>
    </row>
    <row r="13" spans="1:6" x14ac:dyDescent="0.25">
      <c r="A13" s="4">
        <v>45763</v>
      </c>
      <c r="B13" s="2" t="s">
        <v>3703</v>
      </c>
      <c r="C13" s="58"/>
      <c r="D13" s="23">
        <v>16</v>
      </c>
      <c r="E13" s="2">
        <f t="shared" si="1"/>
        <v>3</v>
      </c>
      <c r="F13" s="2"/>
    </row>
    <row r="14" spans="1:6" x14ac:dyDescent="0.25">
      <c r="A14" s="4">
        <v>45764</v>
      </c>
      <c r="B14" s="2" t="s">
        <v>3724</v>
      </c>
      <c r="C14" s="58"/>
      <c r="D14" s="23">
        <v>19</v>
      </c>
      <c r="E14" s="2">
        <f t="shared" si="1"/>
        <v>3</v>
      </c>
      <c r="F14" s="2"/>
    </row>
    <row r="15" spans="1:6" x14ac:dyDescent="0.25">
      <c r="A15" s="4">
        <v>45765</v>
      </c>
      <c r="B15" s="2" t="s">
        <v>3725</v>
      </c>
      <c r="C15" s="2"/>
      <c r="D15" s="23">
        <v>24</v>
      </c>
      <c r="E15" s="2">
        <f t="shared" si="1"/>
        <v>5</v>
      </c>
      <c r="F15" s="2"/>
    </row>
    <row r="16" spans="1:6" x14ac:dyDescent="0.25">
      <c r="A16" s="4">
        <v>45766</v>
      </c>
      <c r="B16" s="2" t="s">
        <v>3743</v>
      </c>
      <c r="C16" s="2" t="s">
        <v>3742</v>
      </c>
      <c r="D16" s="23">
        <v>30</v>
      </c>
      <c r="E16" s="2">
        <f t="shared" si="1"/>
        <v>6</v>
      </c>
      <c r="F16" s="2"/>
    </row>
    <row r="17" spans="1:6" x14ac:dyDescent="0.25">
      <c r="A17" s="4">
        <v>45767</v>
      </c>
      <c r="B17" s="2" t="s">
        <v>3744</v>
      </c>
      <c r="C17" s="2" t="s">
        <v>3745</v>
      </c>
      <c r="D17" s="23">
        <v>34</v>
      </c>
      <c r="E17" s="2">
        <f t="shared" si="1"/>
        <v>4</v>
      </c>
      <c r="F17" s="2"/>
    </row>
    <row r="18" spans="1:6" x14ac:dyDescent="0.25">
      <c r="A18" s="4">
        <v>45768</v>
      </c>
      <c r="B18" s="2" t="s">
        <v>3757</v>
      </c>
      <c r="C18" s="2" t="s">
        <v>3758</v>
      </c>
      <c r="D18" s="23">
        <v>35</v>
      </c>
      <c r="E18" s="2">
        <f t="shared" si="1"/>
        <v>1</v>
      </c>
      <c r="F18" s="2"/>
    </row>
    <row r="19" spans="1:6" x14ac:dyDescent="0.25">
      <c r="A19" s="4">
        <v>45769</v>
      </c>
      <c r="B19" s="58" t="s">
        <v>3764</v>
      </c>
      <c r="C19" s="2" t="s">
        <v>3765</v>
      </c>
      <c r="D19" s="23">
        <v>49</v>
      </c>
      <c r="E19" s="2">
        <f t="shared" si="1"/>
        <v>14</v>
      </c>
      <c r="F19" s="2"/>
    </row>
    <row r="20" spans="1:6" x14ac:dyDescent="0.25">
      <c r="A20" s="4">
        <v>45770</v>
      </c>
      <c r="B20" s="2" t="s">
        <v>3777</v>
      </c>
      <c r="C20" s="2"/>
      <c r="D20" s="23">
        <v>58</v>
      </c>
      <c r="E20" s="2">
        <f t="shared" si="1"/>
        <v>9</v>
      </c>
      <c r="F20" s="2"/>
    </row>
    <row r="21" spans="1:6" x14ac:dyDescent="0.25">
      <c r="A21" s="4">
        <v>45771</v>
      </c>
      <c r="B21" s="2" t="s">
        <v>3787</v>
      </c>
      <c r="C21" s="2"/>
      <c r="D21" s="23">
        <v>69.5</v>
      </c>
      <c r="E21" s="2">
        <f t="shared" si="1"/>
        <v>11.5</v>
      </c>
      <c r="F21" s="2"/>
    </row>
    <row r="22" spans="1:6" x14ac:dyDescent="0.25">
      <c r="A22" s="4">
        <v>45772</v>
      </c>
      <c r="B22" s="58" t="s">
        <v>3795</v>
      </c>
      <c r="C22" s="2"/>
      <c r="D22" s="23">
        <v>0</v>
      </c>
      <c r="E22" s="2">
        <f t="shared" si="1"/>
        <v>-69.5</v>
      </c>
      <c r="F22" s="2"/>
    </row>
    <row r="23" spans="1:6" x14ac:dyDescent="0.25">
      <c r="A23" s="4">
        <v>45773</v>
      </c>
      <c r="B23" s="58" t="s">
        <v>3811</v>
      </c>
      <c r="C23" s="2" t="s">
        <v>3812</v>
      </c>
      <c r="D23" s="23">
        <v>80</v>
      </c>
      <c r="E23" s="2">
        <v>15</v>
      </c>
      <c r="F23" s="2"/>
    </row>
    <row r="24" spans="1:6" x14ac:dyDescent="0.25">
      <c r="A24" s="4">
        <v>45774</v>
      </c>
      <c r="B24" s="58" t="s">
        <v>3813</v>
      </c>
      <c r="C24" s="2"/>
      <c r="D24" s="23">
        <v>106</v>
      </c>
      <c r="E24" s="2">
        <v>21</v>
      </c>
      <c r="F24" s="2"/>
    </row>
    <row r="25" spans="1:6" x14ac:dyDescent="0.25">
      <c r="A25" s="4">
        <v>45775</v>
      </c>
      <c r="B25" s="58" t="s">
        <v>3822</v>
      </c>
      <c r="C25" s="2"/>
      <c r="D25" s="23">
        <v>118</v>
      </c>
      <c r="E25" s="2">
        <f t="shared" si="1"/>
        <v>12</v>
      </c>
      <c r="F25" s="2"/>
    </row>
    <row r="26" spans="1:6" x14ac:dyDescent="0.25">
      <c r="A26" s="4">
        <v>45776</v>
      </c>
      <c r="B26" s="2" t="s">
        <v>3839</v>
      </c>
      <c r="C26" s="2"/>
      <c r="D26" s="23">
        <v>127</v>
      </c>
      <c r="E26" s="2">
        <f t="shared" si="1"/>
        <v>9</v>
      </c>
      <c r="F26" s="2"/>
    </row>
    <row r="27" spans="1:6" x14ac:dyDescent="0.25">
      <c r="A27" s="4">
        <v>45777</v>
      </c>
      <c r="B27" s="2" t="s">
        <v>480</v>
      </c>
      <c r="C27" s="2"/>
      <c r="D27" s="23">
        <v>127</v>
      </c>
      <c r="E27" s="2">
        <f t="shared" si="1"/>
        <v>0</v>
      </c>
      <c r="F27" s="2"/>
    </row>
    <row r="28" spans="1:6" x14ac:dyDescent="0.25">
      <c r="A28" s="4">
        <v>45778</v>
      </c>
      <c r="B28" s="2" t="s">
        <v>3840</v>
      </c>
      <c r="C28" s="2"/>
      <c r="D28" s="23">
        <v>134</v>
      </c>
      <c r="E28" s="2">
        <v>7</v>
      </c>
      <c r="F28" s="2"/>
    </row>
    <row r="29" spans="1:6" x14ac:dyDescent="0.25">
      <c r="A29" s="4">
        <v>45779</v>
      </c>
      <c r="B29" s="2" t="s">
        <v>3855</v>
      </c>
      <c r="C29" s="2"/>
      <c r="D29" s="23">
        <v>149</v>
      </c>
      <c r="E29" s="2">
        <f t="shared" si="1"/>
        <v>15</v>
      </c>
      <c r="F29" s="2"/>
    </row>
    <row r="30" spans="1:6" x14ac:dyDescent="0.25">
      <c r="A30" s="4">
        <v>45780</v>
      </c>
      <c r="B30" s="2" t="s">
        <v>3870</v>
      </c>
      <c r="C30" s="2"/>
      <c r="D30" s="23">
        <v>160</v>
      </c>
      <c r="E30" s="2">
        <f t="shared" si="1"/>
        <v>11</v>
      </c>
      <c r="F30" s="2"/>
    </row>
    <row r="31" spans="1:6" x14ac:dyDescent="0.25">
      <c r="A31" s="4">
        <v>45781</v>
      </c>
      <c r="B31" s="2" t="s">
        <v>3873</v>
      </c>
      <c r="C31" s="2"/>
      <c r="D31" s="23">
        <v>0</v>
      </c>
      <c r="E31" s="2">
        <f t="shared" si="1"/>
        <v>-160</v>
      </c>
      <c r="F31" s="2"/>
    </row>
    <row r="32" spans="1:6" x14ac:dyDescent="0.25">
      <c r="A32" s="4">
        <v>45782</v>
      </c>
      <c r="B32" s="2" t="s">
        <v>3872</v>
      </c>
      <c r="C32" s="2"/>
      <c r="D32" s="23">
        <v>0</v>
      </c>
      <c r="E32" s="2">
        <f t="shared" si="1"/>
        <v>0</v>
      </c>
      <c r="F32" s="2"/>
    </row>
    <row r="33" spans="1:6" x14ac:dyDescent="0.25">
      <c r="A33" s="4">
        <v>45783</v>
      </c>
      <c r="B33" s="2" t="s">
        <v>3871</v>
      </c>
      <c r="C33" s="2"/>
      <c r="D33" s="23">
        <v>0</v>
      </c>
      <c r="E33" s="2">
        <f t="shared" si="1"/>
        <v>0</v>
      </c>
      <c r="F33" s="2"/>
    </row>
    <row r="34" spans="1:6" x14ac:dyDescent="0.25">
      <c r="A34" s="4">
        <v>45784</v>
      </c>
      <c r="B34" s="2" t="s">
        <v>2116</v>
      </c>
      <c r="C34" s="2"/>
      <c r="D34" s="23">
        <v>0</v>
      </c>
      <c r="E34" s="2">
        <f t="shared" si="1"/>
        <v>0</v>
      </c>
      <c r="F34" s="2"/>
    </row>
    <row r="35" spans="1:6" x14ac:dyDescent="0.25">
      <c r="A35" s="4">
        <v>45785</v>
      </c>
      <c r="B35" s="2" t="s">
        <v>3876</v>
      </c>
      <c r="C35" s="2"/>
      <c r="D35" s="23">
        <v>0</v>
      </c>
      <c r="E35" s="2">
        <f t="shared" si="1"/>
        <v>0</v>
      </c>
      <c r="F35" s="2"/>
    </row>
    <row r="36" spans="1:6" x14ac:dyDescent="0.25">
      <c r="A36" s="4">
        <v>45786</v>
      </c>
      <c r="B36" s="2" t="s">
        <v>3887</v>
      </c>
      <c r="C36" s="2"/>
      <c r="D36" s="23">
        <v>0</v>
      </c>
      <c r="E36" s="2">
        <f t="shared" si="1"/>
        <v>0</v>
      </c>
      <c r="F36" s="2"/>
    </row>
    <row r="37" spans="1:6" x14ac:dyDescent="0.25">
      <c r="A37" s="4">
        <v>45787</v>
      </c>
      <c r="B37" s="2" t="s">
        <v>3889</v>
      </c>
      <c r="C37" s="2"/>
      <c r="D37" s="23">
        <v>0</v>
      </c>
      <c r="E37" s="2">
        <f t="shared" si="1"/>
        <v>0</v>
      </c>
      <c r="F37" s="2"/>
    </row>
    <row r="38" spans="1:6" x14ac:dyDescent="0.25">
      <c r="A38" s="4">
        <v>45788</v>
      </c>
      <c r="B38" s="2" t="s">
        <v>1166</v>
      </c>
      <c r="C38" s="2"/>
      <c r="D38" s="23">
        <v>0</v>
      </c>
      <c r="E38" s="2">
        <f t="shared" si="1"/>
        <v>0</v>
      </c>
      <c r="F38" s="2"/>
    </row>
    <row r="39" spans="1:6" x14ac:dyDescent="0.25">
      <c r="A39" s="4">
        <v>45789</v>
      </c>
      <c r="B39" s="2" t="s">
        <v>3565</v>
      </c>
      <c r="C39" s="2"/>
      <c r="D39" s="23">
        <v>0</v>
      </c>
      <c r="E39" s="2">
        <f t="shared" si="1"/>
        <v>0</v>
      </c>
      <c r="F39" s="2"/>
    </row>
    <row r="40" spans="1:6" x14ac:dyDescent="0.25">
      <c r="A40" s="4">
        <v>45790</v>
      </c>
      <c r="B40" s="2"/>
      <c r="C40" s="2"/>
      <c r="D40" s="23">
        <v>0</v>
      </c>
      <c r="E40" s="2">
        <f t="shared" si="1"/>
        <v>0</v>
      </c>
      <c r="F40" s="2"/>
    </row>
    <row r="41" spans="1:6" x14ac:dyDescent="0.25">
      <c r="A41" s="4">
        <v>45791</v>
      </c>
      <c r="B41" s="2"/>
      <c r="C41" s="2"/>
      <c r="D41" s="23">
        <v>0</v>
      </c>
      <c r="E41" s="2">
        <f t="shared" si="1"/>
        <v>0</v>
      </c>
      <c r="F41" s="2"/>
    </row>
    <row r="42" spans="1:6" x14ac:dyDescent="0.25">
      <c r="A42" s="4">
        <v>45792</v>
      </c>
      <c r="B42" s="2"/>
      <c r="C42" s="2"/>
      <c r="D42" s="23">
        <v>0</v>
      </c>
      <c r="E42" s="2">
        <f t="shared" si="1"/>
        <v>0</v>
      </c>
      <c r="F42" s="2"/>
    </row>
    <row r="43" spans="1:6" x14ac:dyDescent="0.25">
      <c r="A43" s="4">
        <v>45793</v>
      </c>
      <c r="B43" s="2"/>
      <c r="C43" s="2"/>
      <c r="D43" s="23">
        <v>0</v>
      </c>
      <c r="E43" s="2">
        <f t="shared" si="1"/>
        <v>0</v>
      </c>
      <c r="F43" s="2"/>
    </row>
    <row r="44" spans="1:6" x14ac:dyDescent="0.25">
      <c r="A44" s="4">
        <v>45794</v>
      </c>
      <c r="B44" s="2"/>
      <c r="C44" s="2"/>
      <c r="D44" s="23">
        <v>0</v>
      </c>
      <c r="E44" s="2">
        <f t="shared" si="1"/>
        <v>0</v>
      </c>
      <c r="F44" s="2"/>
    </row>
    <row r="45" spans="1:6" x14ac:dyDescent="0.25">
      <c r="A45" s="4">
        <v>45795</v>
      </c>
      <c r="B45" s="2"/>
      <c r="C45" s="2"/>
      <c r="D45" s="23">
        <v>0</v>
      </c>
      <c r="E45" s="2">
        <f t="shared" si="1"/>
        <v>0</v>
      </c>
      <c r="F45" s="2"/>
    </row>
    <row r="46" spans="1:6" x14ac:dyDescent="0.25">
      <c r="A46" s="4">
        <v>45796</v>
      </c>
      <c r="B46" s="2"/>
      <c r="C46" s="2"/>
      <c r="D46" s="23">
        <v>0</v>
      </c>
      <c r="E46" s="2">
        <f t="shared" si="1"/>
        <v>0</v>
      </c>
      <c r="F46" s="2"/>
    </row>
    <row r="47" spans="1:6" x14ac:dyDescent="0.25">
      <c r="A47" s="4">
        <v>45797</v>
      </c>
      <c r="B47" s="2"/>
      <c r="C47" s="2"/>
      <c r="D47" s="23">
        <v>0</v>
      </c>
      <c r="E47" s="2">
        <f t="shared" si="1"/>
        <v>0</v>
      </c>
      <c r="F47" s="2"/>
    </row>
    <row r="48" spans="1:6" x14ac:dyDescent="0.25">
      <c r="A48" s="4">
        <v>45798</v>
      </c>
      <c r="B48" s="2" t="s">
        <v>4883</v>
      </c>
      <c r="C48" s="2"/>
      <c r="D48" s="23">
        <v>0</v>
      </c>
      <c r="E48" s="2">
        <f t="shared" si="1"/>
        <v>0</v>
      </c>
      <c r="F48" s="2"/>
    </row>
    <row r="49" spans="1:6" x14ac:dyDescent="0.25">
      <c r="A49" s="4">
        <v>45874</v>
      </c>
      <c r="B49" s="2" t="s">
        <v>4882</v>
      </c>
      <c r="C49" s="2"/>
      <c r="D49" s="23">
        <v>7.5</v>
      </c>
      <c r="E49" s="2">
        <f t="shared" si="1"/>
        <v>7.5</v>
      </c>
      <c r="F49" s="2"/>
    </row>
    <row r="50" spans="1:6" x14ac:dyDescent="0.25">
      <c r="A50" s="4">
        <v>45875</v>
      </c>
      <c r="B50" s="2" t="s">
        <v>4885</v>
      </c>
      <c r="C50" s="2" t="s">
        <v>4886</v>
      </c>
      <c r="D50" s="23">
        <v>13</v>
      </c>
      <c r="E50" s="2">
        <f t="shared" si="1"/>
        <v>5.5</v>
      </c>
      <c r="F50" s="2"/>
    </row>
    <row r="51" spans="1:6" x14ac:dyDescent="0.25">
      <c r="A51" s="4">
        <v>45876</v>
      </c>
      <c r="B51" s="2" t="s">
        <v>4912</v>
      </c>
      <c r="C51" s="2" t="s">
        <v>3487</v>
      </c>
      <c r="D51" s="23">
        <v>16</v>
      </c>
      <c r="E51" s="2">
        <f t="shared" si="1"/>
        <v>3</v>
      </c>
      <c r="F51" s="2"/>
    </row>
    <row r="52" spans="1:6" x14ac:dyDescent="0.25">
      <c r="A52" s="4">
        <v>45877</v>
      </c>
      <c r="B52" s="2" t="s">
        <v>4927</v>
      </c>
      <c r="C52" s="2" t="s">
        <v>19</v>
      </c>
      <c r="D52" s="23">
        <v>24</v>
      </c>
      <c r="E52" s="2">
        <f t="shared" si="1"/>
        <v>8</v>
      </c>
      <c r="F52" s="2"/>
    </row>
    <row r="53" spans="1:6" x14ac:dyDescent="0.25">
      <c r="A53" s="4">
        <v>45878</v>
      </c>
      <c r="B53" s="2" t="s">
        <v>4927</v>
      </c>
      <c r="C53" s="2" t="s">
        <v>4955</v>
      </c>
      <c r="D53" s="23">
        <v>24</v>
      </c>
      <c r="E53" s="2">
        <f t="shared" si="1"/>
        <v>0</v>
      </c>
      <c r="F53" s="2"/>
    </row>
    <row r="54" spans="1:6" x14ac:dyDescent="0.25">
      <c r="A54" s="4">
        <v>45879</v>
      </c>
      <c r="B54" s="2" t="s">
        <v>4943</v>
      </c>
      <c r="C54" s="2"/>
      <c r="D54" s="23">
        <v>27.5</v>
      </c>
      <c r="E54" s="2">
        <f t="shared" si="1"/>
        <v>3.5</v>
      </c>
      <c r="F54" s="2"/>
    </row>
    <row r="55" spans="1:6" x14ac:dyDescent="0.25">
      <c r="A55" s="4">
        <v>45880</v>
      </c>
      <c r="B55" s="2" t="s">
        <v>4964</v>
      </c>
      <c r="C55" s="2"/>
      <c r="D55" s="23">
        <v>29</v>
      </c>
      <c r="E55" s="2">
        <f t="shared" si="1"/>
        <v>1.5</v>
      </c>
      <c r="F55" s="2"/>
    </row>
    <row r="56" spans="1:6" x14ac:dyDescent="0.25">
      <c r="A56" s="4">
        <v>45881</v>
      </c>
      <c r="B56" s="2" t="s">
        <v>4973</v>
      </c>
      <c r="C56" s="2"/>
      <c r="D56" s="23">
        <v>32</v>
      </c>
      <c r="E56" s="2">
        <f t="shared" si="1"/>
        <v>3</v>
      </c>
      <c r="F56" s="2"/>
    </row>
    <row r="57" spans="1:6" x14ac:dyDescent="0.25">
      <c r="A57" s="4">
        <v>45882</v>
      </c>
      <c r="B57" s="2" t="s">
        <v>4995</v>
      </c>
      <c r="C57" s="2" t="s">
        <v>1919</v>
      </c>
      <c r="D57" s="23">
        <v>34.5</v>
      </c>
      <c r="E57" s="2">
        <f t="shared" si="1"/>
        <v>2.5</v>
      </c>
      <c r="F57" s="2"/>
    </row>
    <row r="58" spans="1:6" x14ac:dyDescent="0.25">
      <c r="A58" s="4">
        <v>45883</v>
      </c>
      <c r="B58" s="2" t="s">
        <v>5020</v>
      </c>
      <c r="C58" s="2"/>
      <c r="D58" s="23">
        <v>16</v>
      </c>
      <c r="E58" s="2">
        <f t="shared" si="1"/>
        <v>-18.5</v>
      </c>
      <c r="F58" s="2"/>
    </row>
    <row r="59" spans="1:6" x14ac:dyDescent="0.25">
      <c r="A59" s="4">
        <v>45884</v>
      </c>
      <c r="B59" s="2" t="s">
        <v>5061</v>
      </c>
      <c r="C59" s="2"/>
      <c r="D59" s="23">
        <v>16</v>
      </c>
      <c r="E59" s="2">
        <f t="shared" si="1"/>
        <v>0</v>
      </c>
      <c r="F59" s="2"/>
    </row>
    <row r="60" spans="1:6" x14ac:dyDescent="0.25">
      <c r="A60" s="4">
        <v>45885</v>
      </c>
      <c r="B60" s="2" t="s">
        <v>5038</v>
      </c>
      <c r="C60" s="2"/>
      <c r="D60" s="23">
        <v>16</v>
      </c>
      <c r="E60" s="2">
        <f t="shared" si="1"/>
        <v>0</v>
      </c>
      <c r="F60" s="2"/>
    </row>
    <row r="61" spans="1:6" x14ac:dyDescent="0.25">
      <c r="A61" s="4">
        <v>45886</v>
      </c>
      <c r="B61" s="2" t="s">
        <v>480</v>
      </c>
      <c r="C61" s="2"/>
      <c r="D61" s="23">
        <v>18</v>
      </c>
      <c r="E61" s="2">
        <f t="shared" si="1"/>
        <v>2</v>
      </c>
      <c r="F61" s="2"/>
    </row>
    <row r="62" spans="1:6" x14ac:dyDescent="0.25">
      <c r="A62" s="4">
        <v>45887</v>
      </c>
      <c r="B62" s="2" t="s">
        <v>5054</v>
      </c>
      <c r="C62" s="2"/>
      <c r="D62" s="23">
        <v>18</v>
      </c>
      <c r="E62" s="2">
        <f t="shared" si="1"/>
        <v>0</v>
      </c>
      <c r="F62" s="2"/>
    </row>
    <row r="63" spans="1:6" x14ac:dyDescent="0.25">
      <c r="A63" s="4">
        <v>45888</v>
      </c>
      <c r="B63" s="2" t="s">
        <v>5061</v>
      </c>
      <c r="C63" s="2" t="s">
        <v>5071</v>
      </c>
      <c r="D63" s="23">
        <v>19.5</v>
      </c>
      <c r="E63" s="2">
        <f t="shared" si="1"/>
        <v>1.5</v>
      </c>
      <c r="F63" s="2"/>
    </row>
    <row r="64" spans="1:6" x14ac:dyDescent="0.25">
      <c r="A64" s="4">
        <v>45889</v>
      </c>
      <c r="B64" s="2" t="s">
        <v>5077</v>
      </c>
      <c r="C64" s="2"/>
      <c r="D64" s="23">
        <v>19.5</v>
      </c>
      <c r="E64" s="2">
        <f t="shared" si="1"/>
        <v>0</v>
      </c>
      <c r="F64" s="2"/>
    </row>
    <row r="65" spans="1:6" x14ac:dyDescent="0.25">
      <c r="A65" s="4">
        <v>45890</v>
      </c>
      <c r="B65" s="2" t="s">
        <v>5090</v>
      </c>
      <c r="C65" s="2"/>
      <c r="D65" s="23">
        <v>19.5</v>
      </c>
      <c r="E65" s="2">
        <f t="shared" si="1"/>
        <v>0</v>
      </c>
      <c r="F65" s="2"/>
    </row>
    <row r="66" spans="1:6" x14ac:dyDescent="0.25">
      <c r="A66" s="4">
        <v>45891</v>
      </c>
      <c r="B66" s="2" t="s">
        <v>5104</v>
      </c>
      <c r="C66" s="2"/>
      <c r="D66" s="23">
        <v>19.5</v>
      </c>
      <c r="E66" s="2">
        <f t="shared" si="1"/>
        <v>0</v>
      </c>
      <c r="F66" s="2"/>
    </row>
    <row r="67" spans="1:6" x14ac:dyDescent="0.25">
      <c r="A67" s="4">
        <v>45892</v>
      </c>
      <c r="B67" s="2" t="s">
        <v>5121</v>
      </c>
      <c r="C67" s="2"/>
      <c r="D67" s="2">
        <v>80</v>
      </c>
      <c r="E67" s="2">
        <f t="shared" si="1"/>
        <v>60.5</v>
      </c>
      <c r="F67" s="2"/>
    </row>
    <row r="68" spans="1:6" x14ac:dyDescent="0.25">
      <c r="A68" s="4">
        <v>45893</v>
      </c>
      <c r="B68" s="2" t="s">
        <v>5122</v>
      </c>
      <c r="C68" s="2"/>
      <c r="D68" s="2">
        <v>120</v>
      </c>
      <c r="E68" s="2">
        <f t="shared" si="1"/>
        <v>40</v>
      </c>
      <c r="F68" s="2"/>
    </row>
    <row r="69" spans="1:6" x14ac:dyDescent="0.25">
      <c r="A69" s="4">
        <v>45894</v>
      </c>
      <c r="B69" s="2" t="s">
        <v>5145</v>
      </c>
      <c r="C69" s="2" t="s">
        <v>5146</v>
      </c>
      <c r="D69" s="2">
        <v>133</v>
      </c>
      <c r="E69" s="2">
        <f t="shared" si="1"/>
        <v>13</v>
      </c>
      <c r="F69" s="2"/>
    </row>
    <row r="70" spans="1:6" x14ac:dyDescent="0.25">
      <c r="A70" s="4">
        <v>45895</v>
      </c>
      <c r="B70" s="2" t="s">
        <v>5157</v>
      </c>
      <c r="C70" s="2" t="s">
        <v>5182</v>
      </c>
      <c r="D70" s="2"/>
      <c r="E70" s="2">
        <f t="shared" si="1"/>
        <v>-133</v>
      </c>
      <c r="F70" s="2"/>
    </row>
    <row r="71" spans="1:6" x14ac:dyDescent="0.25">
      <c r="A71" s="4">
        <v>45896</v>
      </c>
      <c r="B71" s="2" t="s">
        <v>5172</v>
      </c>
      <c r="C71" s="2"/>
      <c r="D71" s="2"/>
      <c r="E71" s="2">
        <f t="shared" si="1"/>
        <v>0</v>
      </c>
      <c r="F71" s="2"/>
    </row>
    <row r="72" spans="1:6" x14ac:dyDescent="0.25">
      <c r="A72" s="4">
        <v>45897</v>
      </c>
      <c r="B72" s="2" t="s">
        <v>5190</v>
      </c>
      <c r="C72" s="2"/>
      <c r="D72" s="2"/>
      <c r="E72" s="2"/>
      <c r="F72" s="2"/>
    </row>
    <row r="73" spans="1:6" x14ac:dyDescent="0.25">
      <c r="A73" s="4">
        <v>45898</v>
      </c>
      <c r="B73" s="2" t="s">
        <v>5205</v>
      </c>
      <c r="C73" s="2" t="s">
        <v>5214</v>
      </c>
      <c r="D73" s="2"/>
      <c r="E73" s="2"/>
      <c r="F73" s="2"/>
    </row>
    <row r="74" spans="1:6" x14ac:dyDescent="0.25">
      <c r="A74" s="4">
        <v>45899</v>
      </c>
      <c r="B74" s="2" t="s">
        <v>5216</v>
      </c>
      <c r="C74" s="2"/>
      <c r="D74" s="2"/>
      <c r="E74" s="2"/>
      <c r="F74" s="2"/>
    </row>
    <row r="75" spans="1:6" x14ac:dyDescent="0.25">
      <c r="A75" s="4">
        <v>45900</v>
      </c>
      <c r="B75" s="2" t="s">
        <v>5218</v>
      </c>
      <c r="C75" s="2" t="s">
        <v>5265</v>
      </c>
      <c r="D75" s="2"/>
      <c r="E75" s="2"/>
      <c r="F75" s="2"/>
    </row>
    <row r="76" spans="1:6" x14ac:dyDescent="0.25">
      <c r="A76" s="4">
        <v>45901</v>
      </c>
      <c r="B76" s="2"/>
      <c r="C76" s="2"/>
      <c r="D76" s="2"/>
      <c r="E76" s="2"/>
      <c r="F76" s="2"/>
    </row>
    <row r="77" spans="1:6" x14ac:dyDescent="0.25">
      <c r="A77" s="4">
        <v>45902</v>
      </c>
      <c r="B77" s="2"/>
      <c r="C77" s="2"/>
      <c r="D77" s="2"/>
      <c r="E77" s="2"/>
      <c r="F77" s="2"/>
    </row>
    <row r="78" spans="1:6" x14ac:dyDescent="0.25">
      <c r="A78" s="4">
        <v>45903</v>
      </c>
      <c r="B78" s="2"/>
      <c r="C78" s="2"/>
      <c r="D78" s="2"/>
      <c r="E78" s="2"/>
      <c r="F78" s="2"/>
    </row>
    <row r="79" spans="1:6" x14ac:dyDescent="0.25">
      <c r="A79" s="4">
        <v>45904</v>
      </c>
      <c r="B79" s="2"/>
      <c r="C79" s="2"/>
      <c r="D79" s="2"/>
      <c r="E79" s="2"/>
      <c r="F79" s="2"/>
    </row>
    <row r="80" spans="1:6" x14ac:dyDescent="0.25">
      <c r="A80" s="4">
        <v>45905</v>
      </c>
      <c r="B80" s="2"/>
      <c r="C80" s="2" t="s">
        <v>5287</v>
      </c>
      <c r="D80" s="2"/>
      <c r="E80" s="2"/>
      <c r="F80" s="2"/>
    </row>
    <row r="81" spans="1:6" x14ac:dyDescent="0.25">
      <c r="A81" s="4">
        <v>45906</v>
      </c>
      <c r="B81" s="2"/>
      <c r="C81" s="2"/>
      <c r="D81" s="2"/>
      <c r="E81" s="2"/>
      <c r="F81" s="2"/>
    </row>
    <row r="82" spans="1:6" x14ac:dyDescent="0.25">
      <c r="A82" s="4">
        <v>45907</v>
      </c>
      <c r="B82" s="2"/>
      <c r="C82" s="2"/>
      <c r="D82" s="2"/>
      <c r="E82" s="2"/>
      <c r="F82" s="2"/>
    </row>
    <row r="83" spans="1:6" x14ac:dyDescent="0.25">
      <c r="A83" s="4">
        <v>45908</v>
      </c>
      <c r="B83" s="2"/>
      <c r="C83" s="2"/>
      <c r="D83" s="2"/>
      <c r="E83" s="2"/>
      <c r="F83" s="2"/>
    </row>
    <row r="84" spans="1:6" x14ac:dyDescent="0.25">
      <c r="A84" s="4">
        <v>45909</v>
      </c>
      <c r="B84" s="2"/>
      <c r="C84" s="2"/>
      <c r="D84" s="2"/>
      <c r="E84" s="2"/>
      <c r="F84" s="2"/>
    </row>
    <row r="85" spans="1:6" x14ac:dyDescent="0.25">
      <c r="A85" s="4">
        <v>45910</v>
      </c>
      <c r="B85" s="2" t="s">
        <v>5309</v>
      </c>
      <c r="C85" s="2"/>
      <c r="D85" s="2"/>
      <c r="E85" s="2"/>
      <c r="F85" s="2"/>
    </row>
    <row r="86" spans="1:6" x14ac:dyDescent="0.25">
      <c r="A86" s="4">
        <v>45911</v>
      </c>
      <c r="B86" s="2"/>
      <c r="C86" s="2"/>
      <c r="D86" s="2"/>
      <c r="E86" s="2"/>
      <c r="F86" s="2"/>
    </row>
    <row r="87" spans="1:6" x14ac:dyDescent="0.25">
      <c r="A87" s="4">
        <v>45912</v>
      </c>
      <c r="B87" s="2"/>
      <c r="C87" s="2"/>
      <c r="D87" s="2"/>
      <c r="E87" s="2"/>
      <c r="F87" s="2"/>
    </row>
    <row r="88" spans="1:6" x14ac:dyDescent="0.25">
      <c r="A88" s="4">
        <v>45913</v>
      </c>
      <c r="B88" s="2"/>
      <c r="C88" s="2"/>
      <c r="D88" s="2"/>
      <c r="E88" s="2"/>
      <c r="F88" s="2"/>
    </row>
    <row r="89" spans="1:6" x14ac:dyDescent="0.25">
      <c r="A89" s="4">
        <v>45914</v>
      </c>
      <c r="B89" s="2"/>
      <c r="C89" s="2"/>
      <c r="D89" s="2"/>
      <c r="E89" s="2"/>
      <c r="F89" s="2"/>
    </row>
    <row r="90" spans="1:6" x14ac:dyDescent="0.25">
      <c r="A90" s="4">
        <v>45915</v>
      </c>
      <c r="B90" s="2"/>
      <c r="C90" s="2"/>
      <c r="D90" s="2"/>
      <c r="E90" s="2"/>
      <c r="F90" s="2"/>
    </row>
    <row r="91" spans="1:6" x14ac:dyDescent="0.25">
      <c r="A91" s="4">
        <v>45916</v>
      </c>
      <c r="B91" s="2"/>
      <c r="C91" s="2"/>
      <c r="D91" s="2"/>
      <c r="E91" s="2"/>
      <c r="F91" s="2"/>
    </row>
    <row r="92" spans="1:6" x14ac:dyDescent="0.25">
      <c r="A92" s="4">
        <v>45917</v>
      </c>
      <c r="B92" s="2"/>
      <c r="C92" s="2"/>
      <c r="D92" s="2"/>
      <c r="E92" s="2"/>
      <c r="F92" s="2"/>
    </row>
    <row r="93" spans="1:6" x14ac:dyDescent="0.25">
      <c r="A93" s="4">
        <v>45918</v>
      </c>
      <c r="B93" s="2" t="s">
        <v>5406</v>
      </c>
      <c r="C93" s="2"/>
      <c r="D93" s="2"/>
      <c r="E93" s="2"/>
      <c r="F93" s="2"/>
    </row>
    <row r="94" spans="1:6" x14ac:dyDescent="0.25">
      <c r="A94" s="4">
        <v>45919</v>
      </c>
      <c r="B94" s="2" t="s">
        <v>5418</v>
      </c>
      <c r="C94" s="2"/>
      <c r="D94" s="2"/>
      <c r="E94" s="2"/>
      <c r="F94" s="2"/>
    </row>
    <row r="95" spans="1:6" x14ac:dyDescent="0.25">
      <c r="A95" s="4">
        <v>45920</v>
      </c>
      <c r="B95" s="2" t="s">
        <v>5418</v>
      </c>
      <c r="C95" s="2"/>
      <c r="D95" s="2"/>
      <c r="E95" s="2"/>
      <c r="F95" s="2"/>
    </row>
    <row r="96" spans="1:6" x14ac:dyDescent="0.25">
      <c r="A96" s="4">
        <v>45921</v>
      </c>
      <c r="B96" s="2" t="s">
        <v>5431</v>
      </c>
      <c r="C96" s="2" t="s">
        <v>5432</v>
      </c>
      <c r="D96" s="2"/>
      <c r="E96" s="2"/>
      <c r="F96" s="2"/>
    </row>
    <row r="97" spans="1:6" x14ac:dyDescent="0.25">
      <c r="A97" s="4">
        <v>45922</v>
      </c>
      <c r="B97" s="2" t="s">
        <v>5453</v>
      </c>
      <c r="C97" s="2"/>
      <c r="D97" s="2">
        <v>25</v>
      </c>
      <c r="E97" s="2">
        <f>D97-D96</f>
        <v>25</v>
      </c>
      <c r="F97" s="2"/>
    </row>
    <row r="98" spans="1:6" x14ac:dyDescent="0.25">
      <c r="A98" s="4">
        <v>45923</v>
      </c>
      <c r="B98" s="2" t="s">
        <v>5454</v>
      </c>
      <c r="C98" s="2"/>
      <c r="D98" s="2">
        <v>35</v>
      </c>
      <c r="E98" s="2">
        <f t="shared" ref="E98:E114" si="2">D98-D97</f>
        <v>10</v>
      </c>
      <c r="F98" s="2"/>
    </row>
    <row r="99" spans="1:6" x14ac:dyDescent="0.25">
      <c r="A99" s="4">
        <v>45924</v>
      </c>
      <c r="B99" s="2" t="s">
        <v>5462</v>
      </c>
      <c r="C99" s="2" t="s">
        <v>5463</v>
      </c>
      <c r="D99" s="2">
        <v>40</v>
      </c>
      <c r="E99" s="2">
        <f t="shared" si="2"/>
        <v>5</v>
      </c>
      <c r="F99" s="2"/>
    </row>
    <row r="100" spans="1:6" x14ac:dyDescent="0.25">
      <c r="A100" s="4">
        <v>45925</v>
      </c>
      <c r="B100" s="2" t="s">
        <v>5474</v>
      </c>
      <c r="C100" s="2" t="s">
        <v>5475</v>
      </c>
      <c r="D100" s="2">
        <v>60</v>
      </c>
      <c r="E100" s="2">
        <f t="shared" si="2"/>
        <v>20</v>
      </c>
      <c r="F100" s="2"/>
    </row>
    <row r="101" spans="1:6" x14ac:dyDescent="0.25">
      <c r="A101" s="4">
        <v>45926</v>
      </c>
      <c r="B101" s="2" t="s">
        <v>5484</v>
      </c>
      <c r="C101" s="2"/>
      <c r="D101" s="2">
        <v>60</v>
      </c>
      <c r="E101" s="2">
        <f t="shared" si="2"/>
        <v>0</v>
      </c>
      <c r="F101" s="2"/>
    </row>
    <row r="102" spans="1:6" x14ac:dyDescent="0.25">
      <c r="A102" s="4">
        <v>45927</v>
      </c>
      <c r="B102" s="2" t="s">
        <v>5487</v>
      </c>
      <c r="C102" s="2"/>
      <c r="D102" s="2">
        <v>81</v>
      </c>
      <c r="E102" s="2">
        <f t="shared" si="2"/>
        <v>21</v>
      </c>
      <c r="F102" s="2"/>
    </row>
    <row r="103" spans="1:6" x14ac:dyDescent="0.25">
      <c r="A103" s="4">
        <v>45928</v>
      </c>
      <c r="B103" s="2" t="s">
        <v>5497</v>
      </c>
      <c r="C103" s="2"/>
      <c r="D103" s="2">
        <v>90</v>
      </c>
      <c r="E103" s="2">
        <f t="shared" si="2"/>
        <v>9</v>
      </c>
      <c r="F103" s="2"/>
    </row>
    <row r="104" spans="1:6" x14ac:dyDescent="0.25">
      <c r="A104" s="4">
        <v>45929</v>
      </c>
      <c r="B104" s="2" t="s">
        <v>5514</v>
      </c>
      <c r="C104" s="2"/>
      <c r="D104" s="2">
        <v>105</v>
      </c>
      <c r="E104" s="2">
        <f t="shared" si="2"/>
        <v>15</v>
      </c>
      <c r="F104" s="2"/>
    </row>
    <row r="105" spans="1:6" x14ac:dyDescent="0.25">
      <c r="A105" s="4">
        <v>45930</v>
      </c>
      <c r="B105" s="2" t="s">
        <v>5534</v>
      </c>
      <c r="C105" s="2" t="s">
        <v>5073</v>
      </c>
      <c r="D105" s="2">
        <v>120</v>
      </c>
      <c r="E105" s="2">
        <f t="shared" si="2"/>
        <v>15</v>
      </c>
      <c r="F105" s="2"/>
    </row>
    <row r="106" spans="1:6" x14ac:dyDescent="0.25">
      <c r="A106" s="4">
        <v>45931</v>
      </c>
      <c r="B106" s="2" t="s">
        <v>1178</v>
      </c>
      <c r="C106" s="2"/>
      <c r="D106" s="2"/>
      <c r="E106" s="2">
        <f t="shared" si="2"/>
        <v>-120</v>
      </c>
      <c r="F106" s="2"/>
    </row>
    <row r="107" spans="1:6" x14ac:dyDescent="0.25">
      <c r="A107" s="4">
        <v>45932</v>
      </c>
      <c r="B107" s="2" t="s">
        <v>539</v>
      </c>
      <c r="C107" s="2" t="s">
        <v>5543</v>
      </c>
      <c r="D107" s="2"/>
      <c r="E107" s="2">
        <f t="shared" si="2"/>
        <v>0</v>
      </c>
      <c r="F107" s="2"/>
    </row>
    <row r="108" spans="1:6" x14ac:dyDescent="0.25">
      <c r="A108" s="4">
        <v>45933</v>
      </c>
      <c r="B108" s="2" t="s">
        <v>5547</v>
      </c>
      <c r="C108" s="2" t="s">
        <v>5533</v>
      </c>
      <c r="D108" s="2"/>
      <c r="E108" s="2">
        <f t="shared" si="2"/>
        <v>0</v>
      </c>
      <c r="F108" s="2"/>
    </row>
    <row r="109" spans="1:6" x14ac:dyDescent="0.25">
      <c r="A109" s="4">
        <v>45934</v>
      </c>
      <c r="B109" s="2"/>
      <c r="C109" s="2" t="s">
        <v>5552</v>
      </c>
      <c r="D109" s="2"/>
      <c r="E109" s="2">
        <f t="shared" si="2"/>
        <v>0</v>
      </c>
      <c r="F109" s="2"/>
    </row>
    <row r="110" spans="1:6" x14ac:dyDescent="0.25">
      <c r="A110" s="4">
        <v>45935</v>
      </c>
      <c r="B110" s="2"/>
      <c r="C110" s="2"/>
      <c r="D110" s="2"/>
      <c r="E110" s="2">
        <f t="shared" si="2"/>
        <v>0</v>
      </c>
      <c r="F110" s="2"/>
    </row>
    <row r="111" spans="1:6" x14ac:dyDescent="0.25">
      <c r="A111" s="4">
        <v>45936</v>
      </c>
      <c r="B111" s="2"/>
      <c r="C111" s="2" t="s">
        <v>5578</v>
      </c>
      <c r="D111" s="2"/>
      <c r="E111" s="2">
        <f t="shared" si="2"/>
        <v>0</v>
      </c>
      <c r="F111" s="2"/>
    </row>
    <row r="112" spans="1:6" x14ac:dyDescent="0.25">
      <c r="A112" s="4">
        <v>45937</v>
      </c>
      <c r="B112" s="2"/>
      <c r="C112" s="2"/>
      <c r="D112" s="2"/>
      <c r="E112" s="2">
        <f t="shared" si="2"/>
        <v>0</v>
      </c>
      <c r="F112" s="2"/>
    </row>
    <row r="113" spans="1:6" x14ac:dyDescent="0.25">
      <c r="A113" s="4">
        <v>45938</v>
      </c>
      <c r="B113" s="2" t="s">
        <v>5591</v>
      </c>
      <c r="C113" s="2"/>
      <c r="D113" s="2"/>
      <c r="E113" s="2">
        <f t="shared" si="2"/>
        <v>0</v>
      </c>
      <c r="F113" s="2"/>
    </row>
    <row r="114" spans="1:6" x14ac:dyDescent="0.25">
      <c r="A114" s="4">
        <v>45939</v>
      </c>
      <c r="B114" s="2"/>
      <c r="C114" s="2"/>
      <c r="D114" s="2"/>
      <c r="E114" s="2">
        <f t="shared" si="2"/>
        <v>0</v>
      </c>
      <c r="F114" s="2"/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B3:G43"/>
  <sheetViews>
    <sheetView workbookViewId="0">
      <selection activeCell="C12" sqref="C12"/>
    </sheetView>
  </sheetViews>
  <sheetFormatPr defaultRowHeight="15" x14ac:dyDescent="0.25"/>
  <cols>
    <col min="2" max="2" width="18" bestFit="1" customWidth="1"/>
    <col min="3" max="3" width="72" bestFit="1" customWidth="1"/>
    <col min="4" max="4" width="42.140625" bestFit="1" customWidth="1"/>
    <col min="5" max="5" width="11.85546875" bestFit="1" customWidth="1"/>
    <col min="6" max="6" width="8.42578125" bestFit="1" customWidth="1"/>
    <col min="7" max="7" width="11" bestFit="1" customWidth="1"/>
  </cols>
  <sheetData>
    <row r="3" spans="2:7" x14ac:dyDescent="0.25">
      <c r="B3" s="53" t="s">
        <v>954</v>
      </c>
    </row>
    <row r="4" spans="2:7" ht="15.75" x14ac:dyDescent="0.25">
      <c r="B4" s="10" t="s">
        <v>0</v>
      </c>
      <c r="C4" s="11" t="s">
        <v>1</v>
      </c>
      <c r="D4" s="11" t="s">
        <v>2</v>
      </c>
      <c r="E4" s="11" t="s">
        <v>934</v>
      </c>
      <c r="F4" s="11" t="s">
        <v>1095</v>
      </c>
      <c r="G4" s="11" t="s">
        <v>1507</v>
      </c>
    </row>
    <row r="5" spans="2:7" x14ac:dyDescent="0.25">
      <c r="B5" s="4">
        <v>45793</v>
      </c>
      <c r="C5" s="2" t="s">
        <v>3949</v>
      </c>
      <c r="D5" s="2"/>
      <c r="E5" s="23">
        <v>40</v>
      </c>
      <c r="F5" s="2"/>
      <c r="G5" s="2"/>
    </row>
    <row r="6" spans="2:7" x14ac:dyDescent="0.25">
      <c r="B6" s="4">
        <v>45794</v>
      </c>
      <c r="C6" s="2" t="s">
        <v>3959</v>
      </c>
      <c r="D6" s="2"/>
      <c r="E6" s="23">
        <v>100</v>
      </c>
      <c r="F6" s="2">
        <f t="shared" ref="F6:F17" si="0">E6-E5</f>
        <v>60</v>
      </c>
      <c r="G6" s="2"/>
    </row>
    <row r="7" spans="2:7" x14ac:dyDescent="0.25">
      <c r="B7" s="4">
        <v>45795</v>
      </c>
      <c r="C7" s="2" t="s">
        <v>1178</v>
      </c>
      <c r="D7" s="2"/>
      <c r="E7" s="23">
        <v>0</v>
      </c>
      <c r="F7" s="2">
        <f t="shared" si="0"/>
        <v>-100</v>
      </c>
      <c r="G7" s="2"/>
    </row>
    <row r="8" spans="2:7" x14ac:dyDescent="0.25">
      <c r="B8" s="4">
        <v>45796</v>
      </c>
      <c r="C8" s="2" t="s">
        <v>1174</v>
      </c>
      <c r="D8" s="2"/>
      <c r="E8" s="23">
        <v>0</v>
      </c>
      <c r="F8" s="2">
        <f t="shared" si="0"/>
        <v>0</v>
      </c>
      <c r="G8" s="2"/>
    </row>
    <row r="9" spans="2:7" x14ac:dyDescent="0.25">
      <c r="B9" s="4">
        <v>45797</v>
      </c>
      <c r="C9" s="2" t="s">
        <v>539</v>
      </c>
      <c r="D9" s="2"/>
      <c r="E9" s="23">
        <v>0</v>
      </c>
      <c r="F9" s="2">
        <f t="shared" si="0"/>
        <v>0</v>
      </c>
      <c r="G9" s="2"/>
    </row>
    <row r="10" spans="2:7" x14ac:dyDescent="0.25">
      <c r="B10" s="4">
        <v>45798</v>
      </c>
      <c r="C10" s="2"/>
      <c r="D10" s="2"/>
      <c r="E10" s="23">
        <v>0</v>
      </c>
      <c r="F10" s="2">
        <f t="shared" si="0"/>
        <v>0</v>
      </c>
      <c r="G10" s="2"/>
    </row>
    <row r="11" spans="2:7" x14ac:dyDescent="0.25">
      <c r="B11" s="4">
        <v>45799</v>
      </c>
      <c r="C11" s="2"/>
      <c r="D11" s="2"/>
      <c r="E11" s="23">
        <v>0</v>
      </c>
      <c r="F11" s="2">
        <f t="shared" si="0"/>
        <v>0</v>
      </c>
      <c r="G11" s="2"/>
    </row>
    <row r="12" spans="2:7" x14ac:dyDescent="0.25">
      <c r="B12" s="4">
        <v>45800</v>
      </c>
      <c r="C12" s="2"/>
      <c r="D12" s="58"/>
      <c r="E12" s="23">
        <v>0</v>
      </c>
      <c r="F12" s="2">
        <f t="shared" si="0"/>
        <v>0</v>
      </c>
      <c r="G12" s="2"/>
    </row>
    <row r="13" spans="2:7" x14ac:dyDescent="0.25">
      <c r="B13" s="4">
        <v>45801</v>
      </c>
      <c r="C13" s="2"/>
      <c r="D13" s="58"/>
      <c r="E13" s="23">
        <v>0</v>
      </c>
      <c r="F13" s="2">
        <f t="shared" si="0"/>
        <v>0</v>
      </c>
      <c r="G13" s="2"/>
    </row>
    <row r="14" spans="2:7" x14ac:dyDescent="0.25">
      <c r="B14" s="4">
        <v>45802</v>
      </c>
      <c r="C14" s="2"/>
      <c r="D14" s="58"/>
      <c r="E14" s="23">
        <v>0</v>
      </c>
      <c r="F14" s="2">
        <f t="shared" si="0"/>
        <v>0</v>
      </c>
      <c r="G14" s="2"/>
    </row>
    <row r="15" spans="2:7" x14ac:dyDescent="0.25">
      <c r="B15" s="4">
        <v>45803</v>
      </c>
      <c r="C15" s="2"/>
      <c r="D15" s="2"/>
      <c r="E15" s="23">
        <v>0</v>
      </c>
      <c r="F15" s="2">
        <f t="shared" si="0"/>
        <v>0</v>
      </c>
      <c r="G15" s="2"/>
    </row>
    <row r="16" spans="2:7" x14ac:dyDescent="0.25">
      <c r="B16" s="4">
        <v>45804</v>
      </c>
      <c r="C16" s="2"/>
      <c r="D16" s="2"/>
      <c r="E16" s="23"/>
      <c r="F16" s="2">
        <f t="shared" si="0"/>
        <v>0</v>
      </c>
      <c r="G16" s="2"/>
    </row>
    <row r="17" spans="2:7" x14ac:dyDescent="0.25">
      <c r="B17" s="4">
        <v>45805</v>
      </c>
      <c r="C17" s="2"/>
      <c r="D17" s="2"/>
      <c r="E17" s="23"/>
      <c r="F17" s="2">
        <f t="shared" si="0"/>
        <v>0</v>
      </c>
      <c r="G17" s="2"/>
    </row>
    <row r="18" spans="2:7" x14ac:dyDescent="0.25">
      <c r="B18" s="4">
        <v>45806</v>
      </c>
      <c r="C18" s="2"/>
      <c r="D18" s="2"/>
      <c r="E18" s="23"/>
      <c r="F18" s="2"/>
      <c r="G18" s="2"/>
    </row>
    <row r="19" spans="2:7" x14ac:dyDescent="0.25">
      <c r="B19" s="4">
        <v>45807</v>
      </c>
      <c r="C19" s="58"/>
      <c r="D19" s="2"/>
      <c r="E19" s="23"/>
      <c r="F19" s="2"/>
      <c r="G19" s="2"/>
    </row>
    <row r="20" spans="2:7" x14ac:dyDescent="0.25">
      <c r="B20" s="4"/>
      <c r="C20" s="2"/>
      <c r="D20" s="2"/>
      <c r="E20" s="23"/>
      <c r="F20" s="2"/>
      <c r="G20" s="2"/>
    </row>
    <row r="21" spans="2:7" x14ac:dyDescent="0.25">
      <c r="B21" s="4"/>
      <c r="C21" s="2"/>
      <c r="D21" s="2"/>
      <c r="E21" s="23"/>
      <c r="F21" s="2"/>
      <c r="G21" s="2"/>
    </row>
    <row r="22" spans="2:7" x14ac:dyDescent="0.25">
      <c r="B22" s="4"/>
      <c r="C22" s="58"/>
      <c r="D22" s="2"/>
      <c r="E22" s="23"/>
      <c r="F22" s="2"/>
      <c r="G22" s="2"/>
    </row>
    <row r="23" spans="2:7" x14ac:dyDescent="0.25">
      <c r="B23" s="4"/>
      <c r="C23" s="58"/>
      <c r="D23" s="2"/>
      <c r="E23" s="23"/>
      <c r="F23" s="2"/>
      <c r="G23" s="2"/>
    </row>
    <row r="24" spans="2:7" x14ac:dyDescent="0.25">
      <c r="B24" s="4"/>
      <c r="C24" s="58"/>
      <c r="D24" s="2"/>
      <c r="E24" s="23"/>
      <c r="F24" s="2"/>
      <c r="G24" s="2"/>
    </row>
    <row r="25" spans="2:7" x14ac:dyDescent="0.25">
      <c r="B25" s="4"/>
      <c r="C25" s="58"/>
      <c r="D25" s="2"/>
      <c r="E25" s="23"/>
      <c r="F25" s="2"/>
      <c r="G25" s="2"/>
    </row>
    <row r="26" spans="2:7" x14ac:dyDescent="0.25">
      <c r="B26" s="4"/>
      <c r="C26" s="2"/>
      <c r="D26" s="2"/>
      <c r="E26" s="23"/>
      <c r="F26" s="2"/>
      <c r="G26" s="2"/>
    </row>
    <row r="27" spans="2:7" x14ac:dyDescent="0.25">
      <c r="B27" s="4"/>
      <c r="C27" s="2"/>
      <c r="D27" s="2"/>
      <c r="E27" s="23"/>
      <c r="F27" s="2"/>
      <c r="G27" s="2"/>
    </row>
    <row r="28" spans="2:7" x14ac:dyDescent="0.25">
      <c r="B28" s="4"/>
      <c r="C28" s="2"/>
      <c r="D28" s="2"/>
      <c r="E28" s="23"/>
      <c r="F28" s="2"/>
      <c r="G28" s="2"/>
    </row>
    <row r="29" spans="2:7" x14ac:dyDescent="0.25">
      <c r="B29" s="4"/>
      <c r="C29" s="2"/>
      <c r="D29" s="2"/>
      <c r="E29" s="23"/>
      <c r="F29" s="2"/>
      <c r="G29" s="2"/>
    </row>
    <row r="30" spans="2:7" x14ac:dyDescent="0.25">
      <c r="B30" s="4"/>
      <c r="C30" s="2"/>
      <c r="D30" s="2"/>
      <c r="E30" s="23"/>
      <c r="F30" s="2"/>
      <c r="G30" s="2"/>
    </row>
    <row r="31" spans="2:7" x14ac:dyDescent="0.25">
      <c r="B31" s="4"/>
      <c r="C31" s="2"/>
      <c r="D31" s="2"/>
      <c r="E31" s="23"/>
      <c r="F31" s="2"/>
      <c r="G31" s="2"/>
    </row>
    <row r="32" spans="2:7" x14ac:dyDescent="0.25">
      <c r="B32" s="4"/>
      <c r="C32" s="2"/>
      <c r="D32" s="2"/>
      <c r="E32" s="23"/>
      <c r="F32" s="2"/>
      <c r="G32" s="2"/>
    </row>
    <row r="33" spans="2:7" x14ac:dyDescent="0.25">
      <c r="B33" s="4"/>
      <c r="C33" s="2"/>
      <c r="D33" s="2"/>
      <c r="E33" s="23"/>
      <c r="F33" s="2"/>
      <c r="G33" s="2"/>
    </row>
    <row r="34" spans="2:7" x14ac:dyDescent="0.25">
      <c r="B34" s="4"/>
      <c r="C34" s="2"/>
      <c r="D34" s="2"/>
      <c r="E34" s="23"/>
      <c r="F34" s="2"/>
      <c r="G34" s="2"/>
    </row>
    <row r="35" spans="2:7" x14ac:dyDescent="0.25">
      <c r="B35" s="4"/>
      <c r="C35" s="2"/>
      <c r="D35" s="2"/>
      <c r="E35" s="23">
        <v>0</v>
      </c>
      <c r="F35" s="2">
        <f t="shared" ref="F35:F38" si="1">E35-E34</f>
        <v>0</v>
      </c>
      <c r="G35" s="2"/>
    </row>
    <row r="36" spans="2:7" x14ac:dyDescent="0.25">
      <c r="B36" s="4"/>
      <c r="C36" s="2"/>
      <c r="D36" s="2"/>
      <c r="E36" s="23">
        <v>0</v>
      </c>
      <c r="F36" s="2">
        <f t="shared" si="1"/>
        <v>0</v>
      </c>
      <c r="G36" s="2"/>
    </row>
    <row r="37" spans="2:7" x14ac:dyDescent="0.25">
      <c r="B37" s="4"/>
      <c r="C37" s="2"/>
      <c r="D37" s="2"/>
      <c r="E37" s="23">
        <v>0</v>
      </c>
      <c r="F37" s="2">
        <f t="shared" si="1"/>
        <v>0</v>
      </c>
      <c r="G37" s="2"/>
    </row>
    <row r="38" spans="2:7" x14ac:dyDescent="0.25">
      <c r="B38" s="4"/>
      <c r="C38" s="2"/>
      <c r="D38" s="2"/>
      <c r="E38" s="23">
        <v>0</v>
      </c>
      <c r="F38" s="2">
        <f t="shared" si="1"/>
        <v>0</v>
      </c>
      <c r="G38" s="2"/>
    </row>
    <row r="39" spans="2:7" x14ac:dyDescent="0.25">
      <c r="B39" s="4"/>
      <c r="C39" s="2"/>
      <c r="D39" s="2"/>
      <c r="E39" s="23">
        <v>0</v>
      </c>
      <c r="F39" s="2"/>
      <c r="G39" s="2"/>
    </row>
    <row r="40" spans="2:7" x14ac:dyDescent="0.25">
      <c r="B40" s="4"/>
      <c r="C40" s="2"/>
      <c r="D40" s="2"/>
      <c r="E40" s="2"/>
      <c r="F40" s="2"/>
      <c r="G40" s="2"/>
    </row>
    <row r="41" spans="2:7" x14ac:dyDescent="0.25">
      <c r="B41" s="4"/>
      <c r="C41" s="2"/>
      <c r="D41" s="2"/>
      <c r="E41" s="2"/>
      <c r="F41" s="2"/>
      <c r="G41" s="2"/>
    </row>
    <row r="42" spans="2:7" x14ac:dyDescent="0.25">
      <c r="B42" s="2"/>
      <c r="C42" s="2"/>
      <c r="D42" s="2"/>
      <c r="E42" s="2"/>
      <c r="F42" s="2"/>
      <c r="G42" s="2"/>
    </row>
    <row r="43" spans="2:7" x14ac:dyDescent="0.25">
      <c r="B43" s="2"/>
      <c r="C43" s="2"/>
      <c r="D43" s="2"/>
      <c r="E43" s="2"/>
      <c r="F43" s="2"/>
      <c r="G43" s="2"/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B3:G43"/>
  <sheetViews>
    <sheetView topLeftCell="A7" workbookViewId="0">
      <selection activeCell="C19" sqref="C19"/>
    </sheetView>
  </sheetViews>
  <sheetFormatPr defaultRowHeight="15" x14ac:dyDescent="0.25"/>
  <cols>
    <col min="2" max="2" width="18" bestFit="1" customWidth="1"/>
    <col min="3" max="3" width="72" bestFit="1" customWidth="1"/>
    <col min="4" max="4" width="42.140625" bestFit="1" customWidth="1"/>
    <col min="5" max="5" width="11.85546875" bestFit="1" customWidth="1"/>
    <col min="6" max="6" width="8.42578125" bestFit="1" customWidth="1"/>
    <col min="7" max="7" width="11" bestFit="1" customWidth="1"/>
  </cols>
  <sheetData>
    <row r="3" spans="2:7" x14ac:dyDescent="0.25">
      <c r="B3" s="53" t="s">
        <v>954</v>
      </c>
    </row>
    <row r="4" spans="2:7" ht="15.75" x14ac:dyDescent="0.25">
      <c r="B4" s="10" t="s">
        <v>0</v>
      </c>
      <c r="C4" s="11" t="s">
        <v>1</v>
      </c>
      <c r="D4" s="11" t="s">
        <v>2</v>
      </c>
      <c r="E4" s="11" t="s">
        <v>934</v>
      </c>
      <c r="F4" s="11" t="s">
        <v>1095</v>
      </c>
      <c r="G4" s="11" t="s">
        <v>1507</v>
      </c>
    </row>
    <row r="5" spans="2:7" x14ac:dyDescent="0.25">
      <c r="B5" s="4">
        <v>45764</v>
      </c>
      <c r="C5" s="2" t="s">
        <v>1528</v>
      </c>
      <c r="D5" s="2"/>
      <c r="E5" s="23">
        <v>0</v>
      </c>
      <c r="F5" s="2"/>
      <c r="G5" s="2"/>
    </row>
    <row r="6" spans="2:7" x14ac:dyDescent="0.25">
      <c r="B6" s="4">
        <v>45765</v>
      </c>
      <c r="C6" s="2" t="s">
        <v>522</v>
      </c>
      <c r="D6" s="2"/>
      <c r="E6" s="23">
        <v>0</v>
      </c>
      <c r="F6" s="2">
        <f t="shared" ref="F6:F8" si="0">E6-E5</f>
        <v>0</v>
      </c>
      <c r="G6" s="2"/>
    </row>
    <row r="7" spans="2:7" x14ac:dyDescent="0.25">
      <c r="B7" s="4">
        <v>45766</v>
      </c>
      <c r="C7" s="2"/>
      <c r="D7" s="2"/>
      <c r="E7" s="23">
        <v>0</v>
      </c>
      <c r="F7" s="2">
        <f t="shared" si="0"/>
        <v>0</v>
      </c>
      <c r="G7" s="2"/>
    </row>
    <row r="8" spans="2:7" x14ac:dyDescent="0.25">
      <c r="B8" s="4">
        <v>45767</v>
      </c>
      <c r="C8" s="2"/>
      <c r="D8" s="2"/>
      <c r="E8" s="23">
        <v>0</v>
      </c>
      <c r="F8" s="2">
        <f t="shared" si="0"/>
        <v>0</v>
      </c>
      <c r="G8" s="2"/>
    </row>
    <row r="9" spans="2:7" x14ac:dyDescent="0.25">
      <c r="B9" s="4">
        <v>45768</v>
      </c>
      <c r="C9" s="2"/>
      <c r="D9" s="2"/>
      <c r="E9" s="23">
        <v>0</v>
      </c>
      <c r="F9" s="2">
        <f>E9-E8</f>
        <v>0</v>
      </c>
      <c r="G9" s="2"/>
    </row>
    <row r="10" spans="2:7" x14ac:dyDescent="0.25">
      <c r="B10" s="4">
        <v>45769</v>
      </c>
      <c r="C10" s="2" t="s">
        <v>3772</v>
      </c>
      <c r="D10" s="2"/>
      <c r="E10" s="23">
        <v>30</v>
      </c>
      <c r="F10" s="2">
        <f t="shared" ref="F10:F38" si="1">E10-E9</f>
        <v>30</v>
      </c>
      <c r="G10" s="2"/>
    </row>
    <row r="11" spans="2:7" x14ac:dyDescent="0.25">
      <c r="B11" s="4">
        <v>45770</v>
      </c>
      <c r="C11" s="2" t="s">
        <v>3773</v>
      </c>
      <c r="D11" s="2" t="s">
        <v>3776</v>
      </c>
      <c r="E11" s="23">
        <v>60</v>
      </c>
      <c r="F11" s="2">
        <v>30</v>
      </c>
      <c r="G11" s="2"/>
    </row>
    <row r="12" spans="2:7" x14ac:dyDescent="0.25">
      <c r="B12" s="4">
        <v>45771</v>
      </c>
      <c r="C12" s="2" t="s">
        <v>3783</v>
      </c>
      <c r="D12" s="58"/>
      <c r="E12" s="23">
        <v>75</v>
      </c>
      <c r="F12" s="2">
        <f t="shared" si="1"/>
        <v>15</v>
      </c>
      <c r="G12" s="2"/>
    </row>
    <row r="13" spans="2:7" x14ac:dyDescent="0.25">
      <c r="B13" s="4">
        <v>45772</v>
      </c>
      <c r="C13" s="2" t="s">
        <v>3798</v>
      </c>
      <c r="D13" s="58"/>
      <c r="E13" s="23">
        <v>90</v>
      </c>
      <c r="F13" s="2">
        <f t="shared" si="1"/>
        <v>15</v>
      </c>
      <c r="G13" s="2"/>
    </row>
    <row r="14" spans="2:7" x14ac:dyDescent="0.25">
      <c r="B14" s="4">
        <v>45773</v>
      </c>
      <c r="C14" s="2" t="s">
        <v>3823</v>
      </c>
      <c r="D14" s="58"/>
      <c r="E14" s="23">
        <v>100</v>
      </c>
      <c r="F14" s="2">
        <f t="shared" si="1"/>
        <v>10</v>
      </c>
      <c r="G14" s="2"/>
    </row>
    <row r="15" spans="2:7" x14ac:dyDescent="0.25">
      <c r="B15" s="4">
        <v>45774</v>
      </c>
      <c r="C15" s="2" t="s">
        <v>1827</v>
      </c>
      <c r="D15" s="2"/>
      <c r="E15" s="23">
        <v>100</v>
      </c>
      <c r="F15" s="2">
        <f t="shared" si="1"/>
        <v>0</v>
      </c>
      <c r="G15" s="2"/>
    </row>
    <row r="16" spans="2:7" x14ac:dyDescent="0.25">
      <c r="B16" s="4">
        <v>45775</v>
      </c>
      <c r="C16" s="2" t="s">
        <v>3816</v>
      </c>
      <c r="D16" s="2"/>
      <c r="E16" s="23">
        <v>100</v>
      </c>
      <c r="F16" s="2">
        <f t="shared" si="1"/>
        <v>0</v>
      </c>
      <c r="G16" s="2"/>
    </row>
    <row r="17" spans="2:7" x14ac:dyDescent="0.25">
      <c r="B17" s="4">
        <v>45776</v>
      </c>
      <c r="C17" s="58"/>
      <c r="D17" s="2"/>
      <c r="E17" s="23">
        <v>0</v>
      </c>
      <c r="F17" s="2">
        <f t="shared" si="1"/>
        <v>-100</v>
      </c>
      <c r="G17" s="2"/>
    </row>
    <row r="18" spans="2:7" x14ac:dyDescent="0.25">
      <c r="B18" s="4">
        <v>45777</v>
      </c>
      <c r="C18" s="58"/>
      <c r="D18" s="2"/>
      <c r="E18" s="23">
        <v>0</v>
      </c>
      <c r="F18" s="2">
        <f t="shared" si="1"/>
        <v>0</v>
      </c>
      <c r="G18" s="2"/>
    </row>
    <row r="19" spans="2:7" x14ac:dyDescent="0.25">
      <c r="B19" s="4">
        <v>45778</v>
      </c>
      <c r="C19" s="58" t="s">
        <v>3841</v>
      </c>
      <c r="D19" s="2" t="s">
        <v>3847</v>
      </c>
      <c r="E19" s="23">
        <v>0</v>
      </c>
      <c r="F19" s="2">
        <f t="shared" si="1"/>
        <v>0</v>
      </c>
      <c r="G19" s="2"/>
    </row>
    <row r="20" spans="2:7" x14ac:dyDescent="0.25">
      <c r="B20" s="4">
        <v>45779</v>
      </c>
      <c r="C20" s="58"/>
      <c r="D20" s="2"/>
      <c r="E20" s="23">
        <v>0</v>
      </c>
      <c r="F20" s="2">
        <f t="shared" si="1"/>
        <v>0</v>
      </c>
      <c r="G20" s="2"/>
    </row>
    <row r="21" spans="2:7" x14ac:dyDescent="0.25">
      <c r="B21" s="4">
        <v>45780</v>
      </c>
      <c r="C21" s="58"/>
      <c r="D21" s="2"/>
      <c r="E21" s="23">
        <v>0</v>
      </c>
      <c r="F21" s="2">
        <f t="shared" si="1"/>
        <v>0</v>
      </c>
      <c r="G21" s="2"/>
    </row>
    <row r="22" spans="2:7" x14ac:dyDescent="0.25">
      <c r="B22" s="4">
        <v>45781</v>
      </c>
      <c r="C22" s="58"/>
      <c r="D22" s="2"/>
      <c r="E22" s="23">
        <v>0</v>
      </c>
      <c r="F22" s="2">
        <f t="shared" si="1"/>
        <v>0</v>
      </c>
      <c r="G22" s="2"/>
    </row>
    <row r="23" spans="2:7" x14ac:dyDescent="0.25">
      <c r="B23" s="4">
        <v>45782</v>
      </c>
      <c r="C23" s="58"/>
      <c r="D23" s="2"/>
      <c r="E23" s="23">
        <v>0</v>
      </c>
      <c r="F23" s="2">
        <f t="shared" si="1"/>
        <v>0</v>
      </c>
      <c r="G23" s="2"/>
    </row>
    <row r="24" spans="2:7" x14ac:dyDescent="0.25">
      <c r="B24" s="4">
        <v>45783</v>
      </c>
      <c r="C24" s="58"/>
      <c r="D24" s="2"/>
      <c r="E24" s="23">
        <v>0</v>
      </c>
      <c r="F24" s="2">
        <f t="shared" si="1"/>
        <v>0</v>
      </c>
      <c r="G24" s="2"/>
    </row>
    <row r="25" spans="2:7" x14ac:dyDescent="0.25">
      <c r="B25" s="4">
        <v>45784</v>
      </c>
      <c r="C25" s="58"/>
      <c r="D25" s="2"/>
      <c r="E25" s="23">
        <v>0</v>
      </c>
      <c r="F25" s="2">
        <f t="shared" si="1"/>
        <v>0</v>
      </c>
      <c r="G25" s="2"/>
    </row>
    <row r="26" spans="2:7" x14ac:dyDescent="0.25">
      <c r="B26" s="4">
        <v>45785</v>
      </c>
      <c r="C26" s="2"/>
      <c r="D26" s="2"/>
      <c r="E26" s="23">
        <v>0</v>
      </c>
      <c r="F26" s="2">
        <f t="shared" si="1"/>
        <v>0</v>
      </c>
      <c r="G26" s="2"/>
    </row>
    <row r="27" spans="2:7" x14ac:dyDescent="0.25">
      <c r="B27" s="4">
        <v>45786</v>
      </c>
      <c r="C27" s="2"/>
      <c r="D27" s="2"/>
      <c r="E27" s="23">
        <v>0</v>
      </c>
      <c r="F27" s="2">
        <f t="shared" si="1"/>
        <v>0</v>
      </c>
      <c r="G27" s="2"/>
    </row>
    <row r="28" spans="2:7" x14ac:dyDescent="0.25">
      <c r="B28" s="4">
        <v>45787</v>
      </c>
      <c r="C28" s="2"/>
      <c r="D28" s="2"/>
      <c r="E28" s="23">
        <v>0</v>
      </c>
      <c r="F28" s="2">
        <f t="shared" si="1"/>
        <v>0</v>
      </c>
      <c r="G28" s="2"/>
    </row>
    <row r="29" spans="2:7" x14ac:dyDescent="0.25">
      <c r="B29" s="4">
        <v>45788</v>
      </c>
      <c r="C29" s="2"/>
      <c r="D29" s="2"/>
      <c r="E29" s="23">
        <v>0</v>
      </c>
      <c r="F29" s="2">
        <f t="shared" si="1"/>
        <v>0</v>
      </c>
      <c r="G29" s="2"/>
    </row>
    <row r="30" spans="2:7" x14ac:dyDescent="0.25">
      <c r="B30" s="4">
        <v>45789</v>
      </c>
      <c r="C30" s="2"/>
      <c r="D30" s="2"/>
      <c r="E30" s="23">
        <v>0</v>
      </c>
      <c r="F30" s="2">
        <f t="shared" si="1"/>
        <v>0</v>
      </c>
      <c r="G30" s="2"/>
    </row>
    <row r="31" spans="2:7" x14ac:dyDescent="0.25">
      <c r="B31" s="4">
        <v>45790</v>
      </c>
      <c r="C31" s="2"/>
      <c r="D31" s="2"/>
      <c r="E31" s="23">
        <v>0</v>
      </c>
      <c r="F31" s="2">
        <f t="shared" si="1"/>
        <v>0</v>
      </c>
      <c r="G31" s="2"/>
    </row>
    <row r="32" spans="2:7" x14ac:dyDescent="0.25">
      <c r="B32" s="4">
        <v>45791</v>
      </c>
      <c r="C32" s="2"/>
      <c r="D32" s="2"/>
      <c r="E32" s="23">
        <v>0</v>
      </c>
      <c r="F32" s="2">
        <f t="shared" si="1"/>
        <v>0</v>
      </c>
      <c r="G32" s="2"/>
    </row>
    <row r="33" spans="2:7" x14ac:dyDescent="0.25">
      <c r="B33" s="4">
        <v>45792</v>
      </c>
      <c r="C33" s="2"/>
      <c r="D33" s="2"/>
      <c r="E33" s="23">
        <v>0</v>
      </c>
      <c r="F33" s="2">
        <f t="shared" si="1"/>
        <v>0</v>
      </c>
      <c r="G33" s="2"/>
    </row>
    <row r="34" spans="2:7" x14ac:dyDescent="0.25">
      <c r="B34" s="4">
        <v>45793</v>
      </c>
      <c r="C34" s="2"/>
      <c r="D34" s="2"/>
      <c r="E34" s="23">
        <v>0</v>
      </c>
      <c r="F34" s="2">
        <f t="shared" si="1"/>
        <v>0</v>
      </c>
      <c r="G34" s="2"/>
    </row>
    <row r="35" spans="2:7" x14ac:dyDescent="0.25">
      <c r="B35" s="4">
        <v>45794</v>
      </c>
      <c r="C35" s="2"/>
      <c r="D35" s="2"/>
      <c r="E35" s="23">
        <v>0</v>
      </c>
      <c r="F35" s="2">
        <f t="shared" si="1"/>
        <v>0</v>
      </c>
      <c r="G35" s="2"/>
    </row>
    <row r="36" spans="2:7" x14ac:dyDescent="0.25">
      <c r="B36" s="4">
        <v>45795</v>
      </c>
      <c r="C36" s="2"/>
      <c r="D36" s="2"/>
      <c r="E36" s="23">
        <v>0</v>
      </c>
      <c r="F36" s="2">
        <f t="shared" si="1"/>
        <v>0</v>
      </c>
      <c r="G36" s="2"/>
    </row>
    <row r="37" spans="2:7" x14ac:dyDescent="0.25">
      <c r="B37" s="4">
        <v>45796</v>
      </c>
      <c r="C37" s="2"/>
      <c r="D37" s="2"/>
      <c r="E37" s="23">
        <v>0</v>
      </c>
      <c r="F37" s="2">
        <f t="shared" si="1"/>
        <v>0</v>
      </c>
      <c r="G37" s="2"/>
    </row>
    <row r="38" spans="2:7" x14ac:dyDescent="0.25">
      <c r="B38" s="4">
        <v>45797</v>
      </c>
      <c r="C38" s="2"/>
      <c r="D38" s="2"/>
      <c r="E38" s="23">
        <v>0</v>
      </c>
      <c r="F38" s="2">
        <f t="shared" si="1"/>
        <v>0</v>
      </c>
      <c r="G38" s="2"/>
    </row>
    <row r="39" spans="2:7" x14ac:dyDescent="0.25">
      <c r="B39" s="4">
        <v>45798</v>
      </c>
      <c r="C39" s="2"/>
      <c r="D39" s="2"/>
      <c r="E39" s="23">
        <v>0</v>
      </c>
      <c r="F39" s="2"/>
      <c r="G39" s="2"/>
    </row>
    <row r="40" spans="2:7" x14ac:dyDescent="0.25">
      <c r="B40" s="4">
        <v>45799</v>
      </c>
      <c r="C40" s="2"/>
      <c r="D40" s="2"/>
      <c r="E40" s="2"/>
      <c r="F40" s="2"/>
      <c r="G40" s="2"/>
    </row>
    <row r="41" spans="2:7" x14ac:dyDescent="0.25">
      <c r="B41" s="4">
        <v>45800</v>
      </c>
      <c r="C41" s="2"/>
      <c r="D41" s="2"/>
      <c r="E41" s="2"/>
      <c r="F41" s="2"/>
      <c r="G41" s="2"/>
    </row>
    <row r="42" spans="2:7" x14ac:dyDescent="0.25">
      <c r="B42" s="2"/>
      <c r="C42" s="2"/>
      <c r="D42" s="2"/>
      <c r="E42" s="2"/>
      <c r="F42" s="2"/>
      <c r="G42" s="2"/>
    </row>
    <row r="43" spans="2:7" x14ac:dyDescent="0.25">
      <c r="B43" s="2"/>
      <c r="C43" s="2"/>
      <c r="D43" s="2"/>
      <c r="E43" s="2"/>
      <c r="F43" s="2"/>
      <c r="G43" s="2"/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B3:G66"/>
  <sheetViews>
    <sheetView topLeftCell="A46" workbookViewId="0">
      <selection activeCell="C58" sqref="C58"/>
    </sheetView>
  </sheetViews>
  <sheetFormatPr defaultRowHeight="15" x14ac:dyDescent="0.25"/>
  <cols>
    <col min="2" max="2" width="18" bestFit="1" customWidth="1"/>
    <col min="3" max="3" width="72" bestFit="1" customWidth="1"/>
    <col min="4" max="4" width="42.140625" bestFit="1" customWidth="1"/>
    <col min="5" max="5" width="11.85546875" bestFit="1" customWidth="1"/>
    <col min="6" max="6" width="8.42578125" bestFit="1" customWidth="1"/>
    <col min="7" max="7" width="11" bestFit="1" customWidth="1"/>
  </cols>
  <sheetData>
    <row r="3" spans="2:7" x14ac:dyDescent="0.25">
      <c r="B3" s="53" t="s">
        <v>4036</v>
      </c>
    </row>
    <row r="4" spans="2:7" ht="15.75" x14ac:dyDescent="0.25">
      <c r="B4" s="10" t="s">
        <v>0</v>
      </c>
      <c r="C4" s="11" t="s">
        <v>1</v>
      </c>
      <c r="D4" s="11" t="s">
        <v>2</v>
      </c>
      <c r="E4" s="11" t="s">
        <v>934</v>
      </c>
      <c r="F4" s="11" t="s">
        <v>1095</v>
      </c>
      <c r="G4" s="11" t="s">
        <v>1507</v>
      </c>
    </row>
    <row r="5" spans="2:7" x14ac:dyDescent="0.25">
      <c r="B5" s="4">
        <v>45803</v>
      </c>
      <c r="C5" s="2" t="s">
        <v>1528</v>
      </c>
      <c r="D5" s="2"/>
      <c r="E5" s="23">
        <v>0</v>
      </c>
      <c r="F5" s="2"/>
      <c r="G5" s="2"/>
    </row>
    <row r="6" spans="2:7" x14ac:dyDescent="0.25">
      <c r="B6" s="4">
        <v>45804</v>
      </c>
      <c r="C6" s="2" t="s">
        <v>4050</v>
      </c>
      <c r="D6" s="2"/>
      <c r="E6" s="23">
        <v>0</v>
      </c>
      <c r="F6" s="2">
        <f t="shared" ref="F6:F35" si="0">E6-E5</f>
        <v>0</v>
      </c>
      <c r="G6" s="2"/>
    </row>
    <row r="7" spans="2:7" x14ac:dyDescent="0.25">
      <c r="B7" s="4">
        <v>45805</v>
      </c>
      <c r="C7" s="2" t="s">
        <v>4065</v>
      </c>
      <c r="D7" s="2"/>
      <c r="E7" s="23">
        <v>0</v>
      </c>
      <c r="F7" s="2">
        <f t="shared" si="0"/>
        <v>0</v>
      </c>
      <c r="G7" s="2"/>
    </row>
    <row r="8" spans="2:7" x14ac:dyDescent="0.25">
      <c r="B8" s="4">
        <v>45806</v>
      </c>
      <c r="C8" s="2" t="s">
        <v>1828</v>
      </c>
      <c r="D8" s="2"/>
      <c r="E8" s="23">
        <v>0</v>
      </c>
      <c r="F8" s="2">
        <f t="shared" si="0"/>
        <v>0</v>
      </c>
      <c r="G8" s="2"/>
    </row>
    <row r="9" spans="2:7" x14ac:dyDescent="0.25">
      <c r="B9" s="4">
        <v>45807</v>
      </c>
      <c r="C9" s="2" t="s">
        <v>4079</v>
      </c>
      <c r="D9" s="2"/>
      <c r="E9" s="23">
        <v>5</v>
      </c>
      <c r="F9" s="2">
        <f t="shared" si="0"/>
        <v>5</v>
      </c>
      <c r="G9" s="2"/>
    </row>
    <row r="10" spans="2:7" x14ac:dyDescent="0.25">
      <c r="B10" s="4">
        <v>45808</v>
      </c>
      <c r="C10" s="2" t="s">
        <v>4094</v>
      </c>
      <c r="D10" s="2"/>
      <c r="E10" s="23">
        <v>11</v>
      </c>
      <c r="F10" s="2">
        <f t="shared" si="0"/>
        <v>6</v>
      </c>
      <c r="G10" s="2"/>
    </row>
    <row r="11" spans="2:7" x14ac:dyDescent="0.25">
      <c r="B11" s="4">
        <v>45809</v>
      </c>
      <c r="C11" s="2" t="s">
        <v>4095</v>
      </c>
      <c r="D11" s="2" t="s">
        <v>4096</v>
      </c>
      <c r="E11" s="23">
        <v>21</v>
      </c>
      <c r="F11" s="2">
        <f t="shared" si="0"/>
        <v>10</v>
      </c>
      <c r="G11" s="2"/>
    </row>
    <row r="12" spans="2:7" x14ac:dyDescent="0.25">
      <c r="B12" s="4">
        <v>45810</v>
      </c>
      <c r="C12" s="2" t="s">
        <v>4129</v>
      </c>
      <c r="D12" s="58"/>
      <c r="E12" s="23">
        <v>46</v>
      </c>
      <c r="F12" s="2">
        <f t="shared" si="0"/>
        <v>25</v>
      </c>
      <c r="G12" s="2"/>
    </row>
    <row r="13" spans="2:7" x14ac:dyDescent="0.25">
      <c r="B13" s="4">
        <v>45811</v>
      </c>
      <c r="C13" s="2" t="s">
        <v>4137</v>
      </c>
      <c r="D13" s="58"/>
      <c r="E13" s="23">
        <v>51</v>
      </c>
      <c r="F13" s="2">
        <f t="shared" si="0"/>
        <v>5</v>
      </c>
      <c r="G13" s="2"/>
    </row>
    <row r="14" spans="2:7" x14ac:dyDescent="0.25">
      <c r="B14" s="4">
        <v>45812</v>
      </c>
      <c r="C14" s="2" t="s">
        <v>4149</v>
      </c>
      <c r="D14" s="58"/>
      <c r="E14" s="23">
        <v>55</v>
      </c>
      <c r="F14" s="2">
        <f t="shared" si="0"/>
        <v>4</v>
      </c>
      <c r="G14" s="2"/>
    </row>
    <row r="15" spans="2:7" x14ac:dyDescent="0.25">
      <c r="B15" s="4">
        <v>45813</v>
      </c>
      <c r="C15" s="2" t="s">
        <v>4157</v>
      </c>
      <c r="D15" s="2"/>
      <c r="E15" s="23">
        <v>59</v>
      </c>
      <c r="F15" s="2">
        <f t="shared" si="0"/>
        <v>4</v>
      </c>
      <c r="G15" s="2"/>
    </row>
    <row r="16" spans="2:7" x14ac:dyDescent="0.25">
      <c r="B16" s="4">
        <v>45814</v>
      </c>
      <c r="C16" s="2" t="s">
        <v>480</v>
      </c>
      <c r="D16" s="2"/>
      <c r="E16" s="23">
        <v>59</v>
      </c>
      <c r="F16" s="2">
        <f t="shared" si="0"/>
        <v>0</v>
      </c>
      <c r="G16" s="2"/>
    </row>
    <row r="17" spans="2:7" x14ac:dyDescent="0.25">
      <c r="B17" s="4">
        <v>45815</v>
      </c>
      <c r="C17" s="2" t="s">
        <v>4158</v>
      </c>
      <c r="D17" s="2"/>
      <c r="E17" s="23">
        <v>59</v>
      </c>
      <c r="F17" s="2">
        <f t="shared" si="0"/>
        <v>0</v>
      </c>
      <c r="G17" s="2"/>
    </row>
    <row r="18" spans="2:7" x14ac:dyDescent="0.25">
      <c r="B18" s="4">
        <v>45816</v>
      </c>
      <c r="C18" s="2" t="s">
        <v>4159</v>
      </c>
      <c r="D18" s="2" t="s">
        <v>4160</v>
      </c>
      <c r="E18" s="23">
        <v>61</v>
      </c>
      <c r="F18" s="2">
        <f t="shared" si="0"/>
        <v>2</v>
      </c>
      <c r="G18" s="2"/>
    </row>
    <row r="19" spans="2:7" x14ac:dyDescent="0.25">
      <c r="B19" s="4">
        <v>45817</v>
      </c>
      <c r="C19" s="2" t="s">
        <v>4192</v>
      </c>
      <c r="D19" s="2"/>
      <c r="E19" s="23">
        <v>67</v>
      </c>
      <c r="F19" s="2">
        <f t="shared" si="0"/>
        <v>6</v>
      </c>
      <c r="G19" s="2"/>
    </row>
    <row r="20" spans="2:7" x14ac:dyDescent="0.25">
      <c r="B20" s="4">
        <v>45818</v>
      </c>
      <c r="C20" s="2" t="s">
        <v>4199</v>
      </c>
      <c r="D20" s="2" t="s">
        <v>4208</v>
      </c>
      <c r="E20" s="23">
        <v>67.5</v>
      </c>
      <c r="F20" s="2">
        <f t="shared" si="0"/>
        <v>0.5</v>
      </c>
      <c r="G20" s="2"/>
    </row>
    <row r="21" spans="2:7" x14ac:dyDescent="0.25">
      <c r="B21" s="4">
        <v>45819</v>
      </c>
      <c r="C21" s="2" t="s">
        <v>1844</v>
      </c>
      <c r="D21" s="2" t="s">
        <v>4209</v>
      </c>
      <c r="E21" s="23">
        <v>67.5</v>
      </c>
      <c r="F21" s="2">
        <f t="shared" si="0"/>
        <v>0</v>
      </c>
      <c r="G21" s="2"/>
    </row>
    <row r="22" spans="2:7" x14ac:dyDescent="0.25">
      <c r="B22" s="4">
        <v>45820</v>
      </c>
      <c r="C22" s="2" t="s">
        <v>4276</v>
      </c>
      <c r="D22" s="2" t="s">
        <v>4211</v>
      </c>
      <c r="E22" s="23">
        <v>68</v>
      </c>
      <c r="F22" s="2">
        <f t="shared" si="0"/>
        <v>0.5</v>
      </c>
      <c r="G22" s="2"/>
    </row>
    <row r="23" spans="2:7" x14ac:dyDescent="0.25">
      <c r="B23" s="4">
        <v>45821</v>
      </c>
      <c r="C23" s="2" t="s">
        <v>4277</v>
      </c>
      <c r="D23" s="2"/>
      <c r="E23" s="23">
        <v>73</v>
      </c>
      <c r="F23" s="2">
        <f t="shared" si="0"/>
        <v>5</v>
      </c>
      <c r="G23" s="2"/>
    </row>
    <row r="24" spans="2:7" x14ac:dyDescent="0.25">
      <c r="B24" s="4">
        <v>45822</v>
      </c>
      <c r="C24" s="2" t="s">
        <v>4278</v>
      </c>
      <c r="D24" s="2"/>
      <c r="E24" s="23">
        <v>78</v>
      </c>
      <c r="F24" s="2">
        <f t="shared" si="0"/>
        <v>5</v>
      </c>
      <c r="G24" s="2"/>
    </row>
    <row r="25" spans="2:7" x14ac:dyDescent="0.25">
      <c r="B25" s="4">
        <v>45823</v>
      </c>
      <c r="C25" s="58" t="s">
        <v>4260</v>
      </c>
      <c r="D25" s="2"/>
      <c r="E25" s="23">
        <v>78</v>
      </c>
      <c r="F25" s="2">
        <f t="shared" si="0"/>
        <v>0</v>
      </c>
      <c r="G25" s="2"/>
    </row>
    <row r="26" spans="2:7" x14ac:dyDescent="0.25">
      <c r="B26" s="4">
        <v>45824</v>
      </c>
      <c r="C26" s="2" t="s">
        <v>4279</v>
      </c>
      <c r="D26" s="2"/>
      <c r="E26" s="23">
        <v>80</v>
      </c>
      <c r="F26" s="2">
        <f t="shared" si="0"/>
        <v>2</v>
      </c>
      <c r="G26" s="2"/>
    </row>
    <row r="27" spans="2:7" x14ac:dyDescent="0.25">
      <c r="B27" s="4">
        <v>45825</v>
      </c>
      <c r="C27" s="2"/>
      <c r="D27" s="2"/>
      <c r="E27" s="23">
        <v>80</v>
      </c>
      <c r="F27" s="2">
        <f t="shared" si="0"/>
        <v>0</v>
      </c>
      <c r="G27" s="2"/>
    </row>
    <row r="28" spans="2:7" x14ac:dyDescent="0.25">
      <c r="B28" s="4">
        <v>45826</v>
      </c>
      <c r="C28" s="2"/>
      <c r="D28" s="2"/>
      <c r="E28" s="23">
        <v>80</v>
      </c>
      <c r="F28" s="2">
        <f t="shared" si="0"/>
        <v>0</v>
      </c>
      <c r="G28" s="2"/>
    </row>
    <row r="29" spans="2:7" x14ac:dyDescent="0.25">
      <c r="B29" s="4">
        <v>45827</v>
      </c>
      <c r="C29" s="2" t="s">
        <v>4320</v>
      </c>
      <c r="D29" s="2" t="s">
        <v>4324</v>
      </c>
      <c r="E29" s="23">
        <v>80</v>
      </c>
      <c r="F29" s="2">
        <f t="shared" si="0"/>
        <v>0</v>
      </c>
      <c r="G29" s="2"/>
    </row>
    <row r="30" spans="2:7" x14ac:dyDescent="0.25">
      <c r="B30" s="4">
        <v>45828</v>
      </c>
      <c r="C30" s="2" t="s">
        <v>4336</v>
      </c>
      <c r="D30" s="2" t="s">
        <v>4337</v>
      </c>
      <c r="E30" s="23">
        <v>80</v>
      </c>
      <c r="F30" s="2">
        <f t="shared" si="0"/>
        <v>0</v>
      </c>
      <c r="G30" s="2"/>
    </row>
    <row r="31" spans="2:7" x14ac:dyDescent="0.25">
      <c r="B31" s="4">
        <v>45829</v>
      </c>
      <c r="C31" s="2" t="s">
        <v>1844</v>
      </c>
      <c r="D31" s="2" t="s">
        <v>4344</v>
      </c>
      <c r="E31" s="23">
        <v>80</v>
      </c>
      <c r="F31" s="2">
        <f t="shared" si="0"/>
        <v>0</v>
      </c>
      <c r="G31" s="2"/>
    </row>
    <row r="32" spans="2:7" x14ac:dyDescent="0.25">
      <c r="B32" s="4">
        <v>45830</v>
      </c>
      <c r="C32" s="2" t="s">
        <v>4369</v>
      </c>
      <c r="D32" s="2"/>
      <c r="E32" s="23">
        <v>82</v>
      </c>
      <c r="F32" s="2">
        <f t="shared" si="0"/>
        <v>2</v>
      </c>
      <c r="G32" s="2"/>
    </row>
    <row r="33" spans="2:7" x14ac:dyDescent="0.25">
      <c r="B33" s="4">
        <v>45831</v>
      </c>
      <c r="C33" s="2" t="s">
        <v>4376</v>
      </c>
      <c r="D33" s="2" t="s">
        <v>4385</v>
      </c>
      <c r="E33" s="23">
        <v>82.5</v>
      </c>
      <c r="F33" s="2">
        <f t="shared" si="0"/>
        <v>0.5</v>
      </c>
      <c r="G33" s="2"/>
    </row>
    <row r="34" spans="2:7" x14ac:dyDescent="0.25">
      <c r="B34" s="4">
        <v>45832</v>
      </c>
      <c r="C34" s="2" t="s">
        <v>4397</v>
      </c>
      <c r="D34" s="2"/>
      <c r="E34" s="23">
        <v>82.8</v>
      </c>
      <c r="F34" s="2">
        <f t="shared" si="0"/>
        <v>0.29999999999999716</v>
      </c>
      <c r="G34" s="2"/>
    </row>
    <row r="35" spans="2:7" x14ac:dyDescent="0.25">
      <c r="B35" s="4">
        <v>45833</v>
      </c>
      <c r="C35" s="2" t="s">
        <v>4436</v>
      </c>
      <c r="D35" s="2"/>
      <c r="E35" s="23">
        <v>84</v>
      </c>
      <c r="F35" s="2">
        <f t="shared" si="0"/>
        <v>1.2000000000000028</v>
      </c>
      <c r="G35" s="2"/>
    </row>
    <row r="36" spans="2:7" x14ac:dyDescent="0.25">
      <c r="B36" s="4">
        <v>45834</v>
      </c>
      <c r="C36" s="2" t="s">
        <v>4412</v>
      </c>
      <c r="D36" s="2"/>
      <c r="E36" s="23">
        <v>85</v>
      </c>
      <c r="F36" s="2">
        <f t="shared" ref="F36:F48" si="1">E36-E35</f>
        <v>1</v>
      </c>
      <c r="G36" s="2"/>
    </row>
    <row r="37" spans="2:7" x14ac:dyDescent="0.25">
      <c r="B37" s="4">
        <v>45835</v>
      </c>
      <c r="C37" s="2" t="s">
        <v>4435</v>
      </c>
      <c r="D37" s="2" t="s">
        <v>4446</v>
      </c>
      <c r="E37" s="23">
        <v>86</v>
      </c>
      <c r="F37" s="2">
        <f t="shared" si="1"/>
        <v>1</v>
      </c>
      <c r="G37" s="2"/>
    </row>
    <row r="38" spans="2:7" x14ac:dyDescent="0.25">
      <c r="B38" s="4">
        <v>45836</v>
      </c>
      <c r="C38" s="2"/>
      <c r="D38" s="2"/>
      <c r="E38" s="23">
        <v>0</v>
      </c>
      <c r="F38" s="2">
        <f t="shared" si="1"/>
        <v>-86</v>
      </c>
      <c r="G38" s="2"/>
    </row>
    <row r="39" spans="2:7" x14ac:dyDescent="0.25">
      <c r="B39" s="4">
        <v>45837</v>
      </c>
      <c r="C39" s="2"/>
      <c r="D39" s="2"/>
      <c r="E39" s="23">
        <v>0</v>
      </c>
      <c r="F39" s="2">
        <f t="shared" si="1"/>
        <v>0</v>
      </c>
      <c r="G39" s="2"/>
    </row>
    <row r="40" spans="2:7" x14ac:dyDescent="0.25">
      <c r="B40" s="4">
        <v>45838</v>
      </c>
      <c r="C40" s="2" t="s">
        <v>1827</v>
      </c>
      <c r="D40" s="2"/>
      <c r="E40" s="23">
        <v>0</v>
      </c>
      <c r="F40" s="2">
        <f t="shared" si="1"/>
        <v>0</v>
      </c>
      <c r="G40" s="2"/>
    </row>
    <row r="41" spans="2:7" x14ac:dyDescent="0.25">
      <c r="B41" s="4">
        <v>45839</v>
      </c>
      <c r="C41" s="2" t="s">
        <v>1020</v>
      </c>
      <c r="D41" s="2"/>
      <c r="E41" s="23">
        <v>0</v>
      </c>
      <c r="F41" s="2">
        <f t="shared" si="1"/>
        <v>0</v>
      </c>
      <c r="G41" s="2"/>
    </row>
    <row r="42" spans="2:7" x14ac:dyDescent="0.25">
      <c r="B42" s="4">
        <v>45840</v>
      </c>
      <c r="C42" s="2" t="s">
        <v>4493</v>
      </c>
      <c r="D42" s="2"/>
      <c r="E42" s="23">
        <v>86</v>
      </c>
      <c r="F42" s="2">
        <f t="shared" si="1"/>
        <v>86</v>
      </c>
      <c r="G42" s="2"/>
    </row>
    <row r="43" spans="2:7" x14ac:dyDescent="0.25">
      <c r="B43" s="4">
        <v>45841</v>
      </c>
      <c r="C43" s="2" t="s">
        <v>1178</v>
      </c>
      <c r="D43" s="2"/>
      <c r="E43" s="2"/>
      <c r="F43" s="2">
        <f t="shared" si="1"/>
        <v>-86</v>
      </c>
      <c r="G43" s="2"/>
    </row>
    <row r="44" spans="2:7" x14ac:dyDescent="0.25">
      <c r="B44" s="4">
        <v>45842</v>
      </c>
      <c r="C44" s="2" t="s">
        <v>149</v>
      </c>
      <c r="D44" s="2"/>
      <c r="E44" s="2"/>
      <c r="F44" s="2">
        <f t="shared" si="1"/>
        <v>0</v>
      </c>
      <c r="G44" s="2"/>
    </row>
    <row r="45" spans="2:7" x14ac:dyDescent="0.25">
      <c r="B45" s="4">
        <v>45843</v>
      </c>
      <c r="C45" s="2" t="s">
        <v>1268</v>
      </c>
      <c r="D45" s="2"/>
      <c r="E45" s="2"/>
      <c r="F45" s="2">
        <f t="shared" si="1"/>
        <v>0</v>
      </c>
      <c r="G45" s="2"/>
    </row>
    <row r="46" spans="2:7" x14ac:dyDescent="0.25">
      <c r="B46" s="4">
        <v>45844</v>
      </c>
      <c r="C46" s="2" t="s">
        <v>1268</v>
      </c>
      <c r="D46" s="2"/>
      <c r="E46" s="2"/>
      <c r="F46" s="2">
        <f t="shared" si="1"/>
        <v>0</v>
      </c>
      <c r="G46" s="2"/>
    </row>
    <row r="47" spans="2:7" x14ac:dyDescent="0.25">
      <c r="B47" s="4">
        <v>45845</v>
      </c>
      <c r="C47" s="2" t="s">
        <v>4535</v>
      </c>
      <c r="D47" s="2" t="s">
        <v>4514</v>
      </c>
      <c r="E47" s="2"/>
      <c r="F47" s="2">
        <f t="shared" si="1"/>
        <v>0</v>
      </c>
      <c r="G47" s="2"/>
    </row>
    <row r="48" spans="2:7" x14ac:dyDescent="0.25">
      <c r="B48" s="4">
        <v>45846</v>
      </c>
      <c r="C48" s="2"/>
      <c r="D48" s="2"/>
      <c r="E48" s="2"/>
      <c r="F48" s="2">
        <f t="shared" si="1"/>
        <v>0</v>
      </c>
      <c r="G48" s="2"/>
    </row>
    <row r="49" spans="2:7" x14ac:dyDescent="0.25">
      <c r="B49" s="4">
        <v>45847</v>
      </c>
      <c r="C49" s="2"/>
      <c r="D49" s="2"/>
      <c r="E49" s="2"/>
      <c r="F49" s="2"/>
      <c r="G49" s="2"/>
    </row>
    <row r="50" spans="2:7" x14ac:dyDescent="0.25">
      <c r="B50" s="4">
        <v>45848</v>
      </c>
      <c r="C50" s="2"/>
      <c r="D50" s="2"/>
      <c r="E50" s="2"/>
      <c r="F50" s="2"/>
      <c r="G50" s="2"/>
    </row>
    <row r="51" spans="2:7" x14ac:dyDescent="0.25">
      <c r="B51" s="4">
        <v>45849</v>
      </c>
      <c r="C51" s="2"/>
      <c r="D51" s="2"/>
      <c r="E51" s="2"/>
      <c r="F51" s="2"/>
      <c r="G51" s="2"/>
    </row>
    <row r="52" spans="2:7" x14ac:dyDescent="0.25">
      <c r="B52" s="4">
        <v>45850</v>
      </c>
      <c r="C52" s="2"/>
      <c r="D52" s="2"/>
      <c r="E52" s="2"/>
      <c r="F52" s="2"/>
      <c r="G52" s="2"/>
    </row>
    <row r="53" spans="2:7" x14ac:dyDescent="0.25">
      <c r="B53" s="2"/>
      <c r="C53" s="2"/>
      <c r="D53" s="2"/>
      <c r="E53" s="2"/>
      <c r="F53" s="2"/>
      <c r="G53" s="2"/>
    </row>
    <row r="54" spans="2:7" x14ac:dyDescent="0.25">
      <c r="B54" s="2"/>
      <c r="C54" s="2"/>
      <c r="D54" s="2"/>
      <c r="E54" s="2"/>
      <c r="F54" s="2"/>
      <c r="G54" s="2"/>
    </row>
    <row r="55" spans="2:7" x14ac:dyDescent="0.25">
      <c r="B55" s="2"/>
      <c r="C55" s="2"/>
      <c r="D55" s="2"/>
      <c r="E55" s="2"/>
      <c r="F55" s="2"/>
      <c r="G55" s="2"/>
    </row>
    <row r="56" spans="2:7" x14ac:dyDescent="0.25">
      <c r="B56" s="2"/>
      <c r="C56" s="2"/>
      <c r="D56" s="2"/>
      <c r="E56" s="2"/>
      <c r="F56" s="2"/>
      <c r="G56" s="2"/>
    </row>
    <row r="57" spans="2:7" x14ac:dyDescent="0.25">
      <c r="B57" s="2"/>
      <c r="C57" s="2"/>
      <c r="D57" s="2"/>
      <c r="E57" s="2"/>
      <c r="F57" s="2"/>
      <c r="G57" s="2"/>
    </row>
    <row r="58" spans="2:7" x14ac:dyDescent="0.25">
      <c r="B58" s="2"/>
      <c r="C58" s="2"/>
      <c r="D58" s="2"/>
      <c r="E58" s="2"/>
      <c r="F58" s="2"/>
      <c r="G58" s="2"/>
    </row>
    <row r="59" spans="2:7" x14ac:dyDescent="0.25">
      <c r="B59" s="2"/>
      <c r="C59" s="2"/>
      <c r="D59" s="2"/>
      <c r="E59" s="2"/>
      <c r="F59" s="2"/>
      <c r="G59" s="2"/>
    </row>
    <row r="60" spans="2:7" x14ac:dyDescent="0.25">
      <c r="B60" s="2"/>
      <c r="C60" s="2"/>
      <c r="D60" s="2"/>
      <c r="E60" s="2"/>
      <c r="F60" s="2"/>
      <c r="G60" s="2"/>
    </row>
    <row r="61" spans="2:7" x14ac:dyDescent="0.25">
      <c r="B61" s="2"/>
      <c r="C61" s="2"/>
      <c r="D61" s="2"/>
      <c r="E61" s="2"/>
      <c r="F61" s="2"/>
      <c r="G61" s="2"/>
    </row>
    <row r="62" spans="2:7" x14ac:dyDescent="0.25">
      <c r="B62" s="2"/>
      <c r="C62" s="2"/>
      <c r="D62" s="2"/>
      <c r="E62" s="2"/>
      <c r="F62" s="2"/>
      <c r="G62" s="2"/>
    </row>
    <row r="63" spans="2:7" x14ac:dyDescent="0.25">
      <c r="B63" s="2"/>
      <c r="C63" s="2"/>
      <c r="D63" s="2"/>
      <c r="E63" s="2"/>
      <c r="F63" s="2"/>
      <c r="G63" s="2"/>
    </row>
    <row r="64" spans="2:7" x14ac:dyDescent="0.25">
      <c r="B64" s="2"/>
      <c r="C64" s="2"/>
      <c r="D64" s="2"/>
      <c r="E64" s="2"/>
      <c r="F64" s="2"/>
      <c r="G64" s="2"/>
    </row>
    <row r="65" spans="2:7" x14ac:dyDescent="0.25">
      <c r="B65" s="2"/>
      <c r="C65" s="2"/>
      <c r="D65" s="2"/>
      <c r="E65" s="2"/>
      <c r="F65" s="2"/>
      <c r="G65" s="2"/>
    </row>
    <row r="66" spans="2:7" x14ac:dyDescent="0.25">
      <c r="B66" s="2"/>
      <c r="C66" s="2"/>
      <c r="D66" s="2"/>
      <c r="E66" s="2"/>
      <c r="F66" s="2"/>
      <c r="G66" s="2"/>
    </row>
  </sheetData>
  <phoneticPr fontId="6" type="noConversion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B3:G53"/>
  <sheetViews>
    <sheetView workbookViewId="0">
      <pane ySplit="4" topLeftCell="A41" activePane="bottomLeft" state="frozen"/>
      <selection pane="bottomLeft" activeCell="C47" sqref="C47"/>
    </sheetView>
  </sheetViews>
  <sheetFormatPr defaultRowHeight="15" x14ac:dyDescent="0.25"/>
  <cols>
    <col min="2" max="2" width="18" bestFit="1" customWidth="1"/>
    <col min="3" max="3" width="72" bestFit="1" customWidth="1"/>
    <col min="4" max="4" width="42.140625" bestFit="1" customWidth="1"/>
    <col min="5" max="5" width="11.85546875" bestFit="1" customWidth="1"/>
    <col min="6" max="6" width="8.42578125" bestFit="1" customWidth="1"/>
    <col min="7" max="7" width="11" bestFit="1" customWidth="1"/>
  </cols>
  <sheetData>
    <row r="3" spans="2:7" x14ac:dyDescent="0.25">
      <c r="B3" s="53" t="s">
        <v>5236</v>
      </c>
    </row>
    <row r="4" spans="2:7" ht="15.75" x14ac:dyDescent="0.25">
      <c r="B4" s="10" t="s">
        <v>0</v>
      </c>
      <c r="C4" s="11" t="s">
        <v>1</v>
      </c>
      <c r="D4" s="11" t="s">
        <v>2</v>
      </c>
      <c r="E4" s="11" t="s">
        <v>934</v>
      </c>
      <c r="F4" s="11" t="s">
        <v>1095</v>
      </c>
      <c r="G4" s="11" t="s">
        <v>1507</v>
      </c>
    </row>
    <row r="5" spans="2:7" x14ac:dyDescent="0.25">
      <c r="B5" s="4">
        <v>45803</v>
      </c>
      <c r="C5" s="2" t="s">
        <v>1528</v>
      </c>
      <c r="D5" s="2"/>
      <c r="E5" s="23">
        <v>0</v>
      </c>
      <c r="F5" s="2"/>
      <c r="G5" s="2"/>
    </row>
    <row r="6" spans="2:7" x14ac:dyDescent="0.25">
      <c r="B6" s="4">
        <v>45804</v>
      </c>
      <c r="C6" s="2" t="s">
        <v>4049</v>
      </c>
      <c r="D6" s="2"/>
      <c r="E6" s="23">
        <v>0</v>
      </c>
      <c r="F6" s="2">
        <f t="shared" ref="F6:F28" si="0">E6-E5</f>
        <v>0</v>
      </c>
      <c r="G6" s="2"/>
    </row>
    <row r="7" spans="2:7" x14ac:dyDescent="0.25">
      <c r="B7" s="4">
        <v>45805</v>
      </c>
      <c r="C7" s="2" t="s">
        <v>4061</v>
      </c>
      <c r="D7" s="2"/>
      <c r="E7" s="23">
        <v>15</v>
      </c>
      <c r="F7" s="2">
        <f t="shared" si="0"/>
        <v>15</v>
      </c>
      <c r="G7" s="2"/>
    </row>
    <row r="8" spans="2:7" x14ac:dyDescent="0.25">
      <c r="B8" s="4">
        <v>45806</v>
      </c>
      <c r="C8" s="2" t="s">
        <v>4062</v>
      </c>
      <c r="D8" s="2"/>
      <c r="E8" s="23">
        <v>15</v>
      </c>
      <c r="F8" s="2">
        <f t="shared" si="0"/>
        <v>0</v>
      </c>
      <c r="G8" s="2"/>
    </row>
    <row r="9" spans="2:7" x14ac:dyDescent="0.25">
      <c r="B9" s="4">
        <v>45807</v>
      </c>
      <c r="C9" s="2" t="s">
        <v>4078</v>
      </c>
      <c r="D9" s="2"/>
      <c r="E9" s="23">
        <v>42</v>
      </c>
      <c r="F9" s="2">
        <f t="shared" si="0"/>
        <v>27</v>
      </c>
      <c r="G9" s="2"/>
    </row>
    <row r="10" spans="2:7" x14ac:dyDescent="0.25">
      <c r="B10" s="4">
        <v>45808</v>
      </c>
      <c r="C10" s="2" t="s">
        <v>4097</v>
      </c>
      <c r="D10" s="2"/>
      <c r="E10" s="23">
        <v>44</v>
      </c>
      <c r="F10" s="2">
        <f t="shared" si="0"/>
        <v>2</v>
      </c>
      <c r="G10" s="2"/>
    </row>
    <row r="11" spans="2:7" x14ac:dyDescent="0.25">
      <c r="B11" s="4">
        <v>45809</v>
      </c>
      <c r="C11" s="2" t="s">
        <v>4098</v>
      </c>
      <c r="D11" s="2" t="s">
        <v>4099</v>
      </c>
      <c r="E11" s="23">
        <v>44</v>
      </c>
      <c r="F11" s="2">
        <f t="shared" si="0"/>
        <v>0</v>
      </c>
      <c r="G11" s="2"/>
    </row>
    <row r="12" spans="2:7" x14ac:dyDescent="0.25">
      <c r="B12" s="4">
        <v>45810</v>
      </c>
      <c r="C12" s="2" t="s">
        <v>4123</v>
      </c>
      <c r="D12" s="58"/>
      <c r="E12" s="23">
        <v>6</v>
      </c>
      <c r="F12" s="2">
        <f t="shared" si="0"/>
        <v>-38</v>
      </c>
      <c r="G12" s="2"/>
    </row>
    <row r="13" spans="2:7" x14ac:dyDescent="0.25">
      <c r="B13" s="4">
        <v>45811</v>
      </c>
      <c r="C13" s="2" t="s">
        <v>4138</v>
      </c>
      <c r="D13" s="58"/>
      <c r="E13" s="23">
        <v>8</v>
      </c>
      <c r="F13" s="2">
        <f t="shared" si="0"/>
        <v>2</v>
      </c>
      <c r="G13" s="2"/>
    </row>
    <row r="14" spans="2:7" x14ac:dyDescent="0.25">
      <c r="B14" s="4">
        <v>45812</v>
      </c>
      <c r="C14" s="2" t="s">
        <v>4162</v>
      </c>
      <c r="D14" s="58"/>
      <c r="E14" s="23">
        <v>54</v>
      </c>
      <c r="F14" s="2">
        <f t="shared" si="0"/>
        <v>46</v>
      </c>
      <c r="G14" s="2"/>
    </row>
    <row r="15" spans="2:7" x14ac:dyDescent="0.25">
      <c r="B15" s="4">
        <v>45813</v>
      </c>
      <c r="C15" s="2" t="s">
        <v>4163</v>
      </c>
      <c r="D15" s="2"/>
      <c r="E15" s="23">
        <v>61</v>
      </c>
      <c r="F15" s="2">
        <f t="shared" si="0"/>
        <v>7</v>
      </c>
      <c r="G15" s="2"/>
    </row>
    <row r="16" spans="2:7" x14ac:dyDescent="0.25">
      <c r="B16" s="4">
        <v>45814</v>
      </c>
      <c r="C16" s="2" t="s">
        <v>480</v>
      </c>
      <c r="D16" s="2"/>
      <c r="E16" s="23">
        <v>61</v>
      </c>
      <c r="F16" s="2">
        <f t="shared" si="0"/>
        <v>0</v>
      </c>
      <c r="G16" s="2"/>
    </row>
    <row r="17" spans="2:7" x14ac:dyDescent="0.25">
      <c r="B17" s="4">
        <v>45815</v>
      </c>
      <c r="C17" s="2" t="s">
        <v>4191</v>
      </c>
      <c r="D17" s="2"/>
      <c r="E17" s="23">
        <v>63</v>
      </c>
      <c r="F17" s="2">
        <f t="shared" si="0"/>
        <v>2</v>
      </c>
      <c r="G17" s="2"/>
    </row>
    <row r="18" spans="2:7" x14ac:dyDescent="0.25">
      <c r="B18" s="4">
        <v>45816</v>
      </c>
      <c r="C18" s="2" t="s">
        <v>4179</v>
      </c>
      <c r="D18" s="2"/>
      <c r="E18" s="23">
        <v>66</v>
      </c>
      <c r="F18" s="2">
        <f t="shared" si="0"/>
        <v>3</v>
      </c>
      <c r="G18" s="2"/>
    </row>
    <row r="19" spans="2:7" x14ac:dyDescent="0.25">
      <c r="B19" s="4">
        <v>45817</v>
      </c>
      <c r="C19" s="2" t="s">
        <v>4190</v>
      </c>
      <c r="D19" s="2"/>
      <c r="E19" s="23">
        <v>68</v>
      </c>
      <c r="F19" s="2">
        <f t="shared" si="0"/>
        <v>2</v>
      </c>
      <c r="G19" s="2"/>
    </row>
    <row r="20" spans="2:7" x14ac:dyDescent="0.25">
      <c r="B20" s="4">
        <v>45818</v>
      </c>
      <c r="C20" s="2" t="s">
        <v>4200</v>
      </c>
      <c r="D20" s="2" t="s">
        <v>4210</v>
      </c>
      <c r="E20" s="23">
        <v>70</v>
      </c>
      <c r="F20" s="2">
        <f t="shared" si="0"/>
        <v>2</v>
      </c>
      <c r="G20" s="2"/>
    </row>
    <row r="21" spans="2:7" x14ac:dyDescent="0.25">
      <c r="B21" s="4">
        <v>45819</v>
      </c>
      <c r="C21" s="2" t="s">
        <v>4225</v>
      </c>
      <c r="D21" s="2" t="s">
        <v>4237</v>
      </c>
      <c r="E21" s="23">
        <v>72</v>
      </c>
      <c r="F21" s="2">
        <f t="shared" si="0"/>
        <v>2</v>
      </c>
      <c r="G21" s="2"/>
    </row>
    <row r="22" spans="2:7" x14ac:dyDescent="0.25">
      <c r="B22" s="4">
        <v>45820</v>
      </c>
      <c r="C22" s="2" t="s">
        <v>4226</v>
      </c>
      <c r="D22" s="2" t="s">
        <v>4236</v>
      </c>
      <c r="E22" s="23">
        <v>75</v>
      </c>
      <c r="F22" s="2">
        <f t="shared" si="0"/>
        <v>3</v>
      </c>
      <c r="G22" s="2"/>
    </row>
    <row r="23" spans="2:7" x14ac:dyDescent="0.25">
      <c r="B23" s="4">
        <v>45821</v>
      </c>
      <c r="C23" s="2" t="s">
        <v>4226</v>
      </c>
      <c r="D23" s="2"/>
      <c r="E23" s="23">
        <v>75</v>
      </c>
      <c r="F23" s="2">
        <f t="shared" si="0"/>
        <v>0</v>
      </c>
      <c r="G23" s="2"/>
    </row>
    <row r="24" spans="2:7" x14ac:dyDescent="0.25">
      <c r="B24" s="4">
        <v>45822</v>
      </c>
      <c r="C24" s="2" t="s">
        <v>4242</v>
      </c>
      <c r="D24" s="2"/>
      <c r="E24" s="23">
        <v>82</v>
      </c>
      <c r="F24" s="2">
        <f t="shared" si="0"/>
        <v>7</v>
      </c>
      <c r="G24" s="2"/>
    </row>
    <row r="25" spans="2:7" x14ac:dyDescent="0.25">
      <c r="B25" s="4">
        <v>45823</v>
      </c>
      <c r="C25" s="2" t="s">
        <v>4272</v>
      </c>
      <c r="D25" s="2"/>
      <c r="E25" s="23">
        <v>98</v>
      </c>
      <c r="F25" s="2">
        <f t="shared" si="0"/>
        <v>16</v>
      </c>
      <c r="G25" s="2"/>
    </row>
    <row r="26" spans="2:7" x14ac:dyDescent="0.25">
      <c r="B26" s="4">
        <v>45824</v>
      </c>
      <c r="C26" s="2" t="s">
        <v>4271</v>
      </c>
      <c r="D26" s="2"/>
      <c r="E26" s="23"/>
      <c r="F26" s="2">
        <f t="shared" si="0"/>
        <v>-98</v>
      </c>
      <c r="G26" s="2"/>
    </row>
    <row r="27" spans="2:7" x14ac:dyDescent="0.25">
      <c r="B27" s="4">
        <v>45825</v>
      </c>
      <c r="C27" s="2" t="s">
        <v>2116</v>
      </c>
      <c r="D27" s="2"/>
      <c r="E27" s="23"/>
      <c r="F27" s="2">
        <f t="shared" si="0"/>
        <v>0</v>
      </c>
      <c r="G27" s="2"/>
    </row>
    <row r="28" spans="2:7" x14ac:dyDescent="0.25">
      <c r="B28" s="4">
        <v>45826</v>
      </c>
      <c r="C28" s="2" t="s">
        <v>4292</v>
      </c>
      <c r="D28" s="2" t="s">
        <v>4325</v>
      </c>
      <c r="E28" s="23"/>
      <c r="F28" s="2">
        <f t="shared" si="0"/>
        <v>0</v>
      </c>
      <c r="G28" s="2"/>
    </row>
    <row r="29" spans="2:7" x14ac:dyDescent="0.25">
      <c r="B29" s="4">
        <v>45827</v>
      </c>
      <c r="C29" s="2" t="s">
        <v>1166</v>
      </c>
      <c r="D29" s="2"/>
      <c r="E29" s="23"/>
      <c r="F29" s="2"/>
      <c r="G29" s="2"/>
    </row>
    <row r="30" spans="2:7" x14ac:dyDescent="0.25">
      <c r="B30" s="4">
        <v>45828</v>
      </c>
      <c r="C30" s="2" t="s">
        <v>3565</v>
      </c>
      <c r="D30" s="2"/>
      <c r="E30" s="23"/>
      <c r="F30" s="2"/>
      <c r="G30" s="2"/>
    </row>
    <row r="31" spans="2:7" x14ac:dyDescent="0.25">
      <c r="B31" s="4">
        <v>45829</v>
      </c>
      <c r="C31" s="2"/>
      <c r="D31" s="2" t="s">
        <v>1017</v>
      </c>
      <c r="E31" s="23"/>
      <c r="F31" s="2"/>
      <c r="G31" s="2"/>
    </row>
    <row r="32" spans="2:7" x14ac:dyDescent="0.25">
      <c r="B32" s="4">
        <v>45830</v>
      </c>
      <c r="C32" s="2"/>
      <c r="D32" s="2"/>
      <c r="E32" s="23"/>
      <c r="F32" s="2"/>
      <c r="G32" s="2"/>
    </row>
    <row r="33" spans="2:7" x14ac:dyDescent="0.25">
      <c r="B33" s="4">
        <v>45831</v>
      </c>
      <c r="C33" s="2"/>
      <c r="D33" s="2"/>
      <c r="E33" s="23"/>
      <c r="F33" s="2"/>
      <c r="G33" s="2"/>
    </row>
    <row r="34" spans="2:7" x14ac:dyDescent="0.25">
      <c r="B34" s="4">
        <v>45832</v>
      </c>
      <c r="C34" s="2"/>
      <c r="D34" s="2"/>
      <c r="E34" s="23"/>
      <c r="F34" s="2"/>
      <c r="G34" s="2"/>
    </row>
    <row r="35" spans="2:7" x14ac:dyDescent="0.25">
      <c r="B35" s="4">
        <v>45938</v>
      </c>
      <c r="C35" s="2" t="s">
        <v>1528</v>
      </c>
      <c r="D35" s="2"/>
      <c r="E35" s="23">
        <v>0</v>
      </c>
      <c r="F35" s="2">
        <f t="shared" ref="F35:F38" si="1">E35-E34</f>
        <v>0</v>
      </c>
      <c r="G35" s="2"/>
    </row>
    <row r="36" spans="2:7" x14ac:dyDescent="0.25">
      <c r="B36" s="4">
        <v>45939</v>
      </c>
      <c r="C36" s="2" t="s">
        <v>5605</v>
      </c>
      <c r="D36" s="2"/>
      <c r="E36" s="23">
        <v>0</v>
      </c>
      <c r="F36" s="2">
        <f t="shared" si="1"/>
        <v>0</v>
      </c>
      <c r="G36" s="2"/>
    </row>
    <row r="37" spans="2:7" x14ac:dyDescent="0.25">
      <c r="B37" s="4">
        <v>45940</v>
      </c>
      <c r="C37" s="2" t="s">
        <v>5606</v>
      </c>
      <c r="D37" s="2"/>
      <c r="E37" s="23">
        <v>0</v>
      </c>
      <c r="F37" s="2">
        <f t="shared" si="1"/>
        <v>0</v>
      </c>
      <c r="G37" s="2"/>
    </row>
    <row r="38" spans="2:7" x14ac:dyDescent="0.25">
      <c r="B38" s="4">
        <v>45941</v>
      </c>
      <c r="C38" s="2" t="s">
        <v>5616</v>
      </c>
      <c r="D38" s="2"/>
      <c r="E38" s="23">
        <v>0</v>
      </c>
      <c r="F38" s="2">
        <f t="shared" si="1"/>
        <v>0</v>
      </c>
      <c r="G38" s="2"/>
    </row>
    <row r="39" spans="2:7" x14ac:dyDescent="0.25">
      <c r="B39" s="4">
        <v>45942</v>
      </c>
      <c r="C39" s="2" t="s">
        <v>5616</v>
      </c>
      <c r="D39" s="2"/>
      <c r="E39" s="23">
        <v>0</v>
      </c>
      <c r="F39" s="2"/>
      <c r="G39" s="2"/>
    </row>
    <row r="40" spans="2:7" x14ac:dyDescent="0.25">
      <c r="B40" s="4">
        <v>45943</v>
      </c>
      <c r="C40" s="2" t="s">
        <v>5626</v>
      </c>
      <c r="D40" s="2" t="s">
        <v>5630</v>
      </c>
      <c r="E40" s="2"/>
      <c r="F40" s="2"/>
      <c r="G40" s="2"/>
    </row>
    <row r="41" spans="2:7" x14ac:dyDescent="0.25">
      <c r="B41" s="4">
        <v>45944</v>
      </c>
      <c r="C41" s="2" t="s">
        <v>5633</v>
      </c>
      <c r="D41" s="2"/>
      <c r="E41" s="2"/>
      <c r="F41" s="2"/>
      <c r="G41" s="2"/>
    </row>
    <row r="42" spans="2:7" x14ac:dyDescent="0.25">
      <c r="B42" s="4">
        <v>45945</v>
      </c>
      <c r="C42" s="2" t="s">
        <v>5643</v>
      </c>
      <c r="D42" s="2"/>
      <c r="E42" s="2">
        <v>91</v>
      </c>
      <c r="F42" s="2">
        <f>E42-E41</f>
        <v>91</v>
      </c>
      <c r="G42" s="2"/>
    </row>
    <row r="43" spans="2:7" x14ac:dyDescent="0.25">
      <c r="B43" s="4">
        <v>45946</v>
      </c>
      <c r="C43" s="2" t="s">
        <v>5655</v>
      </c>
      <c r="D43" s="2" t="s">
        <v>5659</v>
      </c>
      <c r="E43" s="2">
        <v>95</v>
      </c>
      <c r="F43" s="2">
        <f t="shared" ref="F43:F53" si="2">E43-E42</f>
        <v>4</v>
      </c>
      <c r="G43" s="2"/>
    </row>
    <row r="44" spans="2:7" x14ac:dyDescent="0.25">
      <c r="B44" s="4">
        <v>45947</v>
      </c>
      <c r="C44" s="2" t="s">
        <v>5662</v>
      </c>
      <c r="D44" s="2" t="s">
        <v>5663</v>
      </c>
      <c r="E44" s="2">
        <v>96</v>
      </c>
      <c r="F44" s="2">
        <f t="shared" si="2"/>
        <v>1</v>
      </c>
      <c r="G44" s="2"/>
    </row>
    <row r="45" spans="2:7" x14ac:dyDescent="0.25">
      <c r="B45" s="4">
        <v>45948</v>
      </c>
      <c r="C45" s="2" t="s">
        <v>5667</v>
      </c>
      <c r="D45" s="2" t="s">
        <v>5665</v>
      </c>
      <c r="E45" s="2"/>
      <c r="F45" s="2">
        <f t="shared" si="2"/>
        <v>-96</v>
      </c>
      <c r="G45" s="2"/>
    </row>
    <row r="46" spans="2:7" x14ac:dyDescent="0.25">
      <c r="B46" s="4">
        <v>45949</v>
      </c>
      <c r="C46" s="2" t="s">
        <v>1166</v>
      </c>
      <c r="D46" s="2" t="s">
        <v>5683</v>
      </c>
      <c r="E46" s="2"/>
      <c r="F46" s="2">
        <f t="shared" si="2"/>
        <v>0</v>
      </c>
      <c r="G46" s="2"/>
    </row>
    <row r="47" spans="2:7" x14ac:dyDescent="0.25">
      <c r="B47" s="4">
        <v>45950</v>
      </c>
      <c r="C47" s="2" t="s">
        <v>2355</v>
      </c>
      <c r="D47" s="2" t="s">
        <v>5664</v>
      </c>
      <c r="E47" s="2"/>
      <c r="F47" s="2">
        <f t="shared" si="2"/>
        <v>0</v>
      </c>
      <c r="G47" s="2"/>
    </row>
    <row r="48" spans="2:7" x14ac:dyDescent="0.25">
      <c r="B48" s="4">
        <v>45951</v>
      </c>
      <c r="C48" s="2" t="s">
        <v>3565</v>
      </c>
      <c r="D48" s="2"/>
      <c r="E48" s="2"/>
      <c r="F48" s="2">
        <f t="shared" si="2"/>
        <v>0</v>
      </c>
      <c r="G48" s="2"/>
    </row>
    <row r="49" spans="2:7" x14ac:dyDescent="0.25">
      <c r="B49" s="4">
        <v>45952</v>
      </c>
      <c r="C49" s="2"/>
      <c r="D49" s="2"/>
      <c r="E49" s="2"/>
      <c r="F49" s="2">
        <f t="shared" si="2"/>
        <v>0</v>
      </c>
      <c r="G49" s="2"/>
    </row>
    <row r="50" spans="2:7" x14ac:dyDescent="0.25">
      <c r="B50" s="4">
        <v>45953</v>
      </c>
      <c r="C50" s="2"/>
      <c r="D50" s="2"/>
      <c r="E50" s="2"/>
      <c r="F50" s="2">
        <f t="shared" si="2"/>
        <v>0</v>
      </c>
      <c r="G50" s="2"/>
    </row>
    <row r="51" spans="2:7" x14ac:dyDescent="0.25">
      <c r="B51" s="4">
        <v>45954</v>
      </c>
      <c r="C51" s="2"/>
      <c r="D51" s="2"/>
      <c r="E51" s="2"/>
      <c r="F51" s="2">
        <f t="shared" si="2"/>
        <v>0</v>
      </c>
      <c r="G51" s="2"/>
    </row>
    <row r="52" spans="2:7" x14ac:dyDescent="0.25">
      <c r="B52" s="4">
        <v>45955</v>
      </c>
      <c r="C52" s="2"/>
      <c r="D52" s="2"/>
      <c r="E52" s="2"/>
      <c r="F52" s="2">
        <f t="shared" si="2"/>
        <v>0</v>
      </c>
      <c r="G52" s="2"/>
    </row>
    <row r="53" spans="2:7" x14ac:dyDescent="0.25">
      <c r="B53" s="4">
        <v>45956</v>
      </c>
      <c r="C53" s="2"/>
      <c r="D53" s="2"/>
      <c r="E53" s="2"/>
      <c r="F53" s="2">
        <f t="shared" si="2"/>
        <v>0</v>
      </c>
      <c r="G53" s="2"/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B3:G43"/>
  <sheetViews>
    <sheetView topLeftCell="A19" workbookViewId="0">
      <selection activeCell="C34" sqref="C34"/>
    </sheetView>
  </sheetViews>
  <sheetFormatPr defaultRowHeight="15" x14ac:dyDescent="0.25"/>
  <cols>
    <col min="2" max="2" width="18" bestFit="1" customWidth="1"/>
    <col min="3" max="3" width="72" bestFit="1" customWidth="1"/>
    <col min="4" max="4" width="42.140625" bestFit="1" customWidth="1"/>
    <col min="5" max="5" width="11.85546875" bestFit="1" customWidth="1"/>
    <col min="6" max="6" width="8.42578125" bestFit="1" customWidth="1"/>
    <col min="7" max="7" width="11" bestFit="1" customWidth="1"/>
  </cols>
  <sheetData>
    <row r="3" spans="2:7" x14ac:dyDescent="0.25">
      <c r="B3" s="53" t="s">
        <v>4037</v>
      </c>
    </row>
    <row r="4" spans="2:7" ht="15.75" x14ac:dyDescent="0.25">
      <c r="B4" s="10" t="s">
        <v>0</v>
      </c>
      <c r="C4" s="11" t="s">
        <v>1</v>
      </c>
      <c r="D4" s="11" t="s">
        <v>2</v>
      </c>
      <c r="E4" s="11" t="s">
        <v>934</v>
      </c>
      <c r="F4" s="11" t="s">
        <v>1095</v>
      </c>
      <c r="G4" s="11" t="s">
        <v>1507</v>
      </c>
    </row>
    <row r="5" spans="2:7" x14ac:dyDescent="0.25">
      <c r="B5" s="4">
        <v>45804</v>
      </c>
      <c r="C5" s="2" t="s">
        <v>1528</v>
      </c>
      <c r="D5" s="2"/>
      <c r="E5" s="23">
        <v>0</v>
      </c>
      <c r="F5" s="2"/>
      <c r="G5" s="2"/>
    </row>
    <row r="6" spans="2:7" x14ac:dyDescent="0.25">
      <c r="B6" s="4">
        <v>45805</v>
      </c>
      <c r="C6" s="2" t="s">
        <v>1528</v>
      </c>
      <c r="D6" s="2"/>
      <c r="E6" s="23">
        <v>0</v>
      </c>
      <c r="F6" s="2">
        <f t="shared" ref="F6:F28" si="0">E6-E5</f>
        <v>0</v>
      </c>
      <c r="G6" s="2"/>
    </row>
    <row r="7" spans="2:7" x14ac:dyDescent="0.25">
      <c r="B7" s="4">
        <v>45806</v>
      </c>
      <c r="C7" s="2" t="s">
        <v>4066</v>
      </c>
      <c r="D7" s="2"/>
      <c r="E7" s="23">
        <v>0</v>
      </c>
      <c r="F7" s="2">
        <f t="shared" si="0"/>
        <v>0</v>
      </c>
      <c r="G7" s="2"/>
    </row>
    <row r="8" spans="2:7" x14ac:dyDescent="0.25">
      <c r="B8" s="4">
        <v>45807</v>
      </c>
      <c r="C8" s="2" t="s">
        <v>4101</v>
      </c>
      <c r="D8" s="2"/>
      <c r="E8" s="23">
        <v>0</v>
      </c>
      <c r="F8" s="2">
        <f t="shared" si="0"/>
        <v>0</v>
      </c>
      <c r="G8" s="2"/>
    </row>
    <row r="9" spans="2:7" x14ac:dyDescent="0.25">
      <c r="B9" s="4">
        <v>45808</v>
      </c>
      <c r="C9" s="2" t="s">
        <v>4102</v>
      </c>
      <c r="D9" s="2"/>
      <c r="E9" s="23">
        <v>0</v>
      </c>
      <c r="F9" s="2">
        <f t="shared" si="0"/>
        <v>0</v>
      </c>
      <c r="G9" s="2"/>
    </row>
    <row r="10" spans="2:7" x14ac:dyDescent="0.25">
      <c r="B10" s="4">
        <v>45809</v>
      </c>
      <c r="C10" s="2" t="s">
        <v>4100</v>
      </c>
      <c r="D10" s="2"/>
      <c r="E10" s="23">
        <v>12</v>
      </c>
      <c r="F10" s="2">
        <f t="shared" si="0"/>
        <v>12</v>
      </c>
      <c r="G10" s="2"/>
    </row>
    <row r="11" spans="2:7" x14ac:dyDescent="0.25">
      <c r="B11" s="4">
        <v>45810</v>
      </c>
      <c r="C11" s="2" t="s">
        <v>4127</v>
      </c>
      <c r="D11" s="2"/>
      <c r="E11" s="23">
        <v>24</v>
      </c>
      <c r="F11" s="2">
        <f t="shared" si="0"/>
        <v>12</v>
      </c>
      <c r="G11" s="2"/>
    </row>
    <row r="12" spans="2:7" x14ac:dyDescent="0.25">
      <c r="B12" s="4">
        <v>45811</v>
      </c>
      <c r="C12" s="2" t="s">
        <v>4139</v>
      </c>
      <c r="D12" s="58" t="s">
        <v>4142</v>
      </c>
      <c r="E12" s="23">
        <v>34</v>
      </c>
      <c r="F12" s="2">
        <f t="shared" si="0"/>
        <v>10</v>
      </c>
      <c r="G12" s="2"/>
    </row>
    <row r="13" spans="2:7" x14ac:dyDescent="0.25">
      <c r="B13" s="4">
        <v>45812</v>
      </c>
      <c r="C13" s="2" t="s">
        <v>4151</v>
      </c>
      <c r="D13" s="58"/>
      <c r="E13" s="23">
        <v>48</v>
      </c>
      <c r="F13" s="2">
        <f t="shared" si="0"/>
        <v>14</v>
      </c>
      <c r="G13" s="2"/>
    </row>
    <row r="14" spans="2:7" x14ac:dyDescent="0.25">
      <c r="B14" s="4">
        <v>45813</v>
      </c>
      <c r="C14" s="2" t="s">
        <v>4161</v>
      </c>
      <c r="D14" s="58"/>
      <c r="E14" s="23">
        <v>51</v>
      </c>
      <c r="F14" s="2">
        <f t="shared" si="0"/>
        <v>3</v>
      </c>
      <c r="G14" s="2"/>
    </row>
    <row r="15" spans="2:7" x14ac:dyDescent="0.25">
      <c r="B15" s="4">
        <v>45814</v>
      </c>
      <c r="C15" s="2" t="s">
        <v>480</v>
      </c>
      <c r="D15" s="2"/>
      <c r="E15" s="23">
        <v>51</v>
      </c>
      <c r="F15" s="2">
        <f t="shared" si="0"/>
        <v>0</v>
      </c>
      <c r="G15" s="2"/>
    </row>
    <row r="16" spans="2:7" x14ac:dyDescent="0.25">
      <c r="B16" s="4">
        <v>45815</v>
      </c>
      <c r="C16" s="2" t="s">
        <v>480</v>
      </c>
      <c r="D16" s="2"/>
      <c r="E16" s="23">
        <v>51</v>
      </c>
      <c r="F16" s="2">
        <f t="shared" si="0"/>
        <v>0</v>
      </c>
      <c r="G16" s="2"/>
    </row>
    <row r="17" spans="2:7" x14ac:dyDescent="0.25">
      <c r="B17" s="4">
        <v>45816</v>
      </c>
      <c r="C17" s="2" t="s">
        <v>480</v>
      </c>
      <c r="D17" s="2"/>
      <c r="E17" s="23">
        <v>51</v>
      </c>
      <c r="F17" s="2">
        <f t="shared" si="0"/>
        <v>0</v>
      </c>
      <c r="G17" s="2"/>
    </row>
    <row r="18" spans="2:7" x14ac:dyDescent="0.25">
      <c r="B18" s="4">
        <v>45817</v>
      </c>
      <c r="C18" s="2" t="s">
        <v>4188</v>
      </c>
      <c r="D18" s="2" t="s">
        <v>4189</v>
      </c>
      <c r="E18" s="23">
        <v>62</v>
      </c>
      <c r="F18" s="2">
        <f t="shared" si="0"/>
        <v>11</v>
      </c>
      <c r="G18" s="2"/>
    </row>
    <row r="19" spans="2:7" x14ac:dyDescent="0.25">
      <c r="B19" s="4">
        <v>45818</v>
      </c>
      <c r="C19" s="2" t="s">
        <v>4201</v>
      </c>
      <c r="D19" s="2" t="s">
        <v>4202</v>
      </c>
      <c r="E19" s="23">
        <v>65</v>
      </c>
      <c r="F19" s="2">
        <f t="shared" si="0"/>
        <v>3</v>
      </c>
      <c r="G19" s="2"/>
    </row>
    <row r="20" spans="2:7" x14ac:dyDescent="0.25">
      <c r="B20" s="4">
        <v>45819</v>
      </c>
      <c r="C20" s="2" t="s">
        <v>4228</v>
      </c>
      <c r="D20" s="2" t="s">
        <v>4212</v>
      </c>
      <c r="E20" s="23">
        <v>75</v>
      </c>
      <c r="F20" s="2">
        <f t="shared" si="0"/>
        <v>10</v>
      </c>
      <c r="G20" s="2"/>
    </row>
    <row r="21" spans="2:7" x14ac:dyDescent="0.25">
      <c r="B21" s="4">
        <v>45820</v>
      </c>
      <c r="C21" s="2" t="s">
        <v>4227</v>
      </c>
      <c r="D21" s="2" t="s">
        <v>4238</v>
      </c>
      <c r="E21" s="23">
        <v>80</v>
      </c>
      <c r="F21" s="2">
        <f t="shared" si="0"/>
        <v>5</v>
      </c>
      <c r="G21" s="2"/>
    </row>
    <row r="22" spans="2:7" x14ac:dyDescent="0.25">
      <c r="B22" s="4">
        <v>45821</v>
      </c>
      <c r="C22" s="2" t="s">
        <v>4241</v>
      </c>
      <c r="D22" s="2"/>
      <c r="E22" s="23">
        <v>86</v>
      </c>
      <c r="F22" s="2">
        <f t="shared" si="0"/>
        <v>6</v>
      </c>
      <c r="G22" s="2"/>
    </row>
    <row r="23" spans="2:7" x14ac:dyDescent="0.25">
      <c r="B23" s="4">
        <v>45822</v>
      </c>
      <c r="C23" s="2" t="s">
        <v>4251</v>
      </c>
      <c r="D23" s="2"/>
      <c r="E23" s="23">
        <v>91</v>
      </c>
      <c r="F23" s="2">
        <f t="shared" si="0"/>
        <v>5</v>
      </c>
      <c r="G23" s="2"/>
    </row>
    <row r="24" spans="2:7" x14ac:dyDescent="0.25">
      <c r="B24" s="4">
        <v>45823</v>
      </c>
      <c r="C24" s="2" t="s">
        <v>4252</v>
      </c>
      <c r="D24" s="2"/>
      <c r="E24" s="23">
        <v>98</v>
      </c>
      <c r="F24" s="2">
        <f t="shared" si="0"/>
        <v>7</v>
      </c>
      <c r="G24" s="2"/>
    </row>
    <row r="25" spans="2:7" x14ac:dyDescent="0.25">
      <c r="B25" s="4">
        <v>45824</v>
      </c>
      <c r="C25" s="2" t="s">
        <v>4269</v>
      </c>
      <c r="D25" s="2" t="s">
        <v>4270</v>
      </c>
      <c r="E25" s="23">
        <v>100</v>
      </c>
      <c r="F25" s="2">
        <f t="shared" si="0"/>
        <v>2</v>
      </c>
      <c r="G25" s="2"/>
    </row>
    <row r="26" spans="2:7" x14ac:dyDescent="0.25">
      <c r="B26" s="4">
        <v>45825</v>
      </c>
      <c r="C26" s="2" t="s">
        <v>1827</v>
      </c>
      <c r="D26" s="2" t="s">
        <v>4280</v>
      </c>
      <c r="E26" s="23"/>
      <c r="F26" s="2">
        <f t="shared" si="0"/>
        <v>-100</v>
      </c>
      <c r="G26" s="2"/>
    </row>
    <row r="27" spans="2:7" x14ac:dyDescent="0.25">
      <c r="B27" s="4">
        <v>45826</v>
      </c>
      <c r="C27" s="2" t="s">
        <v>1178</v>
      </c>
      <c r="D27" s="2" t="s">
        <v>4305</v>
      </c>
      <c r="E27" s="23"/>
      <c r="F27" s="2">
        <f t="shared" si="0"/>
        <v>0</v>
      </c>
      <c r="G27" s="2"/>
    </row>
    <row r="28" spans="2:7" x14ac:dyDescent="0.25">
      <c r="B28" s="4">
        <v>45827</v>
      </c>
      <c r="C28" s="2"/>
      <c r="D28" s="2" t="s">
        <v>4326</v>
      </c>
      <c r="E28" s="23"/>
      <c r="F28" s="2">
        <f t="shared" si="0"/>
        <v>0</v>
      </c>
      <c r="G28" s="2"/>
    </row>
    <row r="29" spans="2:7" x14ac:dyDescent="0.25">
      <c r="B29" s="4">
        <v>45828</v>
      </c>
      <c r="C29" s="2" t="s">
        <v>4341</v>
      </c>
      <c r="D29" s="2"/>
      <c r="E29" s="23"/>
      <c r="F29" s="2"/>
      <c r="G29" s="2"/>
    </row>
    <row r="30" spans="2:7" x14ac:dyDescent="0.25">
      <c r="B30" s="4">
        <v>45829</v>
      </c>
      <c r="C30" s="2" t="s">
        <v>4355</v>
      </c>
      <c r="D30" s="2"/>
      <c r="E30" s="23"/>
      <c r="F30" s="2"/>
      <c r="G30" s="2"/>
    </row>
    <row r="31" spans="2:7" x14ac:dyDescent="0.25">
      <c r="B31" s="4">
        <v>45830</v>
      </c>
      <c r="C31" s="2" t="s">
        <v>4356</v>
      </c>
      <c r="D31" s="2" t="s">
        <v>4368</v>
      </c>
      <c r="E31" s="23"/>
      <c r="F31" s="2"/>
      <c r="G31" s="2"/>
    </row>
    <row r="32" spans="2:7" x14ac:dyDescent="0.25">
      <c r="B32" s="4">
        <v>45831</v>
      </c>
      <c r="C32" s="2" t="s">
        <v>3565</v>
      </c>
      <c r="D32" s="2"/>
      <c r="E32" s="23"/>
      <c r="F32" s="2"/>
      <c r="G32" s="2"/>
    </row>
    <row r="33" spans="2:7" x14ac:dyDescent="0.25">
      <c r="B33" s="4">
        <v>45832</v>
      </c>
      <c r="C33" s="2"/>
      <c r="D33" s="2"/>
      <c r="E33" s="23"/>
      <c r="F33" s="2"/>
      <c r="G33" s="2"/>
    </row>
    <row r="34" spans="2:7" x14ac:dyDescent="0.25">
      <c r="B34" s="4">
        <v>45833</v>
      </c>
      <c r="C34" s="2"/>
      <c r="D34" s="2"/>
      <c r="E34" s="23"/>
      <c r="F34" s="2"/>
      <c r="G34" s="2"/>
    </row>
    <row r="35" spans="2:7" x14ac:dyDescent="0.25">
      <c r="B35" s="4">
        <v>45834</v>
      </c>
      <c r="C35" s="2"/>
      <c r="D35" s="2"/>
      <c r="E35" s="23">
        <v>0</v>
      </c>
      <c r="F35" s="2">
        <f t="shared" ref="F35:F38" si="1">E35-E34</f>
        <v>0</v>
      </c>
      <c r="G35" s="2"/>
    </row>
    <row r="36" spans="2:7" x14ac:dyDescent="0.25">
      <c r="B36" s="4">
        <v>45835</v>
      </c>
      <c r="C36" s="2"/>
      <c r="D36" s="2"/>
      <c r="E36" s="23">
        <v>0</v>
      </c>
      <c r="F36" s="2">
        <f t="shared" si="1"/>
        <v>0</v>
      </c>
      <c r="G36" s="2"/>
    </row>
    <row r="37" spans="2:7" x14ac:dyDescent="0.25">
      <c r="B37" s="4">
        <v>45836</v>
      </c>
      <c r="C37" s="2"/>
      <c r="D37" s="2"/>
      <c r="E37" s="23">
        <v>0</v>
      </c>
      <c r="F37" s="2">
        <f t="shared" si="1"/>
        <v>0</v>
      </c>
      <c r="G37" s="2"/>
    </row>
    <row r="38" spans="2:7" x14ac:dyDescent="0.25">
      <c r="B38" s="4">
        <v>45837</v>
      </c>
      <c r="C38" s="2"/>
      <c r="D38" s="2"/>
      <c r="E38" s="23">
        <v>0</v>
      </c>
      <c r="F38" s="2">
        <f t="shared" si="1"/>
        <v>0</v>
      </c>
      <c r="G38" s="2"/>
    </row>
    <row r="39" spans="2:7" x14ac:dyDescent="0.25">
      <c r="B39" s="4">
        <v>45838</v>
      </c>
      <c r="C39" s="2"/>
      <c r="D39" s="2"/>
      <c r="E39" s="23">
        <v>0</v>
      </c>
      <c r="F39" s="2"/>
      <c r="G39" s="2"/>
    </row>
    <row r="40" spans="2:7" x14ac:dyDescent="0.25">
      <c r="B40" s="4"/>
      <c r="C40" s="2"/>
      <c r="D40" s="2"/>
      <c r="E40" s="2"/>
      <c r="F40" s="2"/>
      <c r="G40" s="2"/>
    </row>
    <row r="41" spans="2:7" x14ac:dyDescent="0.25">
      <c r="B41" s="4"/>
      <c r="C41" s="2"/>
      <c r="D41" s="2"/>
      <c r="E41" s="2"/>
      <c r="F41" s="2"/>
      <c r="G41" s="2"/>
    </row>
    <row r="42" spans="2:7" x14ac:dyDescent="0.25">
      <c r="B42" s="2"/>
      <c r="C42" s="2"/>
      <c r="D42" s="2"/>
      <c r="E42" s="2"/>
      <c r="F42" s="2"/>
      <c r="G42" s="2"/>
    </row>
    <row r="43" spans="2:7" x14ac:dyDescent="0.25">
      <c r="B43" s="2"/>
      <c r="C43" s="2"/>
      <c r="D43" s="2"/>
      <c r="E43" s="2"/>
      <c r="F43" s="2"/>
      <c r="G43" s="2"/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B3:G43"/>
  <sheetViews>
    <sheetView topLeftCell="A7" workbookViewId="0">
      <selection activeCell="D16" sqref="D16"/>
    </sheetView>
  </sheetViews>
  <sheetFormatPr defaultRowHeight="15" x14ac:dyDescent="0.25"/>
  <cols>
    <col min="2" max="2" width="18" bestFit="1" customWidth="1"/>
    <col min="3" max="3" width="72" bestFit="1" customWidth="1"/>
    <col min="4" max="4" width="42.140625" bestFit="1" customWidth="1"/>
    <col min="5" max="5" width="11.85546875" bestFit="1" customWidth="1"/>
    <col min="6" max="6" width="8.42578125" bestFit="1" customWidth="1"/>
    <col min="7" max="7" width="11" bestFit="1" customWidth="1"/>
  </cols>
  <sheetData>
    <row r="3" spans="2:7" x14ac:dyDescent="0.25">
      <c r="B3" s="53" t="s">
        <v>954</v>
      </c>
    </row>
    <row r="4" spans="2:7" ht="15.75" x14ac:dyDescent="0.25">
      <c r="B4" s="10" t="s">
        <v>0</v>
      </c>
      <c r="C4" s="11" t="s">
        <v>1</v>
      </c>
      <c r="D4" s="11" t="s">
        <v>2</v>
      </c>
      <c r="E4" s="11" t="s">
        <v>934</v>
      </c>
      <c r="F4" s="11" t="s">
        <v>1095</v>
      </c>
      <c r="G4" s="11" t="s">
        <v>1507</v>
      </c>
    </row>
    <row r="5" spans="2:7" x14ac:dyDescent="0.25">
      <c r="B5" s="4">
        <v>45805</v>
      </c>
      <c r="C5" s="2" t="s">
        <v>1528</v>
      </c>
      <c r="D5" s="2"/>
      <c r="E5" s="23">
        <v>0</v>
      </c>
      <c r="F5" s="2"/>
      <c r="G5" s="2"/>
    </row>
    <row r="6" spans="2:7" x14ac:dyDescent="0.25">
      <c r="B6" s="4">
        <v>45806</v>
      </c>
      <c r="C6" s="2" t="s">
        <v>4066</v>
      </c>
      <c r="D6" s="2" t="s">
        <v>4075</v>
      </c>
      <c r="E6" s="23">
        <v>0</v>
      </c>
      <c r="F6" s="2">
        <f t="shared" ref="F6:F28" si="0">E6-E5</f>
        <v>0</v>
      </c>
      <c r="G6" s="2"/>
    </row>
    <row r="7" spans="2:7" x14ac:dyDescent="0.25">
      <c r="B7" s="4">
        <v>45807</v>
      </c>
      <c r="C7" s="2" t="s">
        <v>4077</v>
      </c>
      <c r="D7" s="2"/>
      <c r="E7" s="23">
        <v>30</v>
      </c>
      <c r="F7" s="2">
        <f t="shared" si="0"/>
        <v>30</v>
      </c>
      <c r="G7" s="2"/>
    </row>
    <row r="8" spans="2:7" x14ac:dyDescent="0.25">
      <c r="B8" s="4">
        <v>45808</v>
      </c>
      <c r="C8" s="2" t="s">
        <v>4104</v>
      </c>
      <c r="D8" s="2"/>
      <c r="E8" s="23">
        <v>40</v>
      </c>
      <c r="F8" s="2">
        <f t="shared" si="0"/>
        <v>10</v>
      </c>
      <c r="G8" s="2"/>
    </row>
    <row r="9" spans="2:7" x14ac:dyDescent="0.25">
      <c r="B9" s="4">
        <v>45809</v>
      </c>
      <c r="C9" s="2" t="s">
        <v>4103</v>
      </c>
      <c r="D9" s="2"/>
      <c r="E9" s="23">
        <v>45</v>
      </c>
      <c r="F9" s="2">
        <f t="shared" si="0"/>
        <v>5</v>
      </c>
      <c r="G9" s="2"/>
    </row>
    <row r="10" spans="2:7" x14ac:dyDescent="0.25">
      <c r="B10" s="4">
        <v>45810</v>
      </c>
      <c r="C10" s="2" t="s">
        <v>4130</v>
      </c>
      <c r="D10" s="2"/>
      <c r="E10" s="23">
        <v>45.5</v>
      </c>
      <c r="F10" s="2">
        <f t="shared" si="0"/>
        <v>0.5</v>
      </c>
      <c r="G10" s="2"/>
    </row>
    <row r="11" spans="2:7" x14ac:dyDescent="0.25">
      <c r="B11" s="4">
        <v>45811</v>
      </c>
      <c r="C11" s="2" t="s">
        <v>4132</v>
      </c>
      <c r="D11" s="2"/>
      <c r="E11" s="23">
        <v>60</v>
      </c>
      <c r="F11" s="2">
        <f t="shared" si="0"/>
        <v>14.5</v>
      </c>
      <c r="G11" s="2"/>
    </row>
    <row r="12" spans="2:7" x14ac:dyDescent="0.25">
      <c r="B12" s="4">
        <v>45812</v>
      </c>
      <c r="C12" s="2" t="s">
        <v>4155</v>
      </c>
      <c r="D12" s="58"/>
      <c r="E12" s="23">
        <v>70</v>
      </c>
      <c r="F12" s="2">
        <f t="shared" si="0"/>
        <v>10</v>
      </c>
      <c r="G12" s="2"/>
    </row>
    <row r="13" spans="2:7" x14ac:dyDescent="0.25">
      <c r="B13" s="4">
        <v>45813</v>
      </c>
      <c r="C13" s="2" t="s">
        <v>4167</v>
      </c>
      <c r="D13" s="58"/>
      <c r="E13" s="23">
        <v>80</v>
      </c>
      <c r="F13" s="2">
        <f t="shared" si="0"/>
        <v>10</v>
      </c>
      <c r="G13" s="2"/>
    </row>
    <row r="14" spans="2:7" x14ac:dyDescent="0.25">
      <c r="B14" s="4">
        <v>45814</v>
      </c>
      <c r="C14" s="2" t="s">
        <v>4156</v>
      </c>
      <c r="D14" s="58"/>
      <c r="E14" s="23">
        <v>90</v>
      </c>
      <c r="F14" s="2">
        <f t="shared" si="0"/>
        <v>10</v>
      </c>
      <c r="G14" s="2"/>
    </row>
    <row r="15" spans="2:7" x14ac:dyDescent="0.25">
      <c r="B15" s="4">
        <v>45815</v>
      </c>
      <c r="C15" s="2" t="s">
        <v>4218</v>
      </c>
      <c r="D15" s="2" t="s">
        <v>4219</v>
      </c>
      <c r="E15" s="23">
        <v>115</v>
      </c>
      <c r="F15" s="2">
        <f t="shared" si="0"/>
        <v>25</v>
      </c>
      <c r="G15" s="2"/>
    </row>
    <row r="16" spans="2:7" x14ac:dyDescent="0.25">
      <c r="B16" s="4">
        <v>45816</v>
      </c>
      <c r="C16" s="2" t="s">
        <v>1178</v>
      </c>
      <c r="D16" s="2"/>
      <c r="E16" s="23"/>
      <c r="F16" s="2">
        <f t="shared" si="0"/>
        <v>-115</v>
      </c>
      <c r="G16" s="2"/>
    </row>
    <row r="17" spans="2:7" x14ac:dyDescent="0.25">
      <c r="B17" s="4">
        <v>45817</v>
      </c>
      <c r="C17" s="2" t="s">
        <v>4187</v>
      </c>
      <c r="D17" s="2" t="s">
        <v>4196</v>
      </c>
      <c r="E17" s="23"/>
      <c r="F17" s="2">
        <f t="shared" si="0"/>
        <v>0</v>
      </c>
      <c r="G17" s="2"/>
    </row>
    <row r="18" spans="2:7" x14ac:dyDescent="0.25">
      <c r="B18" s="4">
        <v>45818</v>
      </c>
      <c r="C18" s="2"/>
      <c r="D18" s="2"/>
      <c r="E18" s="23"/>
      <c r="F18" s="2">
        <f t="shared" si="0"/>
        <v>0</v>
      </c>
      <c r="G18" s="2"/>
    </row>
    <row r="19" spans="2:7" x14ac:dyDescent="0.25">
      <c r="B19" s="4">
        <v>45819</v>
      </c>
      <c r="C19" s="58"/>
      <c r="D19" s="2"/>
      <c r="E19" s="23"/>
      <c r="F19" s="2">
        <f t="shared" si="0"/>
        <v>0</v>
      </c>
      <c r="G19" s="2"/>
    </row>
    <row r="20" spans="2:7" x14ac:dyDescent="0.25">
      <c r="B20" s="4">
        <v>45820</v>
      </c>
      <c r="C20" s="2"/>
      <c r="D20" s="2"/>
      <c r="E20" s="23"/>
      <c r="F20" s="2">
        <f t="shared" si="0"/>
        <v>0</v>
      </c>
      <c r="G20" s="2"/>
    </row>
    <row r="21" spans="2:7" x14ac:dyDescent="0.25">
      <c r="B21" s="4">
        <v>45821</v>
      </c>
      <c r="C21" s="2"/>
      <c r="D21" s="2"/>
      <c r="E21" s="23"/>
      <c r="F21" s="2">
        <f t="shared" si="0"/>
        <v>0</v>
      </c>
      <c r="G21" s="2"/>
    </row>
    <row r="22" spans="2:7" x14ac:dyDescent="0.25">
      <c r="B22" s="4">
        <v>45822</v>
      </c>
      <c r="C22" s="58"/>
      <c r="D22" s="2"/>
      <c r="E22" s="23"/>
      <c r="F22" s="2">
        <f t="shared" si="0"/>
        <v>0</v>
      </c>
      <c r="G22" s="2"/>
    </row>
    <row r="23" spans="2:7" x14ac:dyDescent="0.25">
      <c r="B23" s="4">
        <v>45823</v>
      </c>
      <c r="C23" s="58"/>
      <c r="D23" s="2"/>
      <c r="E23" s="23"/>
      <c r="F23" s="2">
        <f t="shared" si="0"/>
        <v>0</v>
      </c>
      <c r="G23" s="2"/>
    </row>
    <row r="24" spans="2:7" x14ac:dyDescent="0.25">
      <c r="B24" s="4">
        <v>45824</v>
      </c>
      <c r="C24" s="58"/>
      <c r="D24" s="2"/>
      <c r="E24" s="23"/>
      <c r="F24" s="2">
        <f t="shared" si="0"/>
        <v>0</v>
      </c>
      <c r="G24" s="2"/>
    </row>
    <row r="25" spans="2:7" x14ac:dyDescent="0.25">
      <c r="B25" s="4">
        <v>45825</v>
      </c>
      <c r="C25" s="58"/>
      <c r="D25" s="2"/>
      <c r="E25" s="23"/>
      <c r="F25" s="2">
        <f t="shared" si="0"/>
        <v>0</v>
      </c>
      <c r="G25" s="2"/>
    </row>
    <row r="26" spans="2:7" x14ac:dyDescent="0.25">
      <c r="B26" s="4">
        <v>45826</v>
      </c>
      <c r="C26" s="2"/>
      <c r="D26" s="2"/>
      <c r="E26" s="23"/>
      <c r="F26" s="2">
        <f t="shared" si="0"/>
        <v>0</v>
      </c>
      <c r="G26" s="2"/>
    </row>
    <row r="27" spans="2:7" x14ac:dyDescent="0.25">
      <c r="B27" s="4">
        <v>45827</v>
      </c>
      <c r="C27" s="2"/>
      <c r="D27" s="2"/>
      <c r="E27" s="23"/>
      <c r="F27" s="2">
        <f t="shared" si="0"/>
        <v>0</v>
      </c>
      <c r="G27" s="2"/>
    </row>
    <row r="28" spans="2:7" x14ac:dyDescent="0.25">
      <c r="B28" s="4">
        <v>45828</v>
      </c>
      <c r="C28" s="2"/>
      <c r="D28" s="2"/>
      <c r="E28" s="23"/>
      <c r="F28" s="2">
        <f t="shared" si="0"/>
        <v>0</v>
      </c>
      <c r="G28" s="2"/>
    </row>
    <row r="29" spans="2:7" x14ac:dyDescent="0.25">
      <c r="B29" s="4">
        <v>45829</v>
      </c>
      <c r="C29" s="2"/>
      <c r="D29" s="2"/>
      <c r="E29" s="23"/>
      <c r="F29" s="2"/>
      <c r="G29" s="2"/>
    </row>
    <row r="30" spans="2:7" x14ac:dyDescent="0.25">
      <c r="B30" s="4">
        <v>45830</v>
      </c>
      <c r="C30" s="2"/>
      <c r="D30" s="2"/>
      <c r="E30" s="23"/>
      <c r="F30" s="2"/>
      <c r="G30" s="2"/>
    </row>
    <row r="31" spans="2:7" x14ac:dyDescent="0.25">
      <c r="B31" s="4">
        <v>45831</v>
      </c>
      <c r="C31" s="2"/>
      <c r="D31" s="2"/>
      <c r="E31" s="23"/>
      <c r="F31" s="2"/>
      <c r="G31" s="2"/>
    </row>
    <row r="32" spans="2:7" x14ac:dyDescent="0.25">
      <c r="B32" s="4">
        <v>45832</v>
      </c>
      <c r="C32" s="2"/>
      <c r="D32" s="2"/>
      <c r="E32" s="23"/>
      <c r="F32" s="2"/>
      <c r="G32" s="2"/>
    </row>
    <row r="33" spans="2:7" x14ac:dyDescent="0.25">
      <c r="B33" s="4">
        <v>45833</v>
      </c>
      <c r="C33" s="2"/>
      <c r="D33" s="2"/>
      <c r="E33" s="23"/>
      <c r="F33" s="2"/>
      <c r="G33" s="2"/>
    </row>
    <row r="34" spans="2:7" x14ac:dyDescent="0.25">
      <c r="B34" s="4">
        <v>45834</v>
      </c>
      <c r="C34" s="2"/>
      <c r="D34" s="2"/>
      <c r="E34" s="23"/>
      <c r="F34" s="2"/>
      <c r="G34" s="2"/>
    </row>
    <row r="35" spans="2:7" x14ac:dyDescent="0.25">
      <c r="B35" s="4">
        <v>45835</v>
      </c>
      <c r="C35" s="2"/>
      <c r="D35" s="2"/>
      <c r="E35" s="23">
        <v>0</v>
      </c>
      <c r="F35" s="2">
        <f t="shared" ref="F35:F38" si="1">E35-E34</f>
        <v>0</v>
      </c>
      <c r="G35" s="2"/>
    </row>
    <row r="36" spans="2:7" x14ac:dyDescent="0.25">
      <c r="B36" s="4">
        <v>45836</v>
      </c>
      <c r="C36" s="2"/>
      <c r="D36" s="2"/>
      <c r="E36" s="23">
        <v>0</v>
      </c>
      <c r="F36" s="2">
        <f t="shared" si="1"/>
        <v>0</v>
      </c>
      <c r="G36" s="2"/>
    </row>
    <row r="37" spans="2:7" x14ac:dyDescent="0.25">
      <c r="B37" s="4">
        <v>45837</v>
      </c>
      <c r="C37" s="2"/>
      <c r="D37" s="2"/>
      <c r="E37" s="23">
        <v>0</v>
      </c>
      <c r="F37" s="2">
        <f t="shared" si="1"/>
        <v>0</v>
      </c>
      <c r="G37" s="2"/>
    </row>
    <row r="38" spans="2:7" x14ac:dyDescent="0.25">
      <c r="B38" s="4">
        <v>45838</v>
      </c>
      <c r="C38" s="2"/>
      <c r="D38" s="2"/>
      <c r="E38" s="23">
        <v>0</v>
      </c>
      <c r="F38" s="2">
        <f t="shared" si="1"/>
        <v>0</v>
      </c>
      <c r="G38" s="2"/>
    </row>
    <row r="39" spans="2:7" x14ac:dyDescent="0.25">
      <c r="B39" s="4">
        <v>45839</v>
      </c>
      <c r="C39" s="2"/>
      <c r="D39" s="2"/>
      <c r="E39" s="23">
        <v>0</v>
      </c>
      <c r="F39" s="2"/>
      <c r="G39" s="2"/>
    </row>
    <row r="40" spans="2:7" x14ac:dyDescent="0.25">
      <c r="B40" s="4"/>
      <c r="C40" s="2"/>
      <c r="D40" s="2"/>
      <c r="E40" s="2"/>
      <c r="F40" s="2"/>
      <c r="G40" s="2"/>
    </row>
    <row r="41" spans="2:7" x14ac:dyDescent="0.25">
      <c r="B41" s="4"/>
      <c r="C41" s="2"/>
      <c r="D41" s="2"/>
      <c r="E41" s="2"/>
      <c r="F41" s="2"/>
      <c r="G41" s="2"/>
    </row>
    <row r="42" spans="2:7" x14ac:dyDescent="0.25">
      <c r="B42" s="2"/>
      <c r="C42" s="2"/>
      <c r="D42" s="2"/>
      <c r="E42" s="2"/>
      <c r="F42" s="2"/>
      <c r="G42" s="2"/>
    </row>
    <row r="43" spans="2:7" x14ac:dyDescent="0.25">
      <c r="B43" s="2"/>
      <c r="C43" s="2"/>
      <c r="D43" s="2"/>
      <c r="E43" s="2"/>
      <c r="F43" s="2"/>
      <c r="G43" s="2"/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B3:G43"/>
  <sheetViews>
    <sheetView workbookViewId="0">
      <selection activeCell="D16" sqref="D16"/>
    </sheetView>
  </sheetViews>
  <sheetFormatPr defaultRowHeight="15" x14ac:dyDescent="0.25"/>
  <cols>
    <col min="2" max="2" width="18" bestFit="1" customWidth="1"/>
    <col min="3" max="3" width="72" bestFit="1" customWidth="1"/>
    <col min="4" max="4" width="42.140625" bestFit="1" customWidth="1"/>
    <col min="5" max="5" width="11.85546875" bestFit="1" customWidth="1"/>
    <col min="6" max="6" width="8.42578125" bestFit="1" customWidth="1"/>
    <col min="7" max="7" width="11" bestFit="1" customWidth="1"/>
  </cols>
  <sheetData>
    <row r="3" spans="2:7" x14ac:dyDescent="0.25">
      <c r="B3" s="53" t="s">
        <v>954</v>
      </c>
    </row>
    <row r="4" spans="2:7" ht="15.75" x14ac:dyDescent="0.25">
      <c r="B4" s="10" t="s">
        <v>0</v>
      </c>
      <c r="C4" s="11" t="s">
        <v>1</v>
      </c>
      <c r="D4" s="11" t="s">
        <v>2</v>
      </c>
      <c r="E4" s="11" t="s">
        <v>934</v>
      </c>
      <c r="F4" s="11" t="s">
        <v>1095</v>
      </c>
      <c r="G4" s="11" t="s">
        <v>1507</v>
      </c>
    </row>
    <row r="5" spans="2:7" x14ac:dyDescent="0.25">
      <c r="B5" s="4">
        <v>45807</v>
      </c>
      <c r="C5" s="2" t="s">
        <v>1528</v>
      </c>
      <c r="D5" s="2"/>
      <c r="E5" s="23">
        <v>0</v>
      </c>
      <c r="F5" s="2"/>
      <c r="G5" s="2"/>
    </row>
    <row r="6" spans="2:7" x14ac:dyDescent="0.25">
      <c r="B6" s="4">
        <v>45808</v>
      </c>
      <c r="C6" s="2" t="s">
        <v>4077</v>
      </c>
      <c r="D6" s="2"/>
      <c r="E6" s="23">
        <v>30</v>
      </c>
      <c r="F6" s="2">
        <f t="shared" ref="F6:F35" si="0">E6-E5</f>
        <v>30</v>
      </c>
      <c r="G6" s="2"/>
    </row>
    <row r="7" spans="2:7" x14ac:dyDescent="0.25">
      <c r="B7" s="4">
        <v>45809</v>
      </c>
      <c r="C7" s="2" t="s">
        <v>4132</v>
      </c>
      <c r="D7" s="2"/>
      <c r="E7" s="23">
        <v>60</v>
      </c>
      <c r="F7" s="2">
        <f t="shared" si="0"/>
        <v>30</v>
      </c>
      <c r="G7" s="2"/>
    </row>
    <row r="8" spans="2:7" x14ac:dyDescent="0.25">
      <c r="B8" s="4">
        <v>45810</v>
      </c>
      <c r="C8" s="2" t="s">
        <v>4131</v>
      </c>
      <c r="D8" s="2"/>
      <c r="E8" s="23">
        <v>72</v>
      </c>
      <c r="F8" s="2">
        <f t="shared" si="0"/>
        <v>12</v>
      </c>
      <c r="G8" s="2"/>
    </row>
    <row r="9" spans="2:7" x14ac:dyDescent="0.25">
      <c r="B9" s="4">
        <v>45811</v>
      </c>
      <c r="C9" s="2" t="s">
        <v>4140</v>
      </c>
      <c r="D9" s="2"/>
      <c r="E9" s="23">
        <v>82</v>
      </c>
      <c r="F9" s="2">
        <f t="shared" si="0"/>
        <v>10</v>
      </c>
      <c r="G9" s="2"/>
    </row>
    <row r="10" spans="2:7" x14ac:dyDescent="0.25">
      <c r="B10" s="4">
        <v>45812</v>
      </c>
      <c r="C10" s="2" t="s">
        <v>4156</v>
      </c>
      <c r="D10" s="2"/>
      <c r="E10" s="23">
        <v>90</v>
      </c>
      <c r="F10" s="2">
        <f t="shared" si="0"/>
        <v>8</v>
      </c>
      <c r="G10" s="2"/>
    </row>
    <row r="11" spans="2:7" x14ac:dyDescent="0.25">
      <c r="B11" s="4">
        <v>45813</v>
      </c>
      <c r="C11" s="2" t="s">
        <v>4165</v>
      </c>
      <c r="D11" s="2"/>
      <c r="E11" s="23">
        <v>100</v>
      </c>
      <c r="F11" s="2">
        <f t="shared" si="0"/>
        <v>10</v>
      </c>
      <c r="G11" s="2"/>
    </row>
    <row r="12" spans="2:7" x14ac:dyDescent="0.25">
      <c r="B12" s="4">
        <v>45814</v>
      </c>
      <c r="C12" s="2" t="s">
        <v>4166</v>
      </c>
      <c r="D12" s="58"/>
      <c r="E12" s="23">
        <v>100</v>
      </c>
      <c r="F12" s="2">
        <f t="shared" si="0"/>
        <v>0</v>
      </c>
      <c r="G12" s="2"/>
    </row>
    <row r="13" spans="2:7" x14ac:dyDescent="0.25">
      <c r="B13" s="4">
        <v>45815</v>
      </c>
      <c r="C13" s="2" t="s">
        <v>4164</v>
      </c>
      <c r="D13" s="58"/>
      <c r="E13" s="23">
        <v>100</v>
      </c>
      <c r="F13" s="2">
        <f t="shared" si="0"/>
        <v>0</v>
      </c>
      <c r="G13" s="2"/>
    </row>
    <row r="14" spans="2:7" x14ac:dyDescent="0.25">
      <c r="B14" s="4">
        <v>45816</v>
      </c>
      <c r="C14" s="2"/>
      <c r="D14" s="58"/>
      <c r="E14" s="23">
        <v>100</v>
      </c>
      <c r="F14" s="2">
        <f t="shared" si="0"/>
        <v>0</v>
      </c>
      <c r="G14" s="2"/>
    </row>
    <row r="15" spans="2:7" x14ac:dyDescent="0.25">
      <c r="B15" s="4">
        <v>45817</v>
      </c>
      <c r="C15" s="2" t="s">
        <v>4186</v>
      </c>
      <c r="D15" s="2" t="s">
        <v>4217</v>
      </c>
      <c r="E15" s="23">
        <v>120</v>
      </c>
      <c r="F15" s="2">
        <f t="shared" si="0"/>
        <v>20</v>
      </c>
      <c r="G15" s="2"/>
    </row>
    <row r="16" spans="2:7" x14ac:dyDescent="0.25">
      <c r="B16" s="4">
        <v>45818</v>
      </c>
      <c r="C16" s="2" t="s">
        <v>4203</v>
      </c>
      <c r="D16" s="2" t="s">
        <v>4281</v>
      </c>
      <c r="E16" s="23"/>
      <c r="F16" s="2">
        <f t="shared" si="0"/>
        <v>-120</v>
      </c>
      <c r="G16" s="2"/>
    </row>
    <row r="17" spans="2:7" x14ac:dyDescent="0.25">
      <c r="B17" s="4">
        <v>45819</v>
      </c>
      <c r="C17" s="2"/>
      <c r="D17" s="2"/>
      <c r="E17" s="23"/>
      <c r="F17" s="2">
        <f t="shared" si="0"/>
        <v>0</v>
      </c>
      <c r="G17" s="2"/>
    </row>
    <row r="18" spans="2:7" x14ac:dyDescent="0.25">
      <c r="B18" s="4">
        <v>45820</v>
      </c>
      <c r="C18" s="2"/>
      <c r="D18" s="2"/>
      <c r="E18" s="23"/>
      <c r="F18" s="2">
        <f t="shared" si="0"/>
        <v>0</v>
      </c>
      <c r="G18" s="2"/>
    </row>
    <row r="19" spans="2:7" x14ac:dyDescent="0.25">
      <c r="B19" s="4">
        <v>45821</v>
      </c>
      <c r="C19" s="58"/>
      <c r="D19" s="2"/>
      <c r="E19" s="23"/>
      <c r="F19" s="2">
        <f t="shared" si="0"/>
        <v>0</v>
      </c>
      <c r="G19" s="2"/>
    </row>
    <row r="20" spans="2:7" x14ac:dyDescent="0.25">
      <c r="B20" s="4">
        <v>45822</v>
      </c>
      <c r="C20" s="2"/>
      <c r="D20" s="2"/>
      <c r="E20" s="23"/>
      <c r="F20" s="2">
        <f t="shared" si="0"/>
        <v>0</v>
      </c>
      <c r="G20" s="2"/>
    </row>
    <row r="21" spans="2:7" x14ac:dyDescent="0.25">
      <c r="B21" s="4">
        <v>45823</v>
      </c>
      <c r="C21" s="2"/>
      <c r="D21" s="2"/>
      <c r="E21" s="23"/>
      <c r="F21" s="2">
        <f t="shared" si="0"/>
        <v>0</v>
      </c>
      <c r="G21" s="2"/>
    </row>
    <row r="22" spans="2:7" x14ac:dyDescent="0.25">
      <c r="B22" s="4">
        <v>45824</v>
      </c>
      <c r="C22" s="58"/>
      <c r="D22" s="2"/>
      <c r="E22" s="23"/>
      <c r="F22" s="2">
        <f t="shared" si="0"/>
        <v>0</v>
      </c>
      <c r="G22" s="2"/>
    </row>
    <row r="23" spans="2:7" x14ac:dyDescent="0.25">
      <c r="B23" s="4">
        <v>45825</v>
      </c>
      <c r="C23" s="58"/>
      <c r="D23" s="2"/>
      <c r="E23" s="23"/>
      <c r="F23" s="2">
        <f t="shared" si="0"/>
        <v>0</v>
      </c>
      <c r="G23" s="2"/>
    </row>
    <row r="24" spans="2:7" x14ac:dyDescent="0.25">
      <c r="B24" s="4">
        <v>45826</v>
      </c>
      <c r="C24" s="58"/>
      <c r="D24" s="2"/>
      <c r="E24" s="23"/>
      <c r="F24" s="2">
        <f t="shared" si="0"/>
        <v>0</v>
      </c>
      <c r="G24" s="2"/>
    </row>
    <row r="25" spans="2:7" x14ac:dyDescent="0.25">
      <c r="B25" s="4">
        <v>45827</v>
      </c>
      <c r="C25" s="58"/>
      <c r="D25" s="2"/>
      <c r="E25" s="23"/>
      <c r="F25" s="2">
        <f t="shared" si="0"/>
        <v>0</v>
      </c>
      <c r="G25" s="2"/>
    </row>
    <row r="26" spans="2:7" x14ac:dyDescent="0.25">
      <c r="B26" s="4">
        <v>45828</v>
      </c>
      <c r="C26" s="2"/>
      <c r="D26" s="2"/>
      <c r="E26" s="23"/>
      <c r="F26" s="2">
        <f t="shared" si="0"/>
        <v>0</v>
      </c>
      <c r="G26" s="2"/>
    </row>
    <row r="27" spans="2:7" x14ac:dyDescent="0.25">
      <c r="B27" s="4">
        <v>45829</v>
      </c>
      <c r="C27" s="2"/>
      <c r="D27" s="2"/>
      <c r="E27" s="23"/>
      <c r="F27" s="2">
        <f t="shared" si="0"/>
        <v>0</v>
      </c>
      <c r="G27" s="2"/>
    </row>
    <row r="28" spans="2:7" x14ac:dyDescent="0.25">
      <c r="B28" s="4">
        <v>45830</v>
      </c>
      <c r="C28" s="2"/>
      <c r="D28" s="2"/>
      <c r="E28" s="23"/>
      <c r="F28" s="2">
        <f t="shared" si="0"/>
        <v>0</v>
      </c>
      <c r="G28" s="2"/>
    </row>
    <row r="29" spans="2:7" x14ac:dyDescent="0.25">
      <c r="B29" s="4">
        <v>45831</v>
      </c>
      <c r="C29" s="2"/>
      <c r="D29" s="2"/>
      <c r="E29" s="23"/>
      <c r="F29" s="2">
        <f t="shared" si="0"/>
        <v>0</v>
      </c>
      <c r="G29" s="2"/>
    </row>
    <row r="30" spans="2:7" x14ac:dyDescent="0.25">
      <c r="B30" s="4">
        <v>45832</v>
      </c>
      <c r="C30" s="2"/>
      <c r="D30" s="2"/>
      <c r="E30" s="23"/>
      <c r="F30" s="2">
        <f t="shared" si="0"/>
        <v>0</v>
      </c>
      <c r="G30" s="2"/>
    </row>
    <row r="31" spans="2:7" x14ac:dyDescent="0.25">
      <c r="B31" s="4">
        <v>45833</v>
      </c>
      <c r="C31" s="2"/>
      <c r="D31" s="2"/>
      <c r="E31" s="23"/>
      <c r="F31" s="2">
        <f t="shared" si="0"/>
        <v>0</v>
      </c>
      <c r="G31" s="2"/>
    </row>
    <row r="32" spans="2:7" x14ac:dyDescent="0.25">
      <c r="B32" s="4">
        <v>45834</v>
      </c>
      <c r="C32" s="2"/>
      <c r="D32" s="2"/>
      <c r="E32" s="23"/>
      <c r="F32" s="2">
        <f t="shared" si="0"/>
        <v>0</v>
      </c>
      <c r="G32" s="2"/>
    </row>
    <row r="33" spans="2:7" x14ac:dyDescent="0.25">
      <c r="B33" s="4">
        <v>45835</v>
      </c>
      <c r="C33" s="2"/>
      <c r="D33" s="2"/>
      <c r="E33" s="23"/>
      <c r="F33" s="2">
        <f t="shared" si="0"/>
        <v>0</v>
      </c>
      <c r="G33" s="2"/>
    </row>
    <row r="34" spans="2:7" x14ac:dyDescent="0.25">
      <c r="B34" s="4">
        <v>45836</v>
      </c>
      <c r="C34" s="2"/>
      <c r="D34" s="2"/>
      <c r="E34" s="23"/>
      <c r="F34" s="2">
        <f t="shared" si="0"/>
        <v>0</v>
      </c>
      <c r="G34" s="2"/>
    </row>
    <row r="35" spans="2:7" x14ac:dyDescent="0.25">
      <c r="B35" s="4">
        <v>45837</v>
      </c>
      <c r="C35" s="2"/>
      <c r="D35" s="2"/>
      <c r="E35" s="23"/>
      <c r="F35" s="2">
        <f t="shared" si="0"/>
        <v>0</v>
      </c>
      <c r="G35" s="2"/>
    </row>
    <row r="36" spans="2:7" x14ac:dyDescent="0.25">
      <c r="B36" s="4">
        <v>45838</v>
      </c>
      <c r="C36" s="2"/>
      <c r="D36" s="2"/>
      <c r="E36" s="23"/>
      <c r="F36" s="2">
        <f t="shared" ref="F36:F38" si="1">E36-E35</f>
        <v>0</v>
      </c>
      <c r="G36" s="2"/>
    </row>
    <row r="37" spans="2:7" x14ac:dyDescent="0.25">
      <c r="B37" s="4">
        <v>45839</v>
      </c>
      <c r="C37" s="2"/>
      <c r="D37" s="2"/>
      <c r="E37" s="23"/>
      <c r="F37" s="2">
        <f t="shared" si="1"/>
        <v>0</v>
      </c>
      <c r="G37" s="2"/>
    </row>
    <row r="38" spans="2:7" x14ac:dyDescent="0.25">
      <c r="B38" s="4">
        <v>45840</v>
      </c>
      <c r="C38" s="2"/>
      <c r="D38" s="2"/>
      <c r="E38" s="23"/>
      <c r="F38" s="2">
        <f t="shared" si="1"/>
        <v>0</v>
      </c>
      <c r="G38" s="2"/>
    </row>
    <row r="39" spans="2:7" x14ac:dyDescent="0.25">
      <c r="B39" s="4">
        <v>45841</v>
      </c>
      <c r="C39" s="2"/>
      <c r="D39" s="2"/>
      <c r="E39" s="23"/>
      <c r="F39" s="2"/>
      <c r="G39" s="2"/>
    </row>
    <row r="40" spans="2:7" x14ac:dyDescent="0.25">
      <c r="B40" s="4"/>
      <c r="C40" s="2"/>
      <c r="D40" s="2"/>
      <c r="E40" s="2"/>
      <c r="F40" s="2"/>
      <c r="G40" s="2"/>
    </row>
    <row r="41" spans="2:7" x14ac:dyDescent="0.25">
      <c r="B41" s="4"/>
      <c r="C41" s="2"/>
      <c r="D41" s="2"/>
      <c r="E41" s="2"/>
      <c r="F41" s="2"/>
      <c r="G41" s="2"/>
    </row>
    <row r="42" spans="2:7" x14ac:dyDescent="0.25">
      <c r="B42" s="2"/>
      <c r="C42" s="2"/>
      <c r="D42" s="2"/>
      <c r="E42" s="2"/>
      <c r="F42" s="2"/>
      <c r="G42" s="2"/>
    </row>
    <row r="43" spans="2:7" x14ac:dyDescent="0.25">
      <c r="B43" s="2"/>
      <c r="C43" s="2"/>
      <c r="D43" s="2"/>
      <c r="E43" s="2"/>
      <c r="F43" s="2"/>
      <c r="G43" s="2"/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B3:G75"/>
  <sheetViews>
    <sheetView topLeftCell="A46" workbookViewId="0">
      <selection activeCell="C55" sqref="C55"/>
    </sheetView>
  </sheetViews>
  <sheetFormatPr defaultRowHeight="15" x14ac:dyDescent="0.25"/>
  <cols>
    <col min="2" max="2" width="18" bestFit="1" customWidth="1"/>
    <col min="3" max="3" width="72" bestFit="1" customWidth="1"/>
    <col min="4" max="4" width="42.140625" bestFit="1" customWidth="1"/>
    <col min="5" max="5" width="11.85546875" bestFit="1" customWidth="1"/>
    <col min="6" max="6" width="8.42578125" bestFit="1" customWidth="1"/>
    <col min="7" max="7" width="11" bestFit="1" customWidth="1"/>
  </cols>
  <sheetData>
    <row r="3" spans="2:7" x14ac:dyDescent="0.25">
      <c r="B3" s="53" t="s">
        <v>2265</v>
      </c>
    </row>
    <row r="4" spans="2:7" ht="15.75" x14ac:dyDescent="0.25">
      <c r="B4" s="10" t="s">
        <v>0</v>
      </c>
      <c r="C4" s="11" t="s">
        <v>1</v>
      </c>
      <c r="D4" s="11" t="s">
        <v>2</v>
      </c>
      <c r="E4" s="11" t="s">
        <v>934</v>
      </c>
      <c r="F4" s="11" t="s">
        <v>1095</v>
      </c>
      <c r="G4" s="11" t="s">
        <v>1507</v>
      </c>
    </row>
    <row r="5" spans="2:7" x14ac:dyDescent="0.25">
      <c r="B5" s="4">
        <v>45817</v>
      </c>
      <c r="C5" s="2" t="s">
        <v>1528</v>
      </c>
      <c r="D5" s="2" t="s">
        <v>4216</v>
      </c>
      <c r="E5" s="23">
        <v>0</v>
      </c>
      <c r="F5" s="2"/>
      <c r="G5" s="2"/>
    </row>
    <row r="6" spans="2:7" x14ac:dyDescent="0.25">
      <c r="B6" s="4">
        <v>45818</v>
      </c>
      <c r="C6" s="2" t="s">
        <v>1528</v>
      </c>
      <c r="D6" s="2"/>
      <c r="E6" s="23">
        <v>0</v>
      </c>
      <c r="F6" s="2">
        <f t="shared" ref="F6:F34" si="0">E6-E5</f>
        <v>0</v>
      </c>
      <c r="G6" s="2"/>
    </row>
    <row r="7" spans="2:7" x14ac:dyDescent="0.25">
      <c r="B7" s="4">
        <v>45819</v>
      </c>
      <c r="C7" s="2" t="s">
        <v>4220</v>
      </c>
      <c r="D7" s="2"/>
      <c r="E7" s="23"/>
      <c r="F7" s="2">
        <f t="shared" si="0"/>
        <v>0</v>
      </c>
      <c r="G7" s="2"/>
    </row>
    <row r="8" spans="2:7" x14ac:dyDescent="0.25">
      <c r="B8" s="4">
        <v>45820</v>
      </c>
      <c r="C8" s="2" t="s">
        <v>4231</v>
      </c>
      <c r="D8" s="58"/>
      <c r="E8" s="23">
        <v>17</v>
      </c>
      <c r="F8" s="2">
        <f t="shared" si="0"/>
        <v>17</v>
      </c>
      <c r="G8" s="2"/>
    </row>
    <row r="9" spans="2:7" x14ac:dyDescent="0.25">
      <c r="B9" s="4">
        <v>45821</v>
      </c>
      <c r="C9" s="2"/>
      <c r="D9" s="58"/>
      <c r="E9" s="23">
        <v>17</v>
      </c>
      <c r="F9" s="2">
        <f t="shared" si="0"/>
        <v>0</v>
      </c>
      <c r="G9" s="2"/>
    </row>
    <row r="10" spans="2:7" x14ac:dyDescent="0.25">
      <c r="B10" s="4">
        <v>45822</v>
      </c>
      <c r="C10" s="2"/>
      <c r="D10" s="58"/>
      <c r="E10" s="23">
        <v>17</v>
      </c>
      <c r="F10" s="2">
        <f t="shared" si="0"/>
        <v>0</v>
      </c>
      <c r="G10" s="2"/>
    </row>
    <row r="11" spans="2:7" x14ac:dyDescent="0.25">
      <c r="B11" s="4">
        <v>45823</v>
      </c>
      <c r="C11" s="2" t="s">
        <v>4104</v>
      </c>
      <c r="D11" s="2"/>
      <c r="E11" s="23">
        <v>40</v>
      </c>
      <c r="F11" s="2">
        <f t="shared" si="0"/>
        <v>23</v>
      </c>
      <c r="G11" s="2"/>
    </row>
    <row r="12" spans="2:7" x14ac:dyDescent="0.25">
      <c r="B12" s="4">
        <v>45824</v>
      </c>
      <c r="C12" s="2" t="s">
        <v>4266</v>
      </c>
      <c r="D12" s="2"/>
      <c r="E12" s="23">
        <v>55</v>
      </c>
      <c r="F12" s="2">
        <f t="shared" si="0"/>
        <v>15</v>
      </c>
      <c r="G12" s="2"/>
    </row>
    <row r="13" spans="2:7" x14ac:dyDescent="0.25">
      <c r="B13" s="4">
        <v>45825</v>
      </c>
      <c r="C13" s="2" t="s">
        <v>4310</v>
      </c>
      <c r="D13" s="2"/>
      <c r="E13" s="23">
        <v>75</v>
      </c>
      <c r="F13" s="2">
        <f t="shared" si="0"/>
        <v>20</v>
      </c>
      <c r="G13" s="2"/>
    </row>
    <row r="14" spans="2:7" x14ac:dyDescent="0.25">
      <c r="B14" s="4">
        <v>45826</v>
      </c>
      <c r="C14" s="2" t="s">
        <v>4314</v>
      </c>
      <c r="D14" s="2"/>
      <c r="E14" s="23">
        <v>95</v>
      </c>
      <c r="F14" s="2">
        <f t="shared" si="0"/>
        <v>20</v>
      </c>
      <c r="G14" s="2"/>
    </row>
    <row r="15" spans="2:7" x14ac:dyDescent="0.25">
      <c r="B15" s="4">
        <v>45827</v>
      </c>
      <c r="C15" s="2" t="s">
        <v>4312</v>
      </c>
      <c r="D15" s="2"/>
      <c r="E15" s="23">
        <v>104</v>
      </c>
      <c r="F15" s="2">
        <f t="shared" si="0"/>
        <v>9</v>
      </c>
      <c r="G15" s="2"/>
    </row>
    <row r="16" spans="2:7" x14ac:dyDescent="0.25">
      <c r="B16" s="4">
        <v>45828</v>
      </c>
      <c r="C16" s="2" t="s">
        <v>4334</v>
      </c>
      <c r="D16" s="2" t="s">
        <v>4327</v>
      </c>
      <c r="E16" s="23">
        <v>110</v>
      </c>
      <c r="F16" s="2">
        <f t="shared" si="0"/>
        <v>6</v>
      </c>
      <c r="G16" s="2"/>
    </row>
    <row r="17" spans="2:7" x14ac:dyDescent="0.25">
      <c r="B17" s="4">
        <v>45829</v>
      </c>
      <c r="C17" s="2" t="s">
        <v>1610</v>
      </c>
      <c r="D17" s="2"/>
      <c r="E17" s="23"/>
      <c r="F17" s="2">
        <f t="shared" si="0"/>
        <v>-110</v>
      </c>
      <c r="G17" s="2"/>
    </row>
    <row r="18" spans="2:7" x14ac:dyDescent="0.25">
      <c r="B18" s="4">
        <v>45830</v>
      </c>
      <c r="C18" s="58"/>
      <c r="D18" s="2"/>
      <c r="E18" s="23"/>
      <c r="F18" s="2">
        <f t="shared" si="0"/>
        <v>0</v>
      </c>
      <c r="G18" s="2"/>
    </row>
    <row r="19" spans="2:7" x14ac:dyDescent="0.25">
      <c r="B19" s="4">
        <v>45831</v>
      </c>
      <c r="C19" s="58"/>
      <c r="D19" s="2"/>
      <c r="E19" s="23"/>
      <c r="F19" s="2">
        <f t="shared" si="0"/>
        <v>0</v>
      </c>
      <c r="G19" s="2"/>
    </row>
    <row r="20" spans="2:7" x14ac:dyDescent="0.25">
      <c r="B20" s="4">
        <v>45832</v>
      </c>
      <c r="C20" s="58"/>
      <c r="D20" s="2"/>
      <c r="E20" s="23"/>
      <c r="F20" s="2">
        <f t="shared" si="0"/>
        <v>0</v>
      </c>
      <c r="G20" s="2"/>
    </row>
    <row r="21" spans="2:7" x14ac:dyDescent="0.25">
      <c r="B21" s="4">
        <v>45833</v>
      </c>
      <c r="C21" s="58"/>
      <c r="D21" s="2"/>
      <c r="E21" s="23"/>
      <c r="F21" s="2">
        <f t="shared" si="0"/>
        <v>0</v>
      </c>
      <c r="G21" s="2"/>
    </row>
    <row r="22" spans="2:7" x14ac:dyDescent="0.25">
      <c r="B22" s="4">
        <v>45834</v>
      </c>
      <c r="C22" s="2"/>
      <c r="D22" s="2"/>
      <c r="E22" s="23"/>
      <c r="F22" s="2">
        <f t="shared" si="0"/>
        <v>0</v>
      </c>
      <c r="G22" s="2"/>
    </row>
    <row r="23" spans="2:7" x14ac:dyDescent="0.25">
      <c r="B23" s="4">
        <v>45835</v>
      </c>
      <c r="C23" s="2"/>
      <c r="D23" s="2"/>
      <c r="E23" s="23"/>
      <c r="F23" s="2">
        <f t="shared" si="0"/>
        <v>0</v>
      </c>
      <c r="G23" s="2"/>
    </row>
    <row r="24" spans="2:7" x14ac:dyDescent="0.25">
      <c r="B24" s="4">
        <v>45836</v>
      </c>
      <c r="C24" s="2"/>
      <c r="D24" s="2"/>
      <c r="E24" s="23"/>
      <c r="F24" s="2">
        <f t="shared" si="0"/>
        <v>0</v>
      </c>
      <c r="G24" s="2"/>
    </row>
    <row r="25" spans="2:7" x14ac:dyDescent="0.25">
      <c r="B25" s="4">
        <v>45837</v>
      </c>
      <c r="C25" s="2"/>
      <c r="D25" s="2"/>
      <c r="E25" s="23"/>
      <c r="F25" s="2">
        <f t="shared" si="0"/>
        <v>0</v>
      </c>
      <c r="G25" s="2"/>
    </row>
    <row r="26" spans="2:7" x14ac:dyDescent="0.25">
      <c r="B26" s="4">
        <v>45838</v>
      </c>
      <c r="C26" s="2"/>
      <c r="D26" s="2"/>
      <c r="E26" s="23"/>
      <c r="F26" s="2">
        <f t="shared" si="0"/>
        <v>0</v>
      </c>
      <c r="G26" s="2"/>
    </row>
    <row r="27" spans="2:7" x14ac:dyDescent="0.25">
      <c r="B27" s="4">
        <v>45839</v>
      </c>
      <c r="C27" s="2"/>
      <c r="D27" s="2"/>
      <c r="E27" s="23"/>
      <c r="F27" s="2">
        <f t="shared" si="0"/>
        <v>0</v>
      </c>
      <c r="G27" s="2"/>
    </row>
    <row r="28" spans="2:7" x14ac:dyDescent="0.25">
      <c r="B28" s="4">
        <v>45840</v>
      </c>
      <c r="C28" s="2"/>
      <c r="D28" s="2"/>
      <c r="E28" s="23"/>
      <c r="F28" s="2">
        <f t="shared" si="0"/>
        <v>0</v>
      </c>
      <c r="G28" s="2"/>
    </row>
    <row r="29" spans="2:7" x14ac:dyDescent="0.25">
      <c r="B29" s="4">
        <v>45841</v>
      </c>
      <c r="C29" s="2"/>
      <c r="D29" s="2"/>
      <c r="E29" s="23"/>
      <c r="F29" s="2">
        <f t="shared" si="0"/>
        <v>0</v>
      </c>
      <c r="G29" s="2"/>
    </row>
    <row r="30" spans="2:7" x14ac:dyDescent="0.25">
      <c r="B30" s="4">
        <v>45842</v>
      </c>
      <c r="C30" s="2"/>
      <c r="D30" s="2"/>
      <c r="E30" s="23"/>
      <c r="F30" s="2">
        <f t="shared" si="0"/>
        <v>0</v>
      </c>
      <c r="G30" s="2"/>
    </row>
    <row r="31" spans="2:7" x14ac:dyDescent="0.25">
      <c r="B31" s="4">
        <v>45843</v>
      </c>
      <c r="C31" s="2"/>
      <c r="D31" s="2"/>
      <c r="E31" s="23"/>
      <c r="F31" s="2">
        <f t="shared" si="0"/>
        <v>0</v>
      </c>
      <c r="G31" s="2"/>
    </row>
    <row r="32" spans="2:7" x14ac:dyDescent="0.25">
      <c r="B32" s="4">
        <v>45844</v>
      </c>
      <c r="C32" s="2"/>
      <c r="D32" s="2"/>
      <c r="E32" s="23"/>
      <c r="F32" s="2">
        <f t="shared" si="0"/>
        <v>0</v>
      </c>
      <c r="G32" s="2"/>
    </row>
    <row r="33" spans="2:7" x14ac:dyDescent="0.25">
      <c r="B33" s="4">
        <v>45845</v>
      </c>
      <c r="C33" s="2"/>
      <c r="D33" s="2"/>
      <c r="E33" s="23"/>
      <c r="F33" s="2">
        <f t="shared" si="0"/>
        <v>0</v>
      </c>
      <c r="G33" s="2"/>
    </row>
    <row r="34" spans="2:7" x14ac:dyDescent="0.25">
      <c r="B34" s="4">
        <v>45846</v>
      </c>
      <c r="C34" s="2"/>
      <c r="D34" s="2"/>
      <c r="E34" s="23"/>
      <c r="F34" s="2">
        <f t="shared" si="0"/>
        <v>0</v>
      </c>
      <c r="G34" s="2"/>
    </row>
    <row r="35" spans="2:7" x14ac:dyDescent="0.25">
      <c r="B35" s="4">
        <v>45847</v>
      </c>
      <c r="C35" s="2"/>
      <c r="D35" s="2"/>
      <c r="E35" s="23"/>
      <c r="F35" s="2"/>
      <c r="G35" s="2"/>
    </row>
    <row r="36" spans="2:7" x14ac:dyDescent="0.25">
      <c r="B36" s="4">
        <v>45848</v>
      </c>
      <c r="C36" s="2"/>
      <c r="D36" s="2"/>
      <c r="E36" s="2"/>
      <c r="F36" s="2"/>
      <c r="G36" s="2"/>
    </row>
    <row r="37" spans="2:7" x14ac:dyDescent="0.25">
      <c r="B37" s="4">
        <v>45849</v>
      </c>
      <c r="C37" s="2"/>
      <c r="D37" s="2"/>
      <c r="E37" s="2"/>
      <c r="F37" s="2"/>
      <c r="G37" s="2"/>
    </row>
    <row r="38" spans="2:7" x14ac:dyDescent="0.25">
      <c r="B38" s="4">
        <v>45850</v>
      </c>
      <c r="C38" s="2"/>
      <c r="D38" s="2"/>
      <c r="E38" s="2"/>
      <c r="F38" s="2"/>
      <c r="G38" s="2"/>
    </row>
    <row r="39" spans="2:7" x14ac:dyDescent="0.25">
      <c r="B39" s="4">
        <v>45851</v>
      </c>
      <c r="C39" s="2"/>
      <c r="D39" s="2"/>
      <c r="E39" s="2"/>
      <c r="F39" s="2"/>
      <c r="G39" s="2"/>
    </row>
    <row r="40" spans="2:7" x14ac:dyDescent="0.25">
      <c r="B40" s="4">
        <v>45852</v>
      </c>
      <c r="C40" s="2"/>
      <c r="D40" s="2"/>
      <c r="E40" s="2"/>
      <c r="F40" s="2"/>
      <c r="G40" s="2"/>
    </row>
    <row r="41" spans="2:7" x14ac:dyDescent="0.25">
      <c r="B41" s="4">
        <v>45853</v>
      </c>
      <c r="C41" s="2"/>
      <c r="D41" s="2"/>
      <c r="E41" s="2"/>
      <c r="F41" s="2"/>
      <c r="G41" s="2"/>
    </row>
    <row r="42" spans="2:7" x14ac:dyDescent="0.25">
      <c r="B42" s="4">
        <v>45854</v>
      </c>
      <c r="C42" s="2"/>
      <c r="D42" s="2"/>
      <c r="E42" s="2"/>
      <c r="F42" s="2"/>
      <c r="G42" s="2"/>
    </row>
    <row r="43" spans="2:7" x14ac:dyDescent="0.25">
      <c r="B43" s="4">
        <v>45855</v>
      </c>
      <c r="C43" s="2" t="s">
        <v>4602</v>
      </c>
      <c r="D43" s="2"/>
      <c r="E43" s="2">
        <v>33</v>
      </c>
      <c r="F43" s="2"/>
      <c r="G43" s="2"/>
    </row>
    <row r="44" spans="2:7" x14ac:dyDescent="0.25">
      <c r="B44" s="4">
        <v>45856</v>
      </c>
      <c r="C44" s="2"/>
      <c r="D44" s="2"/>
      <c r="E44" s="2"/>
      <c r="F44" s="2"/>
      <c r="G44" s="2"/>
    </row>
    <row r="45" spans="2:7" x14ac:dyDescent="0.25">
      <c r="B45" s="4">
        <v>45857</v>
      </c>
      <c r="C45" s="2"/>
      <c r="D45" s="2"/>
      <c r="E45" s="2"/>
      <c r="F45" s="2"/>
      <c r="G45" s="2"/>
    </row>
    <row r="46" spans="2:7" x14ac:dyDescent="0.25">
      <c r="B46" s="4">
        <v>45858</v>
      </c>
      <c r="C46" s="2"/>
      <c r="D46" s="2" t="s">
        <v>4598</v>
      </c>
      <c r="E46" s="2"/>
      <c r="F46" s="2"/>
      <c r="G46" s="2"/>
    </row>
    <row r="47" spans="2:7" x14ac:dyDescent="0.25">
      <c r="B47" s="4">
        <v>45859</v>
      </c>
      <c r="C47" s="2"/>
      <c r="D47" s="2"/>
      <c r="E47" s="2"/>
      <c r="F47" s="2"/>
      <c r="G47" s="2"/>
    </row>
    <row r="48" spans="2:7" x14ac:dyDescent="0.25">
      <c r="B48" s="4">
        <v>45860</v>
      </c>
      <c r="C48" s="2"/>
      <c r="D48" s="2"/>
      <c r="E48" s="2"/>
      <c r="F48" s="2"/>
      <c r="G48" s="2"/>
    </row>
    <row r="49" spans="2:7" x14ac:dyDescent="0.25">
      <c r="B49" s="4">
        <v>45861</v>
      </c>
      <c r="C49" s="2"/>
      <c r="D49" s="2"/>
      <c r="E49" s="2"/>
      <c r="F49" s="2"/>
      <c r="G49" s="2"/>
    </row>
    <row r="50" spans="2:7" x14ac:dyDescent="0.25">
      <c r="B50" s="4">
        <v>45862</v>
      </c>
      <c r="C50" s="2" t="s">
        <v>4690</v>
      </c>
      <c r="D50" s="2"/>
      <c r="E50" s="2"/>
      <c r="F50" s="2"/>
      <c r="G50" s="2"/>
    </row>
    <row r="51" spans="2:7" x14ac:dyDescent="0.25">
      <c r="B51" s="4">
        <v>45863</v>
      </c>
      <c r="C51" s="2" t="s">
        <v>4066</v>
      </c>
      <c r="D51" s="2"/>
      <c r="E51" s="2"/>
      <c r="F51" s="2"/>
      <c r="G51" s="2"/>
    </row>
    <row r="52" spans="2:7" x14ac:dyDescent="0.25">
      <c r="B52" s="4">
        <v>45864</v>
      </c>
      <c r="C52" s="2"/>
      <c r="D52" s="2"/>
      <c r="E52" s="2"/>
      <c r="F52" s="2"/>
      <c r="G52" s="2"/>
    </row>
    <row r="53" spans="2:7" x14ac:dyDescent="0.25">
      <c r="B53" s="4">
        <v>45865</v>
      </c>
      <c r="C53" s="2"/>
      <c r="D53" s="2"/>
      <c r="E53" s="2"/>
      <c r="F53" s="2"/>
      <c r="G53" s="2"/>
    </row>
    <row r="54" spans="2:7" x14ac:dyDescent="0.25">
      <c r="B54" s="4">
        <v>45866</v>
      </c>
      <c r="C54" s="2" t="s">
        <v>4728</v>
      </c>
      <c r="D54" s="2"/>
      <c r="E54" s="2"/>
      <c r="F54" s="2"/>
      <c r="G54" s="2"/>
    </row>
    <row r="55" spans="2:7" x14ac:dyDescent="0.25">
      <c r="B55" s="4">
        <v>45867</v>
      </c>
      <c r="C55" s="2" t="s">
        <v>4817</v>
      </c>
      <c r="D55" s="2"/>
      <c r="E55" s="2"/>
      <c r="F55" s="2"/>
      <c r="G55" s="2"/>
    </row>
    <row r="56" spans="2:7" x14ac:dyDescent="0.25">
      <c r="B56" s="4">
        <v>45868</v>
      </c>
      <c r="C56" s="2"/>
      <c r="D56" s="2"/>
      <c r="E56" s="2"/>
      <c r="F56" s="2"/>
      <c r="G56" s="2"/>
    </row>
    <row r="57" spans="2:7" x14ac:dyDescent="0.25">
      <c r="B57" s="4">
        <v>45869</v>
      </c>
      <c r="C57" s="2"/>
      <c r="D57" s="2"/>
      <c r="E57" s="2"/>
      <c r="F57" s="2"/>
      <c r="G57" s="2"/>
    </row>
    <row r="58" spans="2:7" x14ac:dyDescent="0.25">
      <c r="B58" s="4">
        <v>45870</v>
      </c>
      <c r="C58" s="2"/>
      <c r="D58" s="2"/>
      <c r="E58" s="2"/>
      <c r="F58" s="2"/>
      <c r="G58" s="2"/>
    </row>
    <row r="59" spans="2:7" x14ac:dyDescent="0.25">
      <c r="B59" s="4">
        <v>45871</v>
      </c>
      <c r="C59" s="2"/>
      <c r="D59" s="2"/>
      <c r="E59" s="2"/>
      <c r="F59" s="2"/>
      <c r="G59" s="2"/>
    </row>
    <row r="60" spans="2:7" x14ac:dyDescent="0.25">
      <c r="B60" s="4">
        <v>45872</v>
      </c>
      <c r="C60" s="2"/>
      <c r="D60" s="2"/>
      <c r="E60" s="2"/>
      <c r="F60" s="2"/>
      <c r="G60" s="2"/>
    </row>
    <row r="61" spans="2:7" x14ac:dyDescent="0.25">
      <c r="B61" s="4">
        <v>45873</v>
      </c>
      <c r="C61" s="2"/>
      <c r="D61" s="2"/>
      <c r="E61" s="2"/>
      <c r="F61" s="2"/>
      <c r="G61" s="2"/>
    </row>
    <row r="62" spans="2:7" x14ac:dyDescent="0.25">
      <c r="B62" s="4">
        <v>45874</v>
      </c>
      <c r="C62" s="2"/>
      <c r="D62" s="2"/>
      <c r="E62" s="2"/>
      <c r="F62" s="2"/>
      <c r="G62" s="2"/>
    </row>
    <row r="63" spans="2:7" x14ac:dyDescent="0.25">
      <c r="B63" s="4">
        <v>45875</v>
      </c>
      <c r="C63" s="2"/>
      <c r="D63" s="2"/>
      <c r="E63" s="2"/>
      <c r="F63" s="2"/>
      <c r="G63" s="2"/>
    </row>
    <row r="64" spans="2:7" x14ac:dyDescent="0.25">
      <c r="B64" s="4">
        <v>45876</v>
      </c>
      <c r="C64" s="2"/>
      <c r="D64" s="2"/>
      <c r="E64" s="2"/>
      <c r="F64" s="2"/>
      <c r="G64" s="2"/>
    </row>
    <row r="65" spans="2:7" x14ac:dyDescent="0.25">
      <c r="B65" s="4">
        <v>45877</v>
      </c>
      <c r="C65" s="2"/>
      <c r="D65" s="2"/>
      <c r="E65" s="2"/>
      <c r="F65" s="2"/>
      <c r="G65" s="2"/>
    </row>
    <row r="66" spans="2:7" x14ac:dyDescent="0.25">
      <c r="B66" s="4">
        <v>45878</v>
      </c>
      <c r="C66" s="2"/>
      <c r="D66" s="2"/>
      <c r="E66" s="2"/>
      <c r="F66" s="2"/>
      <c r="G66" s="2"/>
    </row>
    <row r="67" spans="2:7" x14ac:dyDescent="0.25">
      <c r="B67" s="4">
        <v>45879</v>
      </c>
      <c r="C67" s="2"/>
      <c r="D67" s="2"/>
      <c r="E67" s="2"/>
      <c r="F67" s="2"/>
      <c r="G67" s="2"/>
    </row>
    <row r="68" spans="2:7" x14ac:dyDescent="0.25">
      <c r="B68" s="4">
        <v>45880</v>
      </c>
      <c r="C68" s="2"/>
      <c r="D68" s="2"/>
      <c r="E68" s="2"/>
      <c r="F68" s="2"/>
      <c r="G68" s="2"/>
    </row>
    <row r="69" spans="2:7" x14ac:dyDescent="0.25">
      <c r="B69" s="4">
        <v>45881</v>
      </c>
      <c r="C69" s="2"/>
      <c r="D69" s="2"/>
      <c r="E69" s="2"/>
      <c r="F69" s="2"/>
      <c r="G69" s="2"/>
    </row>
    <row r="70" spans="2:7" x14ac:dyDescent="0.25">
      <c r="B70" s="2"/>
      <c r="C70" s="2"/>
      <c r="D70" s="2"/>
      <c r="E70" s="2"/>
      <c r="F70" s="2"/>
      <c r="G70" s="2"/>
    </row>
    <row r="71" spans="2:7" x14ac:dyDescent="0.25">
      <c r="B71" s="2"/>
      <c r="C71" s="2"/>
      <c r="D71" s="2"/>
      <c r="E71" s="2"/>
      <c r="F71" s="2"/>
      <c r="G71" s="2"/>
    </row>
    <row r="72" spans="2:7" x14ac:dyDescent="0.25">
      <c r="B72" s="2"/>
      <c r="C72" s="2"/>
      <c r="D72" s="2"/>
      <c r="E72" s="2"/>
      <c r="F72" s="2"/>
      <c r="G72" s="2"/>
    </row>
    <row r="73" spans="2:7" x14ac:dyDescent="0.25">
      <c r="B73" s="2"/>
      <c r="C73" s="2"/>
      <c r="D73" s="2"/>
      <c r="E73" s="2"/>
      <c r="F73" s="2"/>
      <c r="G73" s="2"/>
    </row>
    <row r="74" spans="2:7" x14ac:dyDescent="0.25">
      <c r="B74" s="2"/>
      <c r="C74" s="2"/>
      <c r="D74" s="2"/>
      <c r="E74" s="2"/>
      <c r="F74" s="2"/>
      <c r="G74" s="2"/>
    </row>
    <row r="75" spans="2:7" x14ac:dyDescent="0.25">
      <c r="B75" s="2"/>
      <c r="C75" s="2"/>
      <c r="D75" s="2"/>
      <c r="E75" s="2"/>
      <c r="F75" s="2"/>
      <c r="G75" s="2"/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B3:G59"/>
  <sheetViews>
    <sheetView topLeftCell="A40" workbookViewId="0">
      <selection activeCell="D54" sqref="D54"/>
    </sheetView>
  </sheetViews>
  <sheetFormatPr defaultRowHeight="15" x14ac:dyDescent="0.25"/>
  <cols>
    <col min="2" max="2" width="18" bestFit="1" customWidth="1"/>
    <col min="3" max="3" width="72" bestFit="1" customWidth="1"/>
    <col min="4" max="4" width="42.140625" bestFit="1" customWidth="1"/>
    <col min="5" max="5" width="11.85546875" bestFit="1" customWidth="1"/>
    <col min="6" max="6" width="8.42578125" bestFit="1" customWidth="1"/>
    <col min="7" max="7" width="11" bestFit="1" customWidth="1"/>
  </cols>
  <sheetData>
    <row r="3" spans="2:7" x14ac:dyDescent="0.25">
      <c r="B3" s="53" t="s">
        <v>2265</v>
      </c>
    </row>
    <row r="4" spans="2:7" ht="15.75" x14ac:dyDescent="0.25">
      <c r="B4" s="10" t="s">
        <v>0</v>
      </c>
      <c r="C4" s="11" t="s">
        <v>1</v>
      </c>
      <c r="D4" s="11" t="s">
        <v>2</v>
      </c>
      <c r="E4" s="11" t="s">
        <v>934</v>
      </c>
      <c r="F4" s="11" t="s">
        <v>1095</v>
      </c>
      <c r="G4" s="11" t="s">
        <v>1507</v>
      </c>
    </row>
    <row r="5" spans="2:7" x14ac:dyDescent="0.25">
      <c r="B5" s="4">
        <v>45817</v>
      </c>
      <c r="C5" s="2" t="s">
        <v>1528</v>
      </c>
      <c r="D5" s="2" t="s">
        <v>4215</v>
      </c>
      <c r="E5" s="23">
        <v>0</v>
      </c>
      <c r="F5" s="2"/>
      <c r="G5" s="2"/>
    </row>
    <row r="6" spans="2:7" x14ac:dyDescent="0.25">
      <c r="B6" s="4">
        <v>45818</v>
      </c>
      <c r="C6" s="2" t="s">
        <v>522</v>
      </c>
      <c r="D6" s="2"/>
      <c r="E6" s="23">
        <v>0</v>
      </c>
      <c r="F6" s="2">
        <f t="shared" ref="F6:F34" si="0">E6-E5</f>
        <v>0</v>
      </c>
      <c r="G6" s="2"/>
    </row>
    <row r="7" spans="2:7" x14ac:dyDescent="0.25">
      <c r="B7" s="4">
        <v>45819</v>
      </c>
      <c r="C7" s="2"/>
      <c r="D7" s="2"/>
      <c r="E7" s="23"/>
      <c r="F7" s="2">
        <f t="shared" si="0"/>
        <v>0</v>
      </c>
      <c r="G7" s="2"/>
    </row>
    <row r="8" spans="2:7" x14ac:dyDescent="0.25">
      <c r="B8" s="4">
        <v>45820</v>
      </c>
      <c r="C8" s="2" t="s">
        <v>4232</v>
      </c>
      <c r="D8" s="58"/>
      <c r="E8" s="23"/>
      <c r="F8" s="2">
        <f t="shared" si="0"/>
        <v>0</v>
      </c>
      <c r="G8" s="2"/>
    </row>
    <row r="9" spans="2:7" x14ac:dyDescent="0.25">
      <c r="B9" s="4">
        <v>45821</v>
      </c>
      <c r="C9" s="2"/>
      <c r="D9" s="58"/>
      <c r="E9" s="23"/>
      <c r="F9" s="2">
        <f t="shared" si="0"/>
        <v>0</v>
      </c>
      <c r="G9" s="2"/>
    </row>
    <row r="10" spans="2:7" x14ac:dyDescent="0.25">
      <c r="B10" s="4">
        <v>45822</v>
      </c>
      <c r="C10" s="2" t="s">
        <v>4263</v>
      </c>
      <c r="D10" s="58"/>
      <c r="E10" s="23"/>
      <c r="F10" s="2">
        <f t="shared" si="0"/>
        <v>0</v>
      </c>
      <c r="G10" s="2"/>
    </row>
    <row r="11" spans="2:7" x14ac:dyDescent="0.25">
      <c r="B11" s="4">
        <v>45823</v>
      </c>
      <c r="C11" s="2" t="s">
        <v>4258</v>
      </c>
      <c r="D11" s="2"/>
      <c r="E11" s="23">
        <v>45</v>
      </c>
      <c r="F11" s="2">
        <f t="shared" si="0"/>
        <v>45</v>
      </c>
      <c r="G11" s="2"/>
    </row>
    <row r="12" spans="2:7" x14ac:dyDescent="0.25">
      <c r="B12" s="4">
        <v>45824</v>
      </c>
      <c r="C12" s="2" t="s">
        <v>4267</v>
      </c>
      <c r="D12" s="2" t="s">
        <v>4282</v>
      </c>
      <c r="E12" s="23">
        <v>78</v>
      </c>
      <c r="F12" s="2">
        <f t="shared" si="0"/>
        <v>33</v>
      </c>
      <c r="G12" s="2"/>
    </row>
    <row r="13" spans="2:7" x14ac:dyDescent="0.25">
      <c r="B13" s="4">
        <v>45825</v>
      </c>
      <c r="C13" s="2" t="s">
        <v>4293</v>
      </c>
      <c r="D13" s="2"/>
      <c r="E13" s="23">
        <v>110</v>
      </c>
      <c r="F13" s="2">
        <f t="shared" si="0"/>
        <v>32</v>
      </c>
      <c r="G13" s="2"/>
    </row>
    <row r="14" spans="2:7" x14ac:dyDescent="0.25">
      <c r="B14" s="4">
        <v>45826</v>
      </c>
      <c r="C14" s="2" t="s">
        <v>4313</v>
      </c>
      <c r="D14" s="2"/>
      <c r="E14" s="23"/>
      <c r="F14" s="2">
        <f t="shared" si="0"/>
        <v>-110</v>
      </c>
      <c r="G14" s="2"/>
    </row>
    <row r="15" spans="2:7" x14ac:dyDescent="0.25">
      <c r="B15" s="4">
        <v>45827</v>
      </c>
      <c r="C15" s="58" t="s">
        <v>1610</v>
      </c>
      <c r="D15" s="2"/>
      <c r="E15" s="23"/>
      <c r="F15" s="2">
        <f t="shared" si="0"/>
        <v>0</v>
      </c>
      <c r="G15" s="2"/>
    </row>
    <row r="16" spans="2:7" x14ac:dyDescent="0.25">
      <c r="B16" s="4">
        <v>45828</v>
      </c>
      <c r="C16" s="2" t="s">
        <v>4354</v>
      </c>
      <c r="D16" s="2" t="s">
        <v>4367</v>
      </c>
      <c r="E16" s="23"/>
      <c r="F16" s="2">
        <f t="shared" si="0"/>
        <v>0</v>
      </c>
      <c r="G16" s="2"/>
    </row>
    <row r="17" spans="2:7" x14ac:dyDescent="0.25">
      <c r="B17" s="4">
        <v>45829</v>
      </c>
      <c r="C17" s="2"/>
      <c r="D17" s="2"/>
      <c r="E17" s="23"/>
      <c r="F17" s="2">
        <f t="shared" si="0"/>
        <v>0</v>
      </c>
      <c r="G17" s="2"/>
    </row>
    <row r="18" spans="2:7" x14ac:dyDescent="0.25">
      <c r="B18" s="4">
        <v>45830</v>
      </c>
      <c r="C18" s="58"/>
      <c r="D18" s="2"/>
      <c r="E18" s="23"/>
      <c r="F18" s="2">
        <f t="shared" si="0"/>
        <v>0</v>
      </c>
      <c r="G18" s="2"/>
    </row>
    <row r="19" spans="2:7" x14ac:dyDescent="0.25">
      <c r="B19" s="4">
        <v>45831</v>
      </c>
      <c r="C19" s="58"/>
      <c r="D19" s="2"/>
      <c r="E19" s="23"/>
      <c r="F19" s="2">
        <f t="shared" si="0"/>
        <v>0</v>
      </c>
      <c r="G19" s="2"/>
    </row>
    <row r="20" spans="2:7" x14ac:dyDescent="0.25">
      <c r="B20" s="4">
        <v>45832</v>
      </c>
      <c r="C20" s="58"/>
      <c r="D20" s="2" t="s">
        <v>4598</v>
      </c>
      <c r="E20" s="23"/>
      <c r="F20" s="2">
        <f t="shared" si="0"/>
        <v>0</v>
      </c>
      <c r="G20" s="2"/>
    </row>
    <row r="21" spans="2:7" x14ac:dyDescent="0.25">
      <c r="B21" s="4">
        <v>45833</v>
      </c>
      <c r="C21" s="58"/>
      <c r="D21" s="2"/>
      <c r="E21" s="23"/>
      <c r="F21" s="2">
        <f t="shared" si="0"/>
        <v>0</v>
      </c>
      <c r="G21" s="2"/>
    </row>
    <row r="22" spans="2:7" x14ac:dyDescent="0.25">
      <c r="B22" s="4">
        <v>45834</v>
      </c>
      <c r="C22" s="2"/>
      <c r="D22" s="2"/>
      <c r="E22" s="23"/>
      <c r="F22" s="2">
        <f t="shared" si="0"/>
        <v>0</v>
      </c>
      <c r="G22" s="2"/>
    </row>
    <row r="23" spans="2:7" x14ac:dyDescent="0.25">
      <c r="B23" s="4">
        <v>45835</v>
      </c>
      <c r="C23" s="2"/>
      <c r="D23" s="2"/>
      <c r="E23" s="23"/>
      <c r="F23" s="2">
        <f t="shared" si="0"/>
        <v>0</v>
      </c>
      <c r="G23" s="2"/>
    </row>
    <row r="24" spans="2:7" x14ac:dyDescent="0.25">
      <c r="B24" s="4">
        <v>45836</v>
      </c>
      <c r="C24" s="2"/>
      <c r="D24" s="2"/>
      <c r="E24" s="23"/>
      <c r="F24" s="2">
        <f t="shared" si="0"/>
        <v>0</v>
      </c>
      <c r="G24" s="2"/>
    </row>
    <row r="25" spans="2:7" x14ac:dyDescent="0.25">
      <c r="B25" s="4">
        <v>45837</v>
      </c>
      <c r="C25" s="2"/>
      <c r="D25" s="2"/>
      <c r="E25" s="23"/>
      <c r="F25" s="2">
        <f t="shared" si="0"/>
        <v>0</v>
      </c>
      <c r="G25" s="2"/>
    </row>
    <row r="26" spans="2:7" x14ac:dyDescent="0.25">
      <c r="B26" s="4">
        <v>45838</v>
      </c>
      <c r="C26" s="2"/>
      <c r="D26" s="2"/>
      <c r="E26" s="23"/>
      <c r="F26" s="2">
        <f t="shared" si="0"/>
        <v>0</v>
      </c>
      <c r="G26" s="2"/>
    </row>
    <row r="27" spans="2:7" x14ac:dyDescent="0.25">
      <c r="B27" s="4">
        <v>45839</v>
      </c>
      <c r="C27" s="2"/>
      <c r="D27" s="2"/>
      <c r="E27" s="23"/>
      <c r="F27" s="2">
        <f t="shared" si="0"/>
        <v>0</v>
      </c>
      <c r="G27" s="2"/>
    </row>
    <row r="28" spans="2:7" x14ac:dyDescent="0.25">
      <c r="B28" s="4">
        <v>45840</v>
      </c>
      <c r="C28" s="2"/>
      <c r="D28" s="2"/>
      <c r="E28" s="23"/>
      <c r="F28" s="2">
        <f t="shared" si="0"/>
        <v>0</v>
      </c>
      <c r="G28" s="2"/>
    </row>
    <row r="29" spans="2:7" x14ac:dyDescent="0.25">
      <c r="B29" s="4">
        <v>45841</v>
      </c>
      <c r="C29" s="2"/>
      <c r="D29" s="2"/>
      <c r="E29" s="23"/>
      <c r="F29" s="2">
        <f t="shared" si="0"/>
        <v>0</v>
      </c>
      <c r="G29" s="2"/>
    </row>
    <row r="30" spans="2:7" x14ac:dyDescent="0.25">
      <c r="B30" s="4">
        <v>45842</v>
      </c>
      <c r="C30" s="2"/>
      <c r="D30" s="2"/>
      <c r="E30" s="23"/>
      <c r="F30" s="2">
        <f t="shared" si="0"/>
        <v>0</v>
      </c>
      <c r="G30" s="2"/>
    </row>
    <row r="31" spans="2:7" x14ac:dyDescent="0.25">
      <c r="B31" s="4">
        <v>45843</v>
      </c>
      <c r="C31" s="2"/>
      <c r="D31" s="2"/>
      <c r="E31" s="23"/>
      <c r="F31" s="2">
        <f t="shared" si="0"/>
        <v>0</v>
      </c>
      <c r="G31" s="2"/>
    </row>
    <row r="32" spans="2:7" x14ac:dyDescent="0.25">
      <c r="B32" s="4">
        <v>45844</v>
      </c>
      <c r="C32" s="2"/>
      <c r="D32" s="2"/>
      <c r="E32" s="23"/>
      <c r="F32" s="2">
        <f t="shared" si="0"/>
        <v>0</v>
      </c>
      <c r="G32" s="2"/>
    </row>
    <row r="33" spans="2:7" x14ac:dyDescent="0.25">
      <c r="B33" s="4">
        <v>45845</v>
      </c>
      <c r="C33" s="2"/>
      <c r="D33" s="2"/>
      <c r="E33" s="23"/>
      <c r="F33" s="2">
        <f t="shared" si="0"/>
        <v>0</v>
      </c>
      <c r="G33" s="2"/>
    </row>
    <row r="34" spans="2:7" x14ac:dyDescent="0.25">
      <c r="B34" s="4">
        <v>45846</v>
      </c>
      <c r="C34" s="2"/>
      <c r="D34" s="2"/>
      <c r="E34" s="23"/>
      <c r="F34" s="2">
        <f t="shared" si="0"/>
        <v>0</v>
      </c>
      <c r="G34" s="2"/>
    </row>
    <row r="35" spans="2:7" x14ac:dyDescent="0.25">
      <c r="B35" s="4">
        <v>45847</v>
      </c>
      <c r="C35" s="2"/>
      <c r="D35" s="2"/>
      <c r="E35" s="23"/>
      <c r="F35" s="2"/>
      <c r="G35" s="2"/>
    </row>
    <row r="36" spans="2:7" x14ac:dyDescent="0.25">
      <c r="B36" s="4">
        <v>45848</v>
      </c>
      <c r="C36" s="2"/>
      <c r="D36" s="2"/>
      <c r="E36" s="2"/>
      <c r="F36" s="2"/>
      <c r="G36" s="2"/>
    </row>
    <row r="37" spans="2:7" x14ac:dyDescent="0.25">
      <c r="B37" s="4">
        <v>45849</v>
      </c>
      <c r="C37" s="2"/>
      <c r="D37" s="2"/>
      <c r="E37" s="2"/>
      <c r="F37" s="2"/>
      <c r="G37" s="2"/>
    </row>
    <row r="38" spans="2:7" x14ac:dyDescent="0.25">
      <c r="B38" s="4">
        <v>45850</v>
      </c>
      <c r="C38" s="2"/>
      <c r="D38" s="2"/>
      <c r="E38" s="2"/>
      <c r="F38" s="2"/>
      <c r="G38" s="2"/>
    </row>
    <row r="39" spans="2:7" x14ac:dyDescent="0.25">
      <c r="B39" s="4">
        <v>45851</v>
      </c>
      <c r="C39" s="2"/>
      <c r="D39" s="2"/>
      <c r="E39" s="2"/>
      <c r="F39" s="2"/>
      <c r="G39" s="2"/>
    </row>
    <row r="40" spans="2:7" x14ac:dyDescent="0.25">
      <c r="B40" s="4">
        <v>45852</v>
      </c>
      <c r="C40" s="2"/>
      <c r="D40" s="2"/>
      <c r="E40" s="2"/>
      <c r="F40" s="2"/>
      <c r="G40" s="2"/>
    </row>
    <row r="41" spans="2:7" x14ac:dyDescent="0.25">
      <c r="B41" s="4">
        <v>45853</v>
      </c>
      <c r="C41" s="2"/>
      <c r="D41" s="2"/>
      <c r="E41" s="2"/>
      <c r="F41" s="2"/>
      <c r="G41" s="2"/>
    </row>
    <row r="42" spans="2:7" x14ac:dyDescent="0.25">
      <c r="B42" s="4">
        <v>45854</v>
      </c>
      <c r="C42" s="2"/>
      <c r="D42" s="2"/>
      <c r="E42" s="2"/>
      <c r="F42" s="2"/>
      <c r="G42" s="2"/>
    </row>
    <row r="43" spans="2:7" x14ac:dyDescent="0.25">
      <c r="B43" s="4">
        <v>45855</v>
      </c>
      <c r="C43" s="2"/>
      <c r="D43" s="2"/>
      <c r="E43" s="2"/>
      <c r="F43" s="2"/>
      <c r="G43" s="2"/>
    </row>
    <row r="44" spans="2:7" x14ac:dyDescent="0.25">
      <c r="B44" s="4">
        <v>45856</v>
      </c>
      <c r="C44" s="2"/>
      <c r="D44" s="2"/>
      <c r="E44" s="2"/>
      <c r="F44" s="2"/>
      <c r="G44" s="2"/>
    </row>
    <row r="45" spans="2:7" x14ac:dyDescent="0.25">
      <c r="B45" s="4">
        <v>45857</v>
      </c>
      <c r="C45" s="2"/>
      <c r="D45" s="2"/>
      <c r="E45" s="2"/>
      <c r="F45" s="2"/>
      <c r="G45" s="2"/>
    </row>
    <row r="46" spans="2:7" x14ac:dyDescent="0.25">
      <c r="B46" s="4">
        <v>45858</v>
      </c>
      <c r="C46" s="2"/>
      <c r="D46" s="2"/>
      <c r="E46" s="2"/>
      <c r="F46" s="2"/>
      <c r="G46" s="2"/>
    </row>
    <row r="47" spans="2:7" x14ac:dyDescent="0.25">
      <c r="B47" s="4">
        <v>45859</v>
      </c>
      <c r="C47" s="2"/>
      <c r="D47" s="2"/>
      <c r="E47" s="2"/>
      <c r="F47" s="2"/>
      <c r="G47" s="2"/>
    </row>
    <row r="48" spans="2:7" x14ac:dyDescent="0.25">
      <c r="B48" s="4">
        <v>45860</v>
      </c>
      <c r="C48" s="2"/>
      <c r="D48" s="2"/>
      <c r="E48" s="2"/>
      <c r="F48" s="2"/>
      <c r="G48" s="2"/>
    </row>
    <row r="49" spans="2:7" x14ac:dyDescent="0.25">
      <c r="B49" s="4">
        <v>45861</v>
      </c>
      <c r="C49" s="2"/>
      <c r="D49" s="2"/>
      <c r="E49" s="2"/>
      <c r="F49" s="2"/>
      <c r="G49" s="2"/>
    </row>
    <row r="50" spans="2:7" x14ac:dyDescent="0.25">
      <c r="B50" s="4">
        <v>45862</v>
      </c>
      <c r="C50" s="2"/>
      <c r="D50" s="2"/>
      <c r="E50" s="2"/>
      <c r="F50" s="2"/>
      <c r="G50" s="2"/>
    </row>
    <row r="51" spans="2:7" x14ac:dyDescent="0.25">
      <c r="B51" s="4">
        <v>45863</v>
      </c>
      <c r="C51" s="2"/>
      <c r="D51" s="2"/>
      <c r="E51" s="2"/>
      <c r="F51" s="2"/>
      <c r="G51" s="2"/>
    </row>
    <row r="52" spans="2:7" x14ac:dyDescent="0.25">
      <c r="B52" s="4">
        <v>45864</v>
      </c>
      <c r="C52" s="2"/>
      <c r="D52" s="2"/>
      <c r="E52" s="2"/>
      <c r="F52" s="2"/>
      <c r="G52" s="2"/>
    </row>
    <row r="53" spans="2:7" x14ac:dyDescent="0.25">
      <c r="B53" s="4">
        <v>45865</v>
      </c>
      <c r="C53" s="2"/>
      <c r="D53" s="2"/>
      <c r="E53" s="2"/>
      <c r="F53" s="2"/>
      <c r="G53" s="2"/>
    </row>
    <row r="54" spans="2:7" x14ac:dyDescent="0.25">
      <c r="B54" s="4">
        <v>45866</v>
      </c>
      <c r="C54" s="2" t="s">
        <v>4722</v>
      </c>
      <c r="D54" s="2"/>
      <c r="E54" s="2"/>
      <c r="F54" s="2"/>
      <c r="G54" s="2"/>
    </row>
    <row r="55" spans="2:7" x14ac:dyDescent="0.25">
      <c r="B55" s="4">
        <v>45867</v>
      </c>
      <c r="C55" s="2"/>
      <c r="D55" s="2"/>
      <c r="E55" s="2"/>
      <c r="F55" s="2"/>
      <c r="G55" s="2"/>
    </row>
    <row r="56" spans="2:7" x14ac:dyDescent="0.25">
      <c r="B56" s="4">
        <v>45868</v>
      </c>
      <c r="C56" s="2"/>
      <c r="D56" s="2"/>
      <c r="E56" s="2"/>
      <c r="F56" s="2"/>
      <c r="G56" s="2"/>
    </row>
    <row r="57" spans="2:7" x14ac:dyDescent="0.25">
      <c r="B57" s="4">
        <v>45869</v>
      </c>
      <c r="C57" s="2"/>
      <c r="D57" s="2"/>
      <c r="E57" s="2"/>
      <c r="F57" s="2"/>
      <c r="G57" s="2"/>
    </row>
    <row r="58" spans="2:7" x14ac:dyDescent="0.25">
      <c r="B58" s="4">
        <v>45870</v>
      </c>
      <c r="C58" s="2"/>
      <c r="D58" s="2"/>
      <c r="E58" s="2"/>
      <c r="F58" s="2"/>
      <c r="G58" s="2"/>
    </row>
    <row r="59" spans="2:7" x14ac:dyDescent="0.25">
      <c r="B59" s="4">
        <v>45871</v>
      </c>
      <c r="C59" s="2"/>
      <c r="D59" s="2"/>
      <c r="E59" s="2"/>
      <c r="F59" s="2"/>
      <c r="G59" s="2"/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B3:G53"/>
  <sheetViews>
    <sheetView workbookViewId="0">
      <selection activeCell="C13" sqref="C13"/>
    </sheetView>
  </sheetViews>
  <sheetFormatPr defaultRowHeight="15" x14ac:dyDescent="0.25"/>
  <cols>
    <col min="2" max="2" width="12.140625" bestFit="1" customWidth="1"/>
    <col min="3" max="3" width="72" bestFit="1" customWidth="1"/>
    <col min="4" max="4" width="42.140625" bestFit="1" customWidth="1"/>
    <col min="5" max="5" width="11.85546875" bestFit="1" customWidth="1"/>
    <col min="6" max="6" width="8.42578125" bestFit="1" customWidth="1"/>
    <col min="7" max="7" width="11" bestFit="1" customWidth="1"/>
  </cols>
  <sheetData>
    <row r="3" spans="2:7" ht="15.75" x14ac:dyDescent="0.25">
      <c r="B3" s="10" t="s">
        <v>0</v>
      </c>
      <c r="C3" s="11" t="s">
        <v>1</v>
      </c>
      <c r="D3" s="11" t="s">
        <v>2</v>
      </c>
      <c r="E3" s="11" t="s">
        <v>934</v>
      </c>
      <c r="F3" s="11" t="s">
        <v>1095</v>
      </c>
      <c r="G3" s="11" t="s">
        <v>1507</v>
      </c>
    </row>
    <row r="4" spans="2:7" x14ac:dyDescent="0.25">
      <c r="B4" s="4">
        <v>45824</v>
      </c>
      <c r="C4" s="2" t="s">
        <v>1528</v>
      </c>
      <c r="D4" s="2" t="s">
        <v>4217</v>
      </c>
      <c r="E4" s="23">
        <v>0</v>
      </c>
      <c r="F4" s="2"/>
      <c r="G4" s="2"/>
    </row>
    <row r="5" spans="2:7" x14ac:dyDescent="0.25">
      <c r="B5" s="4">
        <v>45825</v>
      </c>
      <c r="C5" s="2" t="s">
        <v>4299</v>
      </c>
      <c r="D5" s="2"/>
      <c r="E5" s="23">
        <v>33</v>
      </c>
      <c r="F5" s="2">
        <f t="shared" ref="F5:F13" si="0">E5-E4</f>
        <v>33</v>
      </c>
      <c r="G5" s="2"/>
    </row>
    <row r="6" spans="2:7" x14ac:dyDescent="0.25">
      <c r="B6" s="4">
        <v>45826</v>
      </c>
      <c r="C6" s="2" t="s">
        <v>4310</v>
      </c>
      <c r="D6" s="2" t="s">
        <v>4311</v>
      </c>
      <c r="E6" s="23">
        <v>75</v>
      </c>
      <c r="F6" s="2">
        <f t="shared" si="0"/>
        <v>42</v>
      </c>
      <c r="G6" s="2"/>
    </row>
    <row r="7" spans="2:7" x14ac:dyDescent="0.25">
      <c r="B7" s="4">
        <v>45827</v>
      </c>
      <c r="C7" s="2" t="s">
        <v>4316</v>
      </c>
      <c r="D7" s="58" t="s">
        <v>4328</v>
      </c>
      <c r="E7" s="23">
        <v>130</v>
      </c>
      <c r="F7" s="2">
        <f t="shared" si="0"/>
        <v>55</v>
      </c>
      <c r="G7" s="2"/>
    </row>
    <row r="8" spans="2:7" x14ac:dyDescent="0.25">
      <c r="B8" s="4">
        <v>45828</v>
      </c>
      <c r="C8" s="2" t="s">
        <v>4332</v>
      </c>
      <c r="D8" s="58" t="s">
        <v>4329</v>
      </c>
      <c r="E8" s="23">
        <v>130</v>
      </c>
      <c r="F8" s="2">
        <f t="shared" si="0"/>
        <v>0</v>
      </c>
      <c r="G8" s="2"/>
    </row>
    <row r="9" spans="2:7" x14ac:dyDescent="0.25">
      <c r="B9" s="4">
        <v>45829</v>
      </c>
      <c r="C9" s="2" t="s">
        <v>4352</v>
      </c>
      <c r="D9" s="58"/>
      <c r="E9" s="23">
        <v>130</v>
      </c>
      <c r="F9" s="2">
        <f t="shared" si="0"/>
        <v>0</v>
      </c>
      <c r="G9" s="2"/>
    </row>
    <row r="10" spans="2:7" x14ac:dyDescent="0.25">
      <c r="B10" s="4">
        <v>45830</v>
      </c>
      <c r="C10" s="2" t="s">
        <v>4351</v>
      </c>
      <c r="D10" s="2"/>
      <c r="E10" s="23">
        <v>80</v>
      </c>
      <c r="F10" s="2">
        <f t="shared" si="0"/>
        <v>-50</v>
      </c>
      <c r="G10" s="2"/>
    </row>
    <row r="11" spans="2:7" x14ac:dyDescent="0.25">
      <c r="B11" s="4">
        <v>45831</v>
      </c>
      <c r="C11" s="2" t="s">
        <v>4387</v>
      </c>
      <c r="D11" s="2"/>
      <c r="E11" s="23">
        <v>120</v>
      </c>
      <c r="F11" s="2">
        <f t="shared" si="0"/>
        <v>40</v>
      </c>
      <c r="G11" s="2"/>
    </row>
    <row r="12" spans="2:7" x14ac:dyDescent="0.25">
      <c r="B12" s="4">
        <v>45832</v>
      </c>
      <c r="C12" s="2" t="s">
        <v>4393</v>
      </c>
      <c r="D12" s="2"/>
      <c r="E12" s="23"/>
      <c r="F12" s="2">
        <f t="shared" si="0"/>
        <v>-120</v>
      </c>
      <c r="G12" s="2"/>
    </row>
    <row r="13" spans="2:7" x14ac:dyDescent="0.25">
      <c r="B13" s="4">
        <v>45833</v>
      </c>
      <c r="C13" s="2"/>
      <c r="D13" s="2"/>
      <c r="E13" s="23"/>
      <c r="F13" s="2">
        <f t="shared" si="0"/>
        <v>0</v>
      </c>
      <c r="G13" s="2"/>
    </row>
    <row r="14" spans="2:7" x14ac:dyDescent="0.25">
      <c r="B14" s="4">
        <v>45834</v>
      </c>
      <c r="C14" s="2"/>
      <c r="D14" s="2"/>
      <c r="E14" s="2"/>
      <c r="F14" s="2"/>
      <c r="G14" s="2"/>
    </row>
    <row r="15" spans="2:7" x14ac:dyDescent="0.25">
      <c r="B15" s="4">
        <v>45835</v>
      </c>
      <c r="C15" s="2"/>
      <c r="D15" s="2"/>
      <c r="E15" s="2"/>
      <c r="F15" s="2"/>
      <c r="G15" s="2"/>
    </row>
    <row r="16" spans="2:7" x14ac:dyDescent="0.25">
      <c r="B16" s="4">
        <v>45836</v>
      </c>
      <c r="C16" s="2"/>
      <c r="D16" s="2"/>
      <c r="E16" s="2"/>
      <c r="F16" s="2"/>
      <c r="G16" s="2"/>
    </row>
    <row r="17" spans="2:7" x14ac:dyDescent="0.25">
      <c r="B17" s="4">
        <v>45837</v>
      </c>
      <c r="C17" s="2"/>
      <c r="D17" s="2"/>
      <c r="E17" s="2"/>
      <c r="F17" s="2"/>
      <c r="G17" s="2"/>
    </row>
    <row r="18" spans="2:7" x14ac:dyDescent="0.25">
      <c r="B18" s="4">
        <v>45838</v>
      </c>
      <c r="C18" s="2"/>
      <c r="D18" s="2"/>
      <c r="E18" s="2"/>
      <c r="F18" s="2"/>
      <c r="G18" s="2"/>
    </row>
    <row r="19" spans="2:7" x14ac:dyDescent="0.25">
      <c r="B19" s="4">
        <v>45839</v>
      </c>
      <c r="C19" s="2"/>
      <c r="D19" s="2"/>
      <c r="E19" s="2"/>
      <c r="F19" s="2"/>
      <c r="G19" s="2"/>
    </row>
    <row r="20" spans="2:7" x14ac:dyDescent="0.25">
      <c r="B20" s="4">
        <v>45840</v>
      </c>
      <c r="C20" s="2"/>
      <c r="D20" s="2"/>
      <c r="E20" s="2"/>
      <c r="F20" s="2"/>
      <c r="G20" s="2"/>
    </row>
    <row r="21" spans="2:7" x14ac:dyDescent="0.25">
      <c r="B21" s="4">
        <v>45841</v>
      </c>
      <c r="C21" s="2"/>
      <c r="D21" s="2"/>
      <c r="E21" s="2"/>
      <c r="F21" s="2"/>
      <c r="G21" s="2"/>
    </row>
    <row r="22" spans="2:7" x14ac:dyDescent="0.25">
      <c r="B22" s="4">
        <v>45842</v>
      </c>
      <c r="C22" s="2"/>
      <c r="D22" s="2"/>
      <c r="E22" s="2"/>
      <c r="F22" s="2"/>
      <c r="G22" s="2"/>
    </row>
    <row r="23" spans="2:7" x14ac:dyDescent="0.25">
      <c r="B23" s="2"/>
      <c r="C23" s="2"/>
      <c r="D23" s="2"/>
      <c r="E23" s="2"/>
      <c r="F23" s="2"/>
      <c r="G23" s="2"/>
    </row>
    <row r="24" spans="2:7" x14ac:dyDescent="0.25">
      <c r="B24" s="2"/>
      <c r="C24" s="2"/>
      <c r="D24" s="2"/>
      <c r="E24" s="2"/>
      <c r="F24" s="2"/>
      <c r="G24" s="2"/>
    </row>
    <row r="25" spans="2:7" x14ac:dyDescent="0.25">
      <c r="B25" s="2"/>
      <c r="C25" s="2"/>
      <c r="D25" s="2"/>
      <c r="E25" s="2"/>
      <c r="F25" s="2"/>
      <c r="G25" s="2"/>
    </row>
    <row r="26" spans="2:7" x14ac:dyDescent="0.25">
      <c r="B26" s="2"/>
      <c r="C26" s="2"/>
      <c r="D26" s="2"/>
      <c r="E26" s="2"/>
      <c r="F26" s="2"/>
      <c r="G26" s="2"/>
    </row>
    <row r="27" spans="2:7" x14ac:dyDescent="0.25">
      <c r="B27" s="2"/>
      <c r="C27" s="2"/>
      <c r="D27" s="2"/>
      <c r="E27" s="2"/>
      <c r="F27" s="2"/>
      <c r="G27" s="2"/>
    </row>
    <row r="28" spans="2:7" x14ac:dyDescent="0.25">
      <c r="B28" s="2"/>
      <c r="C28" s="2"/>
      <c r="D28" s="2"/>
      <c r="E28" s="2"/>
      <c r="F28" s="2"/>
      <c r="G28" s="2"/>
    </row>
    <row r="29" spans="2:7" x14ac:dyDescent="0.25">
      <c r="B29" s="2"/>
      <c r="C29" s="2"/>
      <c r="D29" s="2"/>
      <c r="E29" s="2"/>
      <c r="F29" s="2"/>
      <c r="G29" s="2"/>
    </row>
    <row r="30" spans="2:7" x14ac:dyDescent="0.25">
      <c r="B30" s="2"/>
      <c r="C30" s="2"/>
      <c r="D30" s="2"/>
      <c r="E30" s="2"/>
      <c r="F30" s="2"/>
      <c r="G30" s="2"/>
    </row>
    <row r="31" spans="2:7" x14ac:dyDescent="0.25">
      <c r="B31" s="2"/>
      <c r="C31" s="2"/>
      <c r="D31" s="2"/>
      <c r="E31" s="2"/>
      <c r="F31" s="2"/>
      <c r="G31" s="2"/>
    </row>
    <row r="32" spans="2:7" x14ac:dyDescent="0.25">
      <c r="B32" s="2"/>
      <c r="C32" s="2"/>
      <c r="D32" s="2"/>
      <c r="E32" s="2"/>
      <c r="F32" s="2"/>
      <c r="G32" s="2"/>
    </row>
    <row r="33" spans="2:7" x14ac:dyDescent="0.25">
      <c r="B33" s="2"/>
      <c r="C33" s="2"/>
      <c r="D33" s="2"/>
      <c r="E33" s="2"/>
      <c r="F33" s="2"/>
      <c r="G33" s="2"/>
    </row>
    <row r="34" spans="2:7" x14ac:dyDescent="0.25">
      <c r="B34" s="2"/>
      <c r="C34" s="2"/>
      <c r="D34" s="2"/>
      <c r="E34" s="2"/>
      <c r="F34" s="2"/>
      <c r="G34" s="2"/>
    </row>
    <row r="35" spans="2:7" x14ac:dyDescent="0.25">
      <c r="B35" s="2"/>
      <c r="C35" s="2"/>
      <c r="D35" s="2"/>
      <c r="E35" s="2"/>
      <c r="F35" s="2"/>
      <c r="G35" s="2"/>
    </row>
    <row r="36" spans="2:7" x14ac:dyDescent="0.25">
      <c r="B36" s="2"/>
      <c r="C36" s="2"/>
      <c r="D36" s="2"/>
      <c r="E36" s="2"/>
      <c r="F36" s="2"/>
      <c r="G36" s="2"/>
    </row>
    <row r="37" spans="2:7" x14ac:dyDescent="0.25">
      <c r="B37" s="2"/>
      <c r="C37" s="2"/>
      <c r="D37" s="2"/>
      <c r="E37" s="2"/>
      <c r="F37" s="2"/>
      <c r="G37" s="2"/>
    </row>
    <row r="38" spans="2:7" x14ac:dyDescent="0.25">
      <c r="B38" s="2"/>
      <c r="C38" s="2"/>
      <c r="D38" s="2"/>
      <c r="E38" s="2"/>
      <c r="F38" s="2"/>
      <c r="G38" s="2"/>
    </row>
    <row r="39" spans="2:7" x14ac:dyDescent="0.25">
      <c r="B39" s="2"/>
      <c r="C39" s="2"/>
      <c r="D39" s="2"/>
      <c r="E39" s="2"/>
      <c r="F39" s="2"/>
      <c r="G39" s="2"/>
    </row>
    <row r="40" spans="2:7" x14ac:dyDescent="0.25">
      <c r="B40" s="2"/>
      <c r="C40" s="2"/>
      <c r="D40" s="2"/>
      <c r="E40" s="2"/>
      <c r="F40" s="2"/>
      <c r="G40" s="2"/>
    </row>
    <row r="41" spans="2:7" x14ac:dyDescent="0.25">
      <c r="B41" s="2"/>
      <c r="C41" s="2"/>
      <c r="D41" s="2"/>
      <c r="E41" s="2"/>
      <c r="F41" s="2"/>
      <c r="G41" s="2"/>
    </row>
    <row r="42" spans="2:7" x14ac:dyDescent="0.25">
      <c r="B42" s="2"/>
      <c r="C42" s="2"/>
      <c r="D42" s="2"/>
      <c r="E42" s="2"/>
      <c r="F42" s="2"/>
      <c r="G42" s="2"/>
    </row>
    <row r="43" spans="2:7" x14ac:dyDescent="0.25">
      <c r="B43" s="2"/>
      <c r="C43" s="2"/>
      <c r="D43" s="2"/>
      <c r="E43" s="2"/>
      <c r="F43" s="2"/>
      <c r="G43" s="2"/>
    </row>
    <row r="44" spans="2:7" x14ac:dyDescent="0.25">
      <c r="B44" s="2"/>
      <c r="C44" s="2"/>
      <c r="D44" s="2"/>
      <c r="E44" s="2"/>
      <c r="F44" s="2"/>
      <c r="G44" s="2"/>
    </row>
    <row r="45" spans="2:7" x14ac:dyDescent="0.25">
      <c r="B45" s="2"/>
      <c r="C45" s="2"/>
      <c r="D45" s="2"/>
      <c r="E45" s="2"/>
      <c r="F45" s="2"/>
      <c r="G45" s="2"/>
    </row>
    <row r="46" spans="2:7" x14ac:dyDescent="0.25">
      <c r="B46" s="2"/>
      <c r="C46" s="2"/>
      <c r="D46" s="2"/>
      <c r="E46" s="2"/>
      <c r="F46" s="2"/>
      <c r="G46" s="2"/>
    </row>
    <row r="47" spans="2:7" x14ac:dyDescent="0.25">
      <c r="B47" s="2"/>
      <c r="C47" s="2"/>
      <c r="D47" s="2"/>
      <c r="E47" s="2"/>
      <c r="F47" s="2"/>
      <c r="G47" s="2"/>
    </row>
    <row r="48" spans="2:7" x14ac:dyDescent="0.25">
      <c r="B48" s="2"/>
      <c r="C48" s="2"/>
      <c r="D48" s="2"/>
      <c r="E48" s="2"/>
      <c r="F48" s="2"/>
      <c r="G48" s="2"/>
    </row>
    <row r="49" spans="2:7" x14ac:dyDescent="0.25">
      <c r="B49" s="2"/>
      <c r="C49" s="2"/>
      <c r="D49" s="2"/>
      <c r="E49" s="2"/>
      <c r="F49" s="2"/>
      <c r="G49" s="2"/>
    </row>
    <row r="50" spans="2:7" x14ac:dyDescent="0.25">
      <c r="B50" s="2"/>
      <c r="C50" s="2"/>
      <c r="D50" s="2"/>
      <c r="E50" s="2"/>
      <c r="F50" s="2"/>
      <c r="G50" s="2"/>
    </row>
    <row r="51" spans="2:7" x14ac:dyDescent="0.25">
      <c r="B51" s="2"/>
      <c r="C51" s="2"/>
      <c r="D51" s="2"/>
      <c r="E51" s="2"/>
      <c r="F51" s="2"/>
      <c r="G51" s="2"/>
    </row>
    <row r="52" spans="2:7" x14ac:dyDescent="0.25">
      <c r="B52" s="2"/>
      <c r="C52" s="2"/>
      <c r="D52" s="2"/>
      <c r="E52" s="2"/>
      <c r="F52" s="2"/>
      <c r="G52" s="2"/>
    </row>
    <row r="53" spans="2:7" x14ac:dyDescent="0.25">
      <c r="B53" s="2"/>
      <c r="C53" s="2"/>
      <c r="D53" s="2"/>
      <c r="E53" s="2"/>
      <c r="F53" s="2"/>
      <c r="G53" s="2"/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B2:G53"/>
  <sheetViews>
    <sheetView topLeftCell="A7" workbookViewId="0">
      <selection activeCell="C24" sqref="C24"/>
    </sheetView>
  </sheetViews>
  <sheetFormatPr defaultRowHeight="15" x14ac:dyDescent="0.25"/>
  <cols>
    <col min="2" max="2" width="13.85546875" bestFit="1" customWidth="1"/>
    <col min="3" max="3" width="72" bestFit="1" customWidth="1"/>
    <col min="4" max="4" width="42.140625" bestFit="1" customWidth="1"/>
    <col min="5" max="5" width="11.85546875" bestFit="1" customWidth="1"/>
    <col min="6" max="6" width="8.42578125" bestFit="1" customWidth="1"/>
    <col min="7" max="7" width="11" bestFit="1" customWidth="1"/>
  </cols>
  <sheetData>
    <row r="2" spans="2:7" x14ac:dyDescent="0.25">
      <c r="B2" s="53" t="s">
        <v>4363</v>
      </c>
    </row>
    <row r="3" spans="2:7" ht="15.75" x14ac:dyDescent="0.25">
      <c r="B3" s="10" t="s">
        <v>0</v>
      </c>
      <c r="C3" s="11" t="s">
        <v>1</v>
      </c>
      <c r="D3" s="11" t="s">
        <v>2</v>
      </c>
      <c r="E3" s="11" t="s">
        <v>934</v>
      </c>
      <c r="F3" s="11" t="s">
        <v>1095</v>
      </c>
      <c r="G3" s="11" t="s">
        <v>1507</v>
      </c>
    </row>
    <row r="4" spans="2:7" x14ac:dyDescent="0.25">
      <c r="B4" s="4">
        <v>45829</v>
      </c>
      <c r="C4" s="2" t="s">
        <v>1528</v>
      </c>
      <c r="D4" s="2" t="s">
        <v>4212</v>
      </c>
      <c r="E4" s="23">
        <v>0</v>
      </c>
      <c r="F4" s="2"/>
      <c r="G4" s="2"/>
    </row>
    <row r="5" spans="2:7" x14ac:dyDescent="0.25">
      <c r="B5" s="4">
        <v>45830</v>
      </c>
      <c r="C5" s="2" t="s">
        <v>4380</v>
      </c>
      <c r="D5" s="2" t="s">
        <v>4388</v>
      </c>
      <c r="E5" s="23">
        <v>0</v>
      </c>
      <c r="F5" s="2">
        <f t="shared" ref="F5:F22" si="0">E5-E4</f>
        <v>0</v>
      </c>
      <c r="G5" s="2"/>
    </row>
    <row r="6" spans="2:7" x14ac:dyDescent="0.25">
      <c r="B6" s="4">
        <v>45831</v>
      </c>
      <c r="C6" s="2" t="s">
        <v>4381</v>
      </c>
      <c r="D6" s="2" t="s">
        <v>4389</v>
      </c>
      <c r="E6" s="23">
        <v>0</v>
      </c>
      <c r="F6" s="2">
        <f t="shared" si="0"/>
        <v>0</v>
      </c>
      <c r="G6" s="2"/>
    </row>
    <row r="7" spans="2:7" x14ac:dyDescent="0.25">
      <c r="B7" s="4">
        <v>45832</v>
      </c>
      <c r="C7" s="2" t="s">
        <v>4391</v>
      </c>
      <c r="D7" s="58"/>
      <c r="E7" s="23">
        <v>0</v>
      </c>
      <c r="F7" s="2">
        <f t="shared" si="0"/>
        <v>0</v>
      </c>
      <c r="G7" s="2"/>
    </row>
    <row r="8" spans="2:7" x14ac:dyDescent="0.25">
      <c r="B8" s="4">
        <v>45833</v>
      </c>
      <c r="C8" s="2" t="s">
        <v>4404</v>
      </c>
      <c r="D8" s="58"/>
      <c r="E8" s="23">
        <v>0</v>
      </c>
      <c r="F8" s="2">
        <f t="shared" si="0"/>
        <v>0</v>
      </c>
      <c r="G8" s="2"/>
    </row>
    <row r="9" spans="2:7" x14ac:dyDescent="0.25">
      <c r="B9" s="4">
        <v>45834</v>
      </c>
      <c r="C9" s="2" t="s">
        <v>4425</v>
      </c>
      <c r="D9" s="58"/>
      <c r="E9" s="23">
        <v>0</v>
      </c>
      <c r="F9" s="2">
        <f t="shared" si="0"/>
        <v>0</v>
      </c>
      <c r="G9" s="2"/>
    </row>
    <row r="10" spans="2:7" x14ac:dyDescent="0.25">
      <c r="B10" s="4">
        <v>45835</v>
      </c>
      <c r="C10" s="2" t="s">
        <v>4424</v>
      </c>
      <c r="D10" s="2"/>
      <c r="E10" s="23">
        <v>30</v>
      </c>
      <c r="F10" s="2">
        <f t="shared" si="0"/>
        <v>30</v>
      </c>
      <c r="G10" s="2"/>
    </row>
    <row r="11" spans="2:7" x14ac:dyDescent="0.25">
      <c r="B11" s="4">
        <v>45836</v>
      </c>
      <c r="C11" s="2" t="s">
        <v>4460</v>
      </c>
      <c r="D11" s="2"/>
      <c r="E11" s="23">
        <v>35</v>
      </c>
      <c r="F11" s="2">
        <f t="shared" si="0"/>
        <v>5</v>
      </c>
      <c r="G11" s="2"/>
    </row>
    <row r="12" spans="2:7" x14ac:dyDescent="0.25">
      <c r="B12" s="4">
        <v>45837</v>
      </c>
      <c r="C12" s="2" t="s">
        <v>4461</v>
      </c>
      <c r="D12" s="2"/>
      <c r="E12" s="23">
        <v>38</v>
      </c>
      <c r="F12" s="2">
        <f t="shared" si="0"/>
        <v>3</v>
      </c>
      <c r="G12" s="2"/>
    </row>
    <row r="13" spans="2:7" x14ac:dyDescent="0.25">
      <c r="B13" s="4">
        <v>45838</v>
      </c>
      <c r="C13" s="2" t="s">
        <v>4476</v>
      </c>
      <c r="D13" s="2"/>
      <c r="E13" s="23">
        <v>41</v>
      </c>
      <c r="F13" s="2">
        <f t="shared" si="0"/>
        <v>3</v>
      </c>
      <c r="G13" s="2"/>
    </row>
    <row r="14" spans="2:7" x14ac:dyDescent="0.25">
      <c r="B14" s="4">
        <v>45839</v>
      </c>
      <c r="C14" s="2" t="s">
        <v>4497</v>
      </c>
      <c r="D14" s="2"/>
      <c r="E14" s="23">
        <v>43</v>
      </c>
      <c r="F14" s="2">
        <f t="shared" si="0"/>
        <v>2</v>
      </c>
      <c r="G14" s="2"/>
    </row>
    <row r="15" spans="2:7" x14ac:dyDescent="0.25">
      <c r="B15" s="4">
        <v>45840</v>
      </c>
      <c r="C15" s="2" t="s">
        <v>4486</v>
      </c>
      <c r="D15" s="2"/>
      <c r="E15" s="23">
        <v>45</v>
      </c>
      <c r="F15" s="2">
        <f t="shared" si="0"/>
        <v>2</v>
      </c>
      <c r="G15" s="2"/>
    </row>
    <row r="16" spans="2:7" x14ac:dyDescent="0.25">
      <c r="B16" s="4">
        <v>45841</v>
      </c>
      <c r="C16" s="2" t="s">
        <v>4504</v>
      </c>
      <c r="D16" s="2"/>
      <c r="E16" s="23">
        <v>50</v>
      </c>
      <c r="F16" s="2">
        <f t="shared" si="0"/>
        <v>5</v>
      </c>
      <c r="G16" s="2"/>
    </row>
    <row r="17" spans="2:7" x14ac:dyDescent="0.25">
      <c r="B17" s="4">
        <v>45842</v>
      </c>
      <c r="C17" s="2" t="s">
        <v>4526</v>
      </c>
      <c r="D17" s="2"/>
      <c r="E17" s="23">
        <v>65</v>
      </c>
      <c r="F17" s="2">
        <f t="shared" si="0"/>
        <v>15</v>
      </c>
      <c r="G17" s="2"/>
    </row>
    <row r="18" spans="2:7" x14ac:dyDescent="0.25">
      <c r="B18" s="4">
        <v>45843</v>
      </c>
      <c r="C18" s="2" t="s">
        <v>4525</v>
      </c>
      <c r="D18" s="2"/>
      <c r="E18" s="23">
        <v>80</v>
      </c>
      <c r="F18" s="2">
        <f t="shared" si="0"/>
        <v>15</v>
      </c>
      <c r="G18" s="2"/>
    </row>
    <row r="19" spans="2:7" x14ac:dyDescent="0.25">
      <c r="B19" s="4">
        <v>45844</v>
      </c>
      <c r="C19" s="2" t="s">
        <v>4524</v>
      </c>
      <c r="D19" s="2"/>
      <c r="E19" s="23">
        <v>99</v>
      </c>
      <c r="F19" s="2">
        <f t="shared" si="0"/>
        <v>19</v>
      </c>
      <c r="G19" s="2"/>
    </row>
    <row r="20" spans="2:7" x14ac:dyDescent="0.25">
      <c r="B20" s="4">
        <v>45845</v>
      </c>
      <c r="C20" s="2" t="s">
        <v>1827</v>
      </c>
      <c r="D20" s="2" t="s">
        <v>4533</v>
      </c>
      <c r="E20" s="23">
        <v>0</v>
      </c>
      <c r="F20" s="2">
        <f t="shared" si="0"/>
        <v>-99</v>
      </c>
      <c r="G20" s="2"/>
    </row>
    <row r="21" spans="2:7" x14ac:dyDescent="0.25">
      <c r="B21" s="4">
        <v>45846</v>
      </c>
      <c r="C21" s="2" t="s">
        <v>1178</v>
      </c>
      <c r="D21" s="2"/>
      <c r="E21" s="23">
        <v>0</v>
      </c>
      <c r="F21" s="2">
        <f t="shared" si="0"/>
        <v>0</v>
      </c>
      <c r="G21" s="2"/>
    </row>
    <row r="22" spans="2:7" x14ac:dyDescent="0.25">
      <c r="B22" s="4">
        <v>45847</v>
      </c>
      <c r="C22" s="2" t="s">
        <v>3931</v>
      </c>
      <c r="D22" s="2"/>
      <c r="E22" s="23">
        <v>0</v>
      </c>
      <c r="F22" s="2">
        <f t="shared" si="0"/>
        <v>0</v>
      </c>
      <c r="G22" s="2"/>
    </row>
    <row r="23" spans="2:7" x14ac:dyDescent="0.25">
      <c r="B23" s="4">
        <v>45848</v>
      </c>
      <c r="C23" s="2" t="s">
        <v>3931</v>
      </c>
      <c r="D23" s="2"/>
      <c r="E23" s="2"/>
      <c r="F23" s="2"/>
      <c r="G23" s="2"/>
    </row>
    <row r="24" spans="2:7" x14ac:dyDescent="0.25">
      <c r="B24" s="4">
        <v>45849</v>
      </c>
      <c r="C24" s="2" t="s">
        <v>3565</v>
      </c>
      <c r="D24" s="2" t="s">
        <v>4514</v>
      </c>
      <c r="E24" s="2"/>
      <c r="F24" s="2"/>
      <c r="G24" s="2"/>
    </row>
    <row r="25" spans="2:7" x14ac:dyDescent="0.25">
      <c r="B25" s="4">
        <v>45850</v>
      </c>
      <c r="C25" s="2"/>
      <c r="D25" s="2"/>
      <c r="E25" s="2"/>
      <c r="F25" s="2"/>
      <c r="G25" s="2"/>
    </row>
    <row r="26" spans="2:7" x14ac:dyDescent="0.25">
      <c r="B26" s="4">
        <v>45851</v>
      </c>
      <c r="C26" s="2"/>
      <c r="D26" s="2"/>
      <c r="E26" s="2"/>
      <c r="F26" s="2"/>
      <c r="G26" s="2"/>
    </row>
    <row r="27" spans="2:7" x14ac:dyDescent="0.25">
      <c r="B27" s="4">
        <v>45852</v>
      </c>
      <c r="C27" s="2"/>
      <c r="D27" s="2"/>
      <c r="E27" s="2"/>
      <c r="F27" s="2"/>
      <c r="G27" s="2"/>
    </row>
    <row r="28" spans="2:7" x14ac:dyDescent="0.25">
      <c r="B28" s="4">
        <v>45853</v>
      </c>
      <c r="C28" s="2"/>
      <c r="D28" s="2"/>
      <c r="E28" s="2"/>
      <c r="F28" s="2"/>
      <c r="G28" s="2"/>
    </row>
    <row r="29" spans="2:7" x14ac:dyDescent="0.25">
      <c r="B29" s="4">
        <v>45854</v>
      </c>
      <c r="C29" s="2"/>
      <c r="D29" s="2"/>
      <c r="E29" s="2"/>
      <c r="F29" s="2"/>
      <c r="G29" s="2"/>
    </row>
    <row r="30" spans="2:7" x14ac:dyDescent="0.25">
      <c r="B30" s="4">
        <v>45855</v>
      </c>
      <c r="C30" s="2"/>
      <c r="D30" s="2"/>
      <c r="E30" s="2"/>
      <c r="F30" s="2"/>
      <c r="G30" s="2"/>
    </row>
    <row r="31" spans="2:7" x14ac:dyDescent="0.25">
      <c r="B31" s="4">
        <v>45856</v>
      </c>
      <c r="C31" s="2"/>
      <c r="D31" s="2"/>
      <c r="E31" s="2"/>
      <c r="F31" s="2"/>
      <c r="G31" s="2"/>
    </row>
    <row r="32" spans="2:7" x14ac:dyDescent="0.25">
      <c r="B32" s="2"/>
      <c r="C32" s="2"/>
      <c r="D32" s="2"/>
      <c r="E32" s="2"/>
      <c r="F32" s="2"/>
      <c r="G32" s="2"/>
    </row>
    <row r="33" spans="2:7" x14ac:dyDescent="0.25">
      <c r="B33" s="2"/>
      <c r="C33" s="2"/>
      <c r="D33" s="2"/>
      <c r="E33" s="2"/>
      <c r="F33" s="2"/>
      <c r="G33" s="2"/>
    </row>
    <row r="34" spans="2:7" x14ac:dyDescent="0.25">
      <c r="B34" s="2"/>
      <c r="C34" s="2"/>
      <c r="D34" s="2"/>
      <c r="E34" s="2"/>
      <c r="F34" s="2"/>
      <c r="G34" s="2"/>
    </row>
    <row r="35" spans="2:7" x14ac:dyDescent="0.25">
      <c r="B35" s="2"/>
      <c r="C35" s="2"/>
      <c r="D35" s="2"/>
      <c r="E35" s="2"/>
      <c r="F35" s="2"/>
      <c r="G35" s="2"/>
    </row>
    <row r="36" spans="2:7" x14ac:dyDescent="0.25">
      <c r="B36" s="2"/>
      <c r="C36" s="2"/>
      <c r="D36" s="2"/>
      <c r="E36" s="2"/>
      <c r="F36" s="2"/>
      <c r="G36" s="2"/>
    </row>
    <row r="37" spans="2:7" x14ac:dyDescent="0.25">
      <c r="B37" s="2"/>
      <c r="C37" s="2"/>
      <c r="D37" s="2"/>
      <c r="E37" s="2"/>
      <c r="F37" s="2"/>
      <c r="G37" s="2"/>
    </row>
    <row r="38" spans="2:7" x14ac:dyDescent="0.25">
      <c r="B38" s="2"/>
      <c r="C38" s="2"/>
      <c r="D38" s="2"/>
      <c r="E38" s="2"/>
      <c r="F38" s="2"/>
      <c r="G38" s="2"/>
    </row>
    <row r="39" spans="2:7" x14ac:dyDescent="0.25">
      <c r="B39" s="2"/>
      <c r="C39" s="2"/>
      <c r="D39" s="2"/>
      <c r="E39" s="2"/>
      <c r="F39" s="2"/>
      <c r="G39" s="2"/>
    </row>
    <row r="40" spans="2:7" x14ac:dyDescent="0.25">
      <c r="B40" s="2"/>
      <c r="C40" s="2"/>
      <c r="D40" s="2"/>
      <c r="E40" s="2"/>
      <c r="F40" s="2"/>
      <c r="G40" s="2"/>
    </row>
    <row r="41" spans="2:7" x14ac:dyDescent="0.25">
      <c r="B41" s="2"/>
      <c r="C41" s="2"/>
      <c r="D41" s="2"/>
      <c r="E41" s="2"/>
      <c r="F41" s="2"/>
      <c r="G41" s="2"/>
    </row>
    <row r="42" spans="2:7" x14ac:dyDescent="0.25">
      <c r="B42" s="2"/>
      <c r="C42" s="2"/>
      <c r="D42" s="2"/>
      <c r="E42" s="2"/>
      <c r="F42" s="2"/>
      <c r="G42" s="2"/>
    </row>
    <row r="43" spans="2:7" x14ac:dyDescent="0.25">
      <c r="B43" s="2"/>
      <c r="C43" s="2"/>
      <c r="D43" s="2"/>
      <c r="E43" s="2"/>
      <c r="F43" s="2"/>
      <c r="G43" s="2"/>
    </row>
    <row r="44" spans="2:7" x14ac:dyDescent="0.25">
      <c r="B44" s="2"/>
      <c r="C44" s="2"/>
      <c r="D44" s="2"/>
      <c r="E44" s="2"/>
      <c r="F44" s="2"/>
      <c r="G44" s="2"/>
    </row>
    <row r="45" spans="2:7" x14ac:dyDescent="0.25">
      <c r="B45" s="2"/>
      <c r="C45" s="2"/>
      <c r="D45" s="2"/>
      <c r="E45" s="2"/>
      <c r="F45" s="2"/>
      <c r="G45" s="2"/>
    </row>
    <row r="46" spans="2:7" x14ac:dyDescent="0.25">
      <c r="B46" s="2"/>
      <c r="C46" s="2"/>
      <c r="D46" s="2"/>
      <c r="E46" s="2"/>
      <c r="F46" s="2"/>
      <c r="G46" s="2"/>
    </row>
    <row r="47" spans="2:7" x14ac:dyDescent="0.25">
      <c r="B47" s="2"/>
      <c r="C47" s="2"/>
      <c r="D47" s="2"/>
      <c r="E47" s="2"/>
      <c r="F47" s="2"/>
      <c r="G47" s="2"/>
    </row>
    <row r="48" spans="2:7" x14ac:dyDescent="0.25">
      <c r="B48" s="2"/>
      <c r="C48" s="2"/>
      <c r="D48" s="2"/>
      <c r="E48" s="2"/>
      <c r="F48" s="2"/>
      <c r="G48" s="2"/>
    </row>
    <row r="49" spans="2:7" x14ac:dyDescent="0.25">
      <c r="B49" s="2"/>
      <c r="C49" s="2"/>
      <c r="D49" s="2"/>
      <c r="E49" s="2"/>
      <c r="F49" s="2"/>
      <c r="G49" s="2"/>
    </row>
    <row r="50" spans="2:7" x14ac:dyDescent="0.25">
      <c r="B50" s="2"/>
      <c r="C50" s="2"/>
      <c r="D50" s="2"/>
      <c r="E50" s="2"/>
      <c r="F50" s="2"/>
      <c r="G50" s="2"/>
    </row>
    <row r="51" spans="2:7" x14ac:dyDescent="0.25">
      <c r="B51" s="2"/>
      <c r="C51" s="2"/>
      <c r="D51" s="2"/>
      <c r="E51" s="2"/>
      <c r="F51" s="2"/>
      <c r="G51" s="2"/>
    </row>
    <row r="52" spans="2:7" x14ac:dyDescent="0.25">
      <c r="B52" s="2"/>
      <c r="C52" s="2"/>
      <c r="D52" s="2"/>
      <c r="E52" s="2"/>
      <c r="F52" s="2"/>
      <c r="G52" s="2"/>
    </row>
    <row r="53" spans="2:7" x14ac:dyDescent="0.25">
      <c r="B53" s="2"/>
      <c r="C53" s="2"/>
      <c r="D53" s="2"/>
      <c r="E53" s="2"/>
      <c r="F53" s="2"/>
      <c r="G53" s="2"/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B2:G44"/>
  <sheetViews>
    <sheetView topLeftCell="A28" workbookViewId="0">
      <selection activeCell="C39" sqref="C39"/>
    </sheetView>
  </sheetViews>
  <sheetFormatPr defaultRowHeight="15" x14ac:dyDescent="0.25"/>
  <cols>
    <col min="2" max="2" width="14.140625" bestFit="1" customWidth="1"/>
    <col min="3" max="3" width="72" bestFit="1" customWidth="1"/>
    <col min="4" max="4" width="42.140625" bestFit="1" customWidth="1"/>
  </cols>
  <sheetData>
    <row r="2" spans="2:7" x14ac:dyDescent="0.25">
      <c r="B2" s="53" t="s">
        <v>4390</v>
      </c>
    </row>
    <row r="3" spans="2:7" ht="15.75" x14ac:dyDescent="0.25">
      <c r="B3" s="10" t="s">
        <v>0</v>
      </c>
      <c r="C3" s="11" t="s">
        <v>1</v>
      </c>
      <c r="D3" s="11" t="s">
        <v>2</v>
      </c>
      <c r="E3" s="11" t="s">
        <v>934</v>
      </c>
      <c r="F3" s="11" t="s">
        <v>1095</v>
      </c>
      <c r="G3" s="11" t="s">
        <v>1507</v>
      </c>
    </row>
    <row r="4" spans="2:7" x14ac:dyDescent="0.25">
      <c r="B4" s="4">
        <v>45832</v>
      </c>
      <c r="C4" s="2" t="s">
        <v>1528</v>
      </c>
      <c r="D4" s="2"/>
      <c r="E4" s="23">
        <v>0</v>
      </c>
      <c r="F4" s="2"/>
      <c r="G4" s="2"/>
    </row>
    <row r="5" spans="2:7" x14ac:dyDescent="0.25">
      <c r="B5" s="4">
        <v>45833</v>
      </c>
      <c r="C5" s="2" t="s">
        <v>4417</v>
      </c>
      <c r="D5" s="2"/>
      <c r="E5" s="23">
        <v>71</v>
      </c>
      <c r="F5" s="2">
        <f t="shared" ref="F5:F13" si="0">E5-E4</f>
        <v>71</v>
      </c>
      <c r="G5" s="2"/>
    </row>
    <row r="6" spans="2:7" x14ac:dyDescent="0.25">
      <c r="B6" s="4">
        <v>45834</v>
      </c>
      <c r="C6" s="2" t="s">
        <v>4427</v>
      </c>
      <c r="D6" s="2"/>
      <c r="E6" s="23">
        <v>0</v>
      </c>
      <c r="F6" s="2">
        <f t="shared" si="0"/>
        <v>-71</v>
      </c>
      <c r="G6" s="2"/>
    </row>
    <row r="7" spans="2:7" x14ac:dyDescent="0.25">
      <c r="B7" s="4">
        <v>45835</v>
      </c>
      <c r="C7" s="2" t="s">
        <v>1640</v>
      </c>
      <c r="D7" s="58" t="s">
        <v>4452</v>
      </c>
      <c r="E7" s="23">
        <v>0</v>
      </c>
      <c r="F7" s="2">
        <f t="shared" si="0"/>
        <v>0</v>
      </c>
      <c r="G7" s="2"/>
    </row>
    <row r="8" spans="2:7" x14ac:dyDescent="0.25">
      <c r="B8" s="4">
        <v>45836</v>
      </c>
      <c r="C8" s="2" t="s">
        <v>1178</v>
      </c>
      <c r="D8" s="58"/>
      <c r="E8" s="23">
        <v>0</v>
      </c>
      <c r="F8" s="2">
        <f t="shared" si="0"/>
        <v>0</v>
      </c>
      <c r="G8" s="2"/>
    </row>
    <row r="9" spans="2:7" x14ac:dyDescent="0.25">
      <c r="B9" s="4">
        <v>45837</v>
      </c>
      <c r="C9" s="2"/>
      <c r="D9" s="58" t="s">
        <v>4457</v>
      </c>
      <c r="E9" s="23">
        <v>0</v>
      </c>
      <c r="F9" s="2">
        <f t="shared" si="0"/>
        <v>0</v>
      </c>
      <c r="G9" s="2"/>
    </row>
    <row r="10" spans="2:7" x14ac:dyDescent="0.25">
      <c r="B10" s="4">
        <v>45838</v>
      </c>
      <c r="C10" s="2"/>
      <c r="D10" s="2"/>
      <c r="E10" s="23">
        <v>0</v>
      </c>
      <c r="F10" s="2">
        <f t="shared" si="0"/>
        <v>0</v>
      </c>
      <c r="G10" s="2"/>
    </row>
    <row r="11" spans="2:7" x14ac:dyDescent="0.25">
      <c r="B11" s="4">
        <v>45839</v>
      </c>
      <c r="C11" s="2"/>
      <c r="D11" s="2" t="s">
        <v>4598</v>
      </c>
      <c r="E11" s="23">
        <v>0</v>
      </c>
      <c r="F11" s="2">
        <f t="shared" si="0"/>
        <v>0</v>
      </c>
      <c r="G11" s="2"/>
    </row>
    <row r="12" spans="2:7" x14ac:dyDescent="0.25">
      <c r="B12" s="4">
        <v>45840</v>
      </c>
      <c r="C12" s="2"/>
      <c r="D12" s="2"/>
      <c r="E12" s="23">
        <v>0</v>
      </c>
      <c r="F12" s="2">
        <f t="shared" si="0"/>
        <v>0</v>
      </c>
      <c r="G12" s="2"/>
    </row>
    <row r="13" spans="2:7" x14ac:dyDescent="0.25">
      <c r="B13" s="4">
        <v>45841</v>
      </c>
      <c r="C13" s="2"/>
      <c r="D13" s="2"/>
      <c r="E13" s="23">
        <v>0</v>
      </c>
      <c r="F13" s="2">
        <f t="shared" si="0"/>
        <v>0</v>
      </c>
      <c r="G13" s="2"/>
    </row>
    <row r="14" spans="2:7" x14ac:dyDescent="0.25">
      <c r="B14" s="4">
        <v>45842</v>
      </c>
      <c r="C14" s="2"/>
      <c r="D14" s="2"/>
      <c r="E14" s="2"/>
      <c r="F14" s="2"/>
      <c r="G14" s="2"/>
    </row>
    <row r="15" spans="2:7" x14ac:dyDescent="0.25">
      <c r="B15" s="4">
        <v>45843</v>
      </c>
      <c r="C15" s="2"/>
      <c r="D15" s="2"/>
      <c r="E15" s="2"/>
      <c r="F15" s="2"/>
      <c r="G15" s="2"/>
    </row>
    <row r="16" spans="2:7" x14ac:dyDescent="0.25">
      <c r="B16" s="4">
        <v>45844</v>
      </c>
      <c r="C16" s="2"/>
      <c r="D16" s="2"/>
      <c r="E16" s="2"/>
      <c r="F16" s="2"/>
      <c r="G16" s="2"/>
    </row>
    <row r="17" spans="2:7" x14ac:dyDescent="0.25">
      <c r="B17" s="4">
        <v>45845</v>
      </c>
      <c r="C17" s="2"/>
      <c r="D17" s="2"/>
      <c r="E17" s="2"/>
      <c r="F17" s="2"/>
      <c r="G17" s="2"/>
    </row>
    <row r="18" spans="2:7" x14ac:dyDescent="0.25">
      <c r="B18" s="4">
        <v>45846</v>
      </c>
      <c r="C18" s="2"/>
      <c r="D18" s="2"/>
      <c r="E18" s="2"/>
      <c r="F18" s="2"/>
      <c r="G18" s="2"/>
    </row>
    <row r="19" spans="2:7" x14ac:dyDescent="0.25">
      <c r="B19" s="4">
        <v>45847</v>
      </c>
      <c r="C19" s="2"/>
      <c r="D19" s="2"/>
      <c r="E19" s="2"/>
      <c r="F19" s="2"/>
      <c r="G19" s="2"/>
    </row>
    <row r="20" spans="2:7" x14ac:dyDescent="0.25">
      <c r="B20" s="4">
        <v>45848</v>
      </c>
      <c r="C20" s="2"/>
      <c r="D20" s="2"/>
      <c r="E20" s="2"/>
      <c r="F20" s="2"/>
      <c r="G20" s="2"/>
    </row>
    <row r="21" spans="2:7" x14ac:dyDescent="0.25">
      <c r="B21" s="4">
        <v>45849</v>
      </c>
      <c r="C21" s="2"/>
      <c r="D21" s="2"/>
      <c r="E21" s="2"/>
      <c r="F21" s="2"/>
      <c r="G21" s="2"/>
    </row>
    <row r="22" spans="2:7" x14ac:dyDescent="0.25">
      <c r="B22" s="4">
        <v>45850</v>
      </c>
      <c r="C22" s="2"/>
      <c r="D22" s="2"/>
      <c r="E22" s="2"/>
      <c r="F22" s="2"/>
      <c r="G22" s="2"/>
    </row>
    <row r="23" spans="2:7" x14ac:dyDescent="0.25">
      <c r="B23" s="4">
        <v>45851</v>
      </c>
      <c r="C23" s="2"/>
      <c r="D23" s="2"/>
      <c r="E23" s="2"/>
      <c r="F23" s="2"/>
      <c r="G23" s="2"/>
    </row>
    <row r="24" spans="2:7" x14ac:dyDescent="0.25">
      <c r="B24" s="4">
        <v>45852</v>
      </c>
      <c r="C24" s="2"/>
      <c r="D24" s="2"/>
      <c r="E24" s="2"/>
      <c r="F24" s="2"/>
      <c r="G24" s="2"/>
    </row>
    <row r="25" spans="2:7" x14ac:dyDescent="0.25">
      <c r="B25" s="4">
        <v>45853</v>
      </c>
      <c r="C25" s="2"/>
      <c r="D25" s="2"/>
      <c r="E25" s="2"/>
      <c r="F25" s="2"/>
      <c r="G25" s="2"/>
    </row>
    <row r="26" spans="2:7" x14ac:dyDescent="0.25">
      <c r="B26" s="4">
        <v>45854</v>
      </c>
      <c r="C26" s="2"/>
      <c r="D26" s="2"/>
      <c r="E26" s="2"/>
      <c r="F26" s="2"/>
      <c r="G26" s="2"/>
    </row>
    <row r="27" spans="2:7" x14ac:dyDescent="0.25">
      <c r="B27" s="4">
        <v>45855</v>
      </c>
      <c r="C27" s="2"/>
      <c r="D27" s="2"/>
      <c r="E27" s="2"/>
      <c r="F27" s="2"/>
      <c r="G27" s="2"/>
    </row>
    <row r="28" spans="2:7" x14ac:dyDescent="0.25">
      <c r="B28" s="4">
        <v>45856</v>
      </c>
      <c r="C28" s="2"/>
      <c r="D28" s="2"/>
      <c r="E28" s="2"/>
      <c r="F28" s="2"/>
      <c r="G28" s="2"/>
    </row>
    <row r="29" spans="2:7" x14ac:dyDescent="0.25">
      <c r="B29" s="4">
        <v>45857</v>
      </c>
      <c r="C29" s="2"/>
      <c r="D29" s="2"/>
      <c r="E29" s="2"/>
      <c r="F29" s="2"/>
      <c r="G29" s="2"/>
    </row>
    <row r="30" spans="2:7" x14ac:dyDescent="0.25">
      <c r="B30" s="4">
        <v>45858</v>
      </c>
      <c r="C30" s="2"/>
      <c r="D30" s="2"/>
      <c r="E30" s="2"/>
      <c r="F30" s="2"/>
      <c r="G30" s="2"/>
    </row>
    <row r="31" spans="2:7" x14ac:dyDescent="0.25">
      <c r="B31" s="4">
        <v>45859</v>
      </c>
      <c r="C31" s="2"/>
      <c r="D31" s="2"/>
      <c r="E31" s="2"/>
      <c r="F31" s="2"/>
      <c r="G31" s="2"/>
    </row>
    <row r="32" spans="2:7" x14ac:dyDescent="0.25">
      <c r="B32" s="4">
        <v>45860</v>
      </c>
      <c r="C32" s="2"/>
      <c r="D32" s="2"/>
      <c r="E32" s="2"/>
      <c r="F32" s="2"/>
      <c r="G32" s="2"/>
    </row>
    <row r="33" spans="2:7" x14ac:dyDescent="0.25">
      <c r="B33" s="4">
        <v>45861</v>
      </c>
      <c r="C33" s="2"/>
      <c r="D33" s="2"/>
      <c r="E33" s="2"/>
      <c r="F33" s="2"/>
      <c r="G33" s="2"/>
    </row>
    <row r="34" spans="2:7" x14ac:dyDescent="0.25">
      <c r="B34" s="4">
        <v>45862</v>
      </c>
      <c r="C34" s="2" t="s">
        <v>1528</v>
      </c>
      <c r="D34" s="2" t="s">
        <v>4705</v>
      </c>
      <c r="E34" s="2"/>
      <c r="F34" s="2"/>
      <c r="G34" s="2"/>
    </row>
    <row r="35" spans="2:7" x14ac:dyDescent="0.25">
      <c r="B35" s="4">
        <v>45863</v>
      </c>
      <c r="C35" s="2" t="s">
        <v>4696</v>
      </c>
      <c r="D35" s="2"/>
      <c r="E35" s="2"/>
      <c r="F35" s="2"/>
      <c r="G35" s="2"/>
    </row>
    <row r="36" spans="2:7" x14ac:dyDescent="0.25">
      <c r="B36" s="4">
        <v>45864</v>
      </c>
      <c r="C36" s="2" t="s">
        <v>4709</v>
      </c>
      <c r="D36" s="2"/>
      <c r="E36" s="2"/>
      <c r="F36" s="2"/>
      <c r="G36" s="2"/>
    </row>
    <row r="37" spans="2:7" x14ac:dyDescent="0.25">
      <c r="B37" s="4">
        <v>45865</v>
      </c>
      <c r="C37" s="2" t="s">
        <v>4708</v>
      </c>
      <c r="D37" s="2"/>
      <c r="E37" s="2"/>
      <c r="F37" s="2"/>
      <c r="G37" s="2"/>
    </row>
    <row r="38" spans="2:7" x14ac:dyDescent="0.25">
      <c r="B38" s="4">
        <v>45866</v>
      </c>
      <c r="C38" s="2" t="s">
        <v>1178</v>
      </c>
      <c r="D38" s="2"/>
      <c r="E38" s="2"/>
      <c r="F38" s="2"/>
      <c r="G38" s="2"/>
    </row>
    <row r="39" spans="2:7" x14ac:dyDescent="0.25">
      <c r="B39" s="4">
        <v>45867</v>
      </c>
      <c r="C39" s="2"/>
      <c r="D39" s="2"/>
      <c r="E39" s="2"/>
      <c r="F39" s="2"/>
      <c r="G39" s="2"/>
    </row>
    <row r="40" spans="2:7" x14ac:dyDescent="0.25">
      <c r="B40" s="4">
        <v>45868</v>
      </c>
      <c r="C40" s="2"/>
      <c r="D40" s="2"/>
      <c r="E40" s="2"/>
      <c r="F40" s="2"/>
      <c r="G40" s="2"/>
    </row>
    <row r="41" spans="2:7" x14ac:dyDescent="0.25">
      <c r="B41" s="4">
        <v>45869</v>
      </c>
      <c r="C41" s="2"/>
      <c r="D41" s="2"/>
      <c r="E41" s="2"/>
      <c r="F41" s="2"/>
      <c r="G41" s="2"/>
    </row>
    <row r="42" spans="2:7" x14ac:dyDescent="0.25">
      <c r="B42" s="4">
        <v>45870</v>
      </c>
      <c r="C42" s="2"/>
      <c r="D42" s="2"/>
      <c r="E42" s="2"/>
      <c r="F42" s="2"/>
      <c r="G42" s="2"/>
    </row>
    <row r="43" spans="2:7" x14ac:dyDescent="0.25">
      <c r="B43" s="2"/>
      <c r="C43" s="2"/>
      <c r="D43" s="2"/>
      <c r="E43" s="2"/>
      <c r="F43" s="2"/>
      <c r="G43" s="2"/>
    </row>
    <row r="44" spans="2:7" x14ac:dyDescent="0.25">
      <c r="B44" s="2"/>
      <c r="C44" s="2"/>
      <c r="D44" s="2"/>
      <c r="E44" s="2"/>
      <c r="F44" s="2"/>
      <c r="G44" s="2"/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B2:G38"/>
  <sheetViews>
    <sheetView topLeftCell="A13" workbookViewId="0">
      <selection activeCell="C30" sqref="C30"/>
    </sheetView>
  </sheetViews>
  <sheetFormatPr defaultRowHeight="15" x14ac:dyDescent="0.25"/>
  <cols>
    <col min="2" max="2" width="16.28515625" bestFit="1" customWidth="1"/>
    <col min="3" max="3" width="72" bestFit="1" customWidth="1"/>
    <col min="4" max="4" width="42.140625" bestFit="1" customWidth="1"/>
  </cols>
  <sheetData>
    <row r="2" spans="2:7" x14ac:dyDescent="0.25">
      <c r="B2" s="53" t="s">
        <v>954</v>
      </c>
    </row>
    <row r="3" spans="2:7" ht="15.75" x14ac:dyDescent="0.25">
      <c r="B3" s="10" t="s">
        <v>0</v>
      </c>
      <c r="C3" s="11" t="s">
        <v>1</v>
      </c>
      <c r="D3" s="11" t="s">
        <v>2</v>
      </c>
      <c r="E3" s="11" t="s">
        <v>934</v>
      </c>
      <c r="F3" s="11" t="s">
        <v>1095</v>
      </c>
      <c r="G3" s="11" t="s">
        <v>1507</v>
      </c>
    </row>
    <row r="4" spans="2:7" x14ac:dyDescent="0.25">
      <c r="B4" s="4">
        <v>45832</v>
      </c>
      <c r="C4" s="2" t="s">
        <v>1528</v>
      </c>
      <c r="D4" s="2"/>
      <c r="E4" s="23">
        <v>0</v>
      </c>
      <c r="F4" s="2"/>
      <c r="G4" s="2"/>
    </row>
    <row r="5" spans="2:7" x14ac:dyDescent="0.25">
      <c r="B5" s="4">
        <v>45833</v>
      </c>
      <c r="C5" s="2" t="s">
        <v>4401</v>
      </c>
      <c r="D5" s="2" t="s">
        <v>4421</v>
      </c>
      <c r="E5" s="23">
        <v>10</v>
      </c>
      <c r="F5" s="2">
        <f t="shared" ref="F5:F22" si="0">E5-E4</f>
        <v>10</v>
      </c>
      <c r="G5" s="2"/>
    </row>
    <row r="6" spans="2:7" x14ac:dyDescent="0.25">
      <c r="B6" s="4">
        <v>45834</v>
      </c>
      <c r="C6" s="2" t="s">
        <v>2354</v>
      </c>
      <c r="D6" s="2"/>
      <c r="E6" s="23">
        <v>10</v>
      </c>
      <c r="F6" s="2">
        <f t="shared" si="0"/>
        <v>0</v>
      </c>
      <c r="G6" s="2"/>
    </row>
    <row r="7" spans="2:7" x14ac:dyDescent="0.25">
      <c r="B7" s="4">
        <v>45835</v>
      </c>
      <c r="C7" s="2" t="s">
        <v>2354</v>
      </c>
      <c r="D7" s="58"/>
      <c r="E7" s="23">
        <v>10</v>
      </c>
      <c r="F7" s="2">
        <f t="shared" si="0"/>
        <v>0</v>
      </c>
      <c r="G7" s="2"/>
    </row>
    <row r="8" spans="2:7" x14ac:dyDescent="0.25">
      <c r="B8" s="4">
        <v>45836</v>
      </c>
      <c r="C8" s="2" t="s">
        <v>2354</v>
      </c>
      <c r="D8" s="58"/>
      <c r="E8" s="23">
        <v>10</v>
      </c>
      <c r="F8" s="2">
        <f t="shared" si="0"/>
        <v>0</v>
      </c>
      <c r="G8" s="2"/>
    </row>
    <row r="9" spans="2:7" x14ac:dyDescent="0.25">
      <c r="B9" s="4">
        <v>45837</v>
      </c>
      <c r="C9" s="2" t="s">
        <v>2354</v>
      </c>
      <c r="D9" s="58"/>
      <c r="E9" s="23">
        <v>10</v>
      </c>
      <c r="F9" s="2">
        <f t="shared" si="0"/>
        <v>0</v>
      </c>
      <c r="G9" s="2"/>
    </row>
    <row r="10" spans="2:7" x14ac:dyDescent="0.25">
      <c r="B10" s="4">
        <v>45838</v>
      </c>
      <c r="C10" s="2" t="s">
        <v>4455</v>
      </c>
      <c r="D10" s="2"/>
      <c r="E10" s="23">
        <v>10</v>
      </c>
      <c r="F10" s="2">
        <f t="shared" si="0"/>
        <v>0</v>
      </c>
      <c r="G10" s="2"/>
    </row>
    <row r="11" spans="2:7" x14ac:dyDescent="0.25">
      <c r="B11" s="4">
        <v>45839</v>
      </c>
      <c r="C11" s="2" t="s">
        <v>4485</v>
      </c>
      <c r="D11" s="2"/>
      <c r="E11" s="23">
        <v>75</v>
      </c>
      <c r="F11" s="2">
        <f t="shared" si="0"/>
        <v>65</v>
      </c>
      <c r="G11" s="2"/>
    </row>
    <row r="12" spans="2:7" x14ac:dyDescent="0.25">
      <c r="B12" s="4">
        <v>45840</v>
      </c>
      <c r="C12" s="2" t="s">
        <v>2851</v>
      </c>
      <c r="D12" s="2"/>
      <c r="E12" s="23">
        <v>90</v>
      </c>
      <c r="F12" s="2">
        <f t="shared" si="0"/>
        <v>15</v>
      </c>
      <c r="G12" s="2"/>
    </row>
    <row r="13" spans="2:7" x14ac:dyDescent="0.25">
      <c r="B13" s="4">
        <v>45841</v>
      </c>
      <c r="C13" s="2" t="s">
        <v>2952</v>
      </c>
      <c r="D13" s="2"/>
      <c r="E13" s="23">
        <v>109</v>
      </c>
      <c r="F13" s="2">
        <f t="shared" si="0"/>
        <v>19</v>
      </c>
      <c r="G13" s="2"/>
    </row>
    <row r="14" spans="2:7" x14ac:dyDescent="0.25">
      <c r="B14" s="4">
        <v>45842</v>
      </c>
      <c r="C14" s="2" t="s">
        <v>4529</v>
      </c>
      <c r="D14" s="2"/>
      <c r="E14" s="23">
        <v>111</v>
      </c>
      <c r="F14" s="2">
        <f t="shared" si="0"/>
        <v>2</v>
      </c>
      <c r="G14" s="2"/>
    </row>
    <row r="15" spans="2:7" x14ac:dyDescent="0.25">
      <c r="B15" s="4">
        <v>45843</v>
      </c>
      <c r="C15" s="2" t="s">
        <v>4528</v>
      </c>
      <c r="D15" s="2"/>
      <c r="E15" s="23">
        <v>127</v>
      </c>
      <c r="F15" s="2">
        <f t="shared" si="0"/>
        <v>16</v>
      </c>
      <c r="G15" s="2"/>
    </row>
    <row r="16" spans="2:7" x14ac:dyDescent="0.25">
      <c r="B16" s="4">
        <v>45844</v>
      </c>
      <c r="C16" s="2" t="s">
        <v>3120</v>
      </c>
      <c r="D16" s="2"/>
      <c r="E16" s="23">
        <v>138</v>
      </c>
      <c r="F16" s="2">
        <f t="shared" si="0"/>
        <v>11</v>
      </c>
      <c r="G16" s="2"/>
    </row>
    <row r="17" spans="2:7" x14ac:dyDescent="0.25">
      <c r="B17" s="4">
        <v>45845</v>
      </c>
      <c r="C17" s="2" t="s">
        <v>4542</v>
      </c>
      <c r="D17" s="2"/>
      <c r="E17" s="23">
        <v>150</v>
      </c>
      <c r="F17" s="2">
        <f t="shared" si="0"/>
        <v>12</v>
      </c>
      <c r="G17" s="2"/>
    </row>
    <row r="18" spans="2:7" x14ac:dyDescent="0.25">
      <c r="B18" s="4">
        <v>45846</v>
      </c>
      <c r="C18" s="2" t="s">
        <v>4548</v>
      </c>
      <c r="D18" s="2"/>
      <c r="E18" s="23"/>
      <c r="F18" s="2">
        <f t="shared" si="0"/>
        <v>-150</v>
      </c>
      <c r="G18" s="2"/>
    </row>
    <row r="19" spans="2:7" x14ac:dyDescent="0.25">
      <c r="B19" s="4">
        <v>45847</v>
      </c>
      <c r="C19" s="2" t="s">
        <v>1178</v>
      </c>
      <c r="D19" s="2"/>
      <c r="E19" s="23"/>
      <c r="F19" s="2">
        <f t="shared" si="0"/>
        <v>0</v>
      </c>
      <c r="G19" s="2"/>
    </row>
    <row r="20" spans="2:7" x14ac:dyDescent="0.25">
      <c r="B20" s="4">
        <v>45848</v>
      </c>
      <c r="C20" s="2" t="s">
        <v>149</v>
      </c>
      <c r="D20" s="2"/>
      <c r="E20" s="23"/>
      <c r="F20" s="2">
        <f t="shared" si="0"/>
        <v>0</v>
      </c>
      <c r="G20" s="2"/>
    </row>
    <row r="21" spans="2:7" x14ac:dyDescent="0.25">
      <c r="B21" s="4">
        <v>45849</v>
      </c>
      <c r="C21" s="2" t="s">
        <v>149</v>
      </c>
      <c r="D21" s="2"/>
      <c r="E21" s="23"/>
      <c r="F21" s="2">
        <f t="shared" si="0"/>
        <v>0</v>
      </c>
      <c r="G21" s="2"/>
    </row>
    <row r="22" spans="2:7" x14ac:dyDescent="0.25">
      <c r="B22" s="4">
        <v>45850</v>
      </c>
      <c r="C22" s="2" t="s">
        <v>4576</v>
      </c>
      <c r="D22" s="2" t="s">
        <v>4577</v>
      </c>
      <c r="E22" s="23"/>
      <c r="F22" s="2">
        <f t="shared" si="0"/>
        <v>0</v>
      </c>
      <c r="G22" s="2"/>
    </row>
    <row r="23" spans="2:7" x14ac:dyDescent="0.25">
      <c r="B23" s="4">
        <v>45851</v>
      </c>
      <c r="C23" s="2"/>
      <c r="D23" s="2" t="s">
        <v>4597</v>
      </c>
      <c r="E23" s="23"/>
      <c r="F23" s="2"/>
      <c r="G23" s="2"/>
    </row>
    <row r="24" spans="2:7" x14ac:dyDescent="0.25">
      <c r="B24" s="4">
        <v>45852</v>
      </c>
      <c r="C24" s="2"/>
      <c r="D24" s="2"/>
      <c r="E24" s="2"/>
      <c r="F24" s="2"/>
      <c r="G24" s="2"/>
    </row>
    <row r="25" spans="2:7" x14ac:dyDescent="0.25">
      <c r="B25" s="4">
        <v>45853</v>
      </c>
      <c r="C25" s="2"/>
      <c r="D25" s="2"/>
      <c r="E25" s="2"/>
      <c r="F25" s="2"/>
      <c r="G25" s="2"/>
    </row>
    <row r="26" spans="2:7" x14ac:dyDescent="0.25">
      <c r="B26" s="4">
        <v>45854</v>
      </c>
      <c r="C26" s="2"/>
      <c r="D26" s="2"/>
      <c r="E26" s="2"/>
      <c r="F26" s="2"/>
      <c r="G26" s="2"/>
    </row>
    <row r="27" spans="2:7" x14ac:dyDescent="0.25">
      <c r="B27" s="4">
        <v>45855</v>
      </c>
      <c r="C27" s="2"/>
      <c r="D27" s="2"/>
      <c r="E27" s="2"/>
      <c r="F27" s="2"/>
      <c r="G27" s="2"/>
    </row>
    <row r="28" spans="2:7" x14ac:dyDescent="0.25">
      <c r="B28" s="4">
        <v>45856</v>
      </c>
      <c r="C28" s="2"/>
      <c r="D28" s="2"/>
      <c r="E28" s="2"/>
      <c r="F28" s="2"/>
      <c r="G28" s="2"/>
    </row>
    <row r="29" spans="2:7" x14ac:dyDescent="0.25">
      <c r="B29" s="2"/>
      <c r="C29" s="2"/>
      <c r="D29" s="2"/>
      <c r="E29" s="2"/>
      <c r="F29" s="2"/>
      <c r="G29" s="2"/>
    </row>
    <row r="30" spans="2:7" x14ac:dyDescent="0.25">
      <c r="B30" s="2"/>
      <c r="C30" s="2"/>
      <c r="D30" s="2"/>
      <c r="E30" s="2"/>
      <c r="F30" s="2"/>
      <c r="G30" s="2"/>
    </row>
    <row r="31" spans="2:7" x14ac:dyDescent="0.25">
      <c r="B31" s="2"/>
      <c r="C31" s="2"/>
      <c r="D31" s="2"/>
      <c r="E31" s="2"/>
      <c r="F31" s="2"/>
      <c r="G31" s="2"/>
    </row>
    <row r="32" spans="2:7" x14ac:dyDescent="0.25">
      <c r="B32" s="2"/>
      <c r="C32" s="2"/>
      <c r="D32" s="2"/>
      <c r="E32" s="2"/>
      <c r="F32" s="2"/>
      <c r="G32" s="2"/>
    </row>
    <row r="33" spans="2:7" x14ac:dyDescent="0.25">
      <c r="B33" s="2"/>
      <c r="C33" s="2"/>
      <c r="D33" s="2"/>
      <c r="E33" s="2"/>
      <c r="F33" s="2"/>
      <c r="G33" s="2"/>
    </row>
    <row r="34" spans="2:7" x14ac:dyDescent="0.25">
      <c r="B34" s="2"/>
      <c r="C34" s="2"/>
      <c r="D34" s="2"/>
      <c r="E34" s="2"/>
      <c r="F34" s="2"/>
      <c r="G34" s="2"/>
    </row>
    <row r="35" spans="2:7" x14ac:dyDescent="0.25">
      <c r="B35" s="2"/>
      <c r="C35" s="2"/>
      <c r="D35" s="2"/>
      <c r="E35" s="2"/>
      <c r="F35" s="2"/>
      <c r="G35" s="2"/>
    </row>
    <row r="36" spans="2:7" x14ac:dyDescent="0.25">
      <c r="B36" s="2"/>
      <c r="C36" s="2"/>
      <c r="D36" s="2"/>
      <c r="E36" s="2"/>
      <c r="F36" s="2"/>
      <c r="G36" s="2"/>
    </row>
    <row r="37" spans="2:7" x14ac:dyDescent="0.25">
      <c r="B37" s="2"/>
      <c r="C37" s="2"/>
      <c r="D37" s="2"/>
      <c r="E37" s="2"/>
      <c r="F37" s="2"/>
      <c r="G37" s="2"/>
    </row>
    <row r="38" spans="2:7" x14ac:dyDescent="0.25">
      <c r="B38" s="2"/>
      <c r="C38" s="2"/>
      <c r="D38" s="2"/>
      <c r="E38" s="2"/>
      <c r="F38" s="2"/>
      <c r="G38" s="2"/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B2:G22"/>
  <sheetViews>
    <sheetView workbookViewId="0">
      <selection activeCell="C13" sqref="C13"/>
    </sheetView>
  </sheetViews>
  <sheetFormatPr defaultRowHeight="15" x14ac:dyDescent="0.25"/>
  <cols>
    <col min="2" max="2" width="13.28515625" bestFit="1" customWidth="1"/>
    <col min="3" max="3" width="72" bestFit="1" customWidth="1"/>
    <col min="4" max="4" width="42.140625" bestFit="1" customWidth="1"/>
  </cols>
  <sheetData>
    <row r="2" spans="2:7" x14ac:dyDescent="0.25">
      <c r="B2" s="53" t="s">
        <v>4500</v>
      </c>
    </row>
    <row r="3" spans="2:7" ht="15.75" x14ac:dyDescent="0.25">
      <c r="B3" s="10" t="s">
        <v>0</v>
      </c>
      <c r="C3" s="11" t="s">
        <v>1</v>
      </c>
      <c r="D3" s="11" t="s">
        <v>2</v>
      </c>
      <c r="E3" s="11" t="s">
        <v>934</v>
      </c>
      <c r="F3" s="11" t="s">
        <v>1095</v>
      </c>
      <c r="G3" s="11" t="s">
        <v>1507</v>
      </c>
    </row>
    <row r="4" spans="2:7" x14ac:dyDescent="0.25">
      <c r="B4" s="4">
        <v>45837</v>
      </c>
      <c r="C4" s="2" t="s">
        <v>1528</v>
      </c>
      <c r="D4" s="2"/>
      <c r="E4" s="23">
        <v>0</v>
      </c>
      <c r="F4" s="2"/>
      <c r="G4" s="2"/>
    </row>
    <row r="5" spans="2:7" x14ac:dyDescent="0.25">
      <c r="B5" s="4">
        <v>45838</v>
      </c>
      <c r="C5" s="2" t="s">
        <v>279</v>
      </c>
      <c r="D5" s="2"/>
      <c r="E5" s="23">
        <v>0</v>
      </c>
      <c r="F5" s="2">
        <f>E5-E4</f>
        <v>0</v>
      </c>
      <c r="G5" s="2"/>
    </row>
    <row r="6" spans="2:7" x14ac:dyDescent="0.25">
      <c r="B6" s="4">
        <v>45839</v>
      </c>
      <c r="C6" s="2" t="s">
        <v>4501</v>
      </c>
      <c r="D6" s="2"/>
      <c r="E6" s="23">
        <v>0</v>
      </c>
      <c r="F6" s="2">
        <f t="shared" ref="F6:F20" si="0">E6-E5</f>
        <v>0</v>
      </c>
      <c r="G6" s="2"/>
    </row>
    <row r="7" spans="2:7" x14ac:dyDescent="0.25">
      <c r="B7" s="4">
        <v>45840</v>
      </c>
      <c r="C7" s="2" t="s">
        <v>4502</v>
      </c>
      <c r="D7" s="58"/>
      <c r="E7" s="23">
        <v>33</v>
      </c>
      <c r="F7" s="2">
        <f t="shared" si="0"/>
        <v>33</v>
      </c>
      <c r="G7" s="2"/>
    </row>
    <row r="8" spans="2:7" x14ac:dyDescent="0.25">
      <c r="B8" s="4">
        <v>45841</v>
      </c>
      <c r="C8" s="2" t="s">
        <v>4503</v>
      </c>
      <c r="D8" s="58"/>
      <c r="E8" s="23">
        <v>100</v>
      </c>
      <c r="F8" s="2">
        <f t="shared" si="0"/>
        <v>67</v>
      </c>
      <c r="G8" s="2"/>
    </row>
    <row r="9" spans="2:7" x14ac:dyDescent="0.25">
      <c r="B9" s="4">
        <v>45842</v>
      </c>
      <c r="C9" s="2" t="s">
        <v>1827</v>
      </c>
      <c r="D9" s="58"/>
      <c r="E9" s="23"/>
      <c r="F9" s="2">
        <f t="shared" si="0"/>
        <v>-100</v>
      </c>
      <c r="G9" s="2"/>
    </row>
    <row r="10" spans="2:7" x14ac:dyDescent="0.25">
      <c r="B10" s="4">
        <v>45843</v>
      </c>
      <c r="C10" s="2" t="s">
        <v>1178</v>
      </c>
      <c r="D10" s="2"/>
      <c r="E10" s="23"/>
      <c r="F10" s="2">
        <f t="shared" si="0"/>
        <v>0</v>
      </c>
      <c r="G10" s="2"/>
    </row>
    <row r="11" spans="2:7" x14ac:dyDescent="0.25">
      <c r="B11" s="4">
        <v>45844</v>
      </c>
      <c r="C11" s="2" t="s">
        <v>4530</v>
      </c>
      <c r="D11" s="2" t="s">
        <v>2777</v>
      </c>
      <c r="E11" s="23"/>
      <c r="F11" s="2">
        <f t="shared" si="0"/>
        <v>0</v>
      </c>
      <c r="G11" s="2"/>
    </row>
    <row r="12" spans="2:7" x14ac:dyDescent="0.25">
      <c r="B12" s="4">
        <v>45845</v>
      </c>
      <c r="C12" s="2"/>
      <c r="D12" s="2" t="s">
        <v>4532</v>
      </c>
      <c r="E12" s="23"/>
      <c r="F12" s="2">
        <f t="shared" si="0"/>
        <v>0</v>
      </c>
      <c r="G12" s="2"/>
    </row>
    <row r="13" spans="2:7" x14ac:dyDescent="0.25">
      <c r="B13" s="4">
        <v>45846</v>
      </c>
      <c r="C13" s="2"/>
      <c r="D13" s="2"/>
      <c r="E13" s="23"/>
      <c r="F13" s="2">
        <f t="shared" si="0"/>
        <v>0</v>
      </c>
      <c r="G13" s="2"/>
    </row>
    <row r="14" spans="2:7" x14ac:dyDescent="0.25">
      <c r="B14" s="4">
        <v>45847</v>
      </c>
      <c r="C14" s="2"/>
      <c r="D14" s="2"/>
      <c r="E14" s="2"/>
      <c r="F14" s="2">
        <f t="shared" si="0"/>
        <v>0</v>
      </c>
      <c r="G14" s="2"/>
    </row>
    <row r="15" spans="2:7" x14ac:dyDescent="0.25">
      <c r="B15" s="4">
        <v>45848</v>
      </c>
      <c r="C15" s="2"/>
      <c r="D15" s="2"/>
      <c r="E15" s="2"/>
      <c r="F15" s="2">
        <f t="shared" si="0"/>
        <v>0</v>
      </c>
      <c r="G15" s="2"/>
    </row>
    <row r="16" spans="2:7" x14ac:dyDescent="0.25">
      <c r="B16" s="4">
        <v>45849</v>
      </c>
      <c r="C16" s="2"/>
      <c r="D16" s="2"/>
      <c r="E16" s="2"/>
      <c r="F16" s="2">
        <f t="shared" si="0"/>
        <v>0</v>
      </c>
      <c r="G16" s="2"/>
    </row>
    <row r="17" spans="2:7" x14ac:dyDescent="0.25">
      <c r="B17" s="4">
        <v>45850</v>
      </c>
      <c r="C17" s="2"/>
      <c r="D17" s="2"/>
      <c r="E17" s="2"/>
      <c r="F17" s="2">
        <f t="shared" si="0"/>
        <v>0</v>
      </c>
      <c r="G17" s="2"/>
    </row>
    <row r="18" spans="2:7" x14ac:dyDescent="0.25">
      <c r="B18" s="4">
        <v>45851</v>
      </c>
      <c r="C18" s="2"/>
      <c r="D18" s="2"/>
      <c r="E18" s="2"/>
      <c r="F18" s="2">
        <f t="shared" si="0"/>
        <v>0</v>
      </c>
      <c r="G18" s="2"/>
    </row>
    <row r="19" spans="2:7" x14ac:dyDescent="0.25">
      <c r="B19" s="4">
        <v>45852</v>
      </c>
      <c r="C19" s="2"/>
      <c r="D19" s="2"/>
      <c r="E19" s="2"/>
      <c r="F19" s="2">
        <f t="shared" si="0"/>
        <v>0</v>
      </c>
      <c r="G19" s="2"/>
    </row>
    <row r="20" spans="2:7" x14ac:dyDescent="0.25">
      <c r="B20" s="4">
        <v>45853</v>
      </c>
      <c r="C20" s="2"/>
      <c r="D20" s="2"/>
      <c r="E20" s="2"/>
      <c r="F20" s="2">
        <f t="shared" si="0"/>
        <v>0</v>
      </c>
      <c r="G20" s="2"/>
    </row>
    <row r="21" spans="2:7" x14ac:dyDescent="0.25">
      <c r="B21" s="4">
        <v>45854</v>
      </c>
      <c r="C21" s="2"/>
      <c r="D21" s="2"/>
      <c r="E21" s="2"/>
      <c r="F21" s="2"/>
      <c r="G21" s="2"/>
    </row>
    <row r="22" spans="2:7" x14ac:dyDescent="0.25">
      <c r="B22" s="4">
        <v>45855</v>
      </c>
      <c r="C22" s="2"/>
      <c r="D22" s="2"/>
      <c r="E22" s="2"/>
      <c r="F22" s="2"/>
      <c r="G22" s="2"/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B2:G38"/>
  <sheetViews>
    <sheetView workbookViewId="0">
      <selection activeCell="D29" sqref="D29"/>
    </sheetView>
  </sheetViews>
  <sheetFormatPr defaultRowHeight="15" x14ac:dyDescent="0.25"/>
  <cols>
    <col min="2" max="2" width="16.28515625" bestFit="1" customWidth="1"/>
    <col min="3" max="3" width="72" bestFit="1" customWidth="1"/>
    <col min="4" max="4" width="42.140625" bestFit="1" customWidth="1"/>
  </cols>
  <sheetData>
    <row r="2" spans="2:7" x14ac:dyDescent="0.25">
      <c r="B2" s="53" t="s">
        <v>4415</v>
      </c>
    </row>
    <row r="3" spans="2:7" ht="15.75" x14ac:dyDescent="0.25">
      <c r="B3" s="10" t="s">
        <v>0</v>
      </c>
      <c r="C3" s="11" t="s">
        <v>1</v>
      </c>
      <c r="D3" s="11" t="s">
        <v>2</v>
      </c>
      <c r="E3" s="11" t="s">
        <v>934</v>
      </c>
      <c r="F3" s="11" t="s">
        <v>1095</v>
      </c>
      <c r="G3" s="11" t="s">
        <v>1507</v>
      </c>
    </row>
    <row r="4" spans="2:7" x14ac:dyDescent="0.25">
      <c r="B4" s="4">
        <v>45833</v>
      </c>
      <c r="C4" s="2" t="s">
        <v>1528</v>
      </c>
      <c r="D4" s="2"/>
      <c r="E4" s="23">
        <v>0</v>
      </c>
      <c r="F4" s="2"/>
      <c r="G4" s="2"/>
    </row>
    <row r="5" spans="2:7" x14ac:dyDescent="0.25">
      <c r="B5" s="4">
        <v>45833</v>
      </c>
      <c r="C5" s="2" t="s">
        <v>4416</v>
      </c>
      <c r="D5" s="2"/>
      <c r="E5" s="23">
        <v>12</v>
      </c>
      <c r="F5" s="2">
        <f>E5-E4</f>
        <v>12</v>
      </c>
      <c r="G5" s="2"/>
    </row>
    <row r="6" spans="2:7" x14ac:dyDescent="0.25">
      <c r="B6" s="4">
        <v>45834</v>
      </c>
      <c r="C6" s="2" t="s">
        <v>4423</v>
      </c>
      <c r="D6" s="2"/>
      <c r="E6" s="23">
        <v>40</v>
      </c>
      <c r="F6" s="2">
        <f t="shared" ref="F6:F20" si="0">E6-E5</f>
        <v>28</v>
      </c>
      <c r="G6" s="2"/>
    </row>
    <row r="7" spans="2:7" x14ac:dyDescent="0.25">
      <c r="B7" s="4">
        <v>45835</v>
      </c>
      <c r="C7" s="2" t="s">
        <v>4422</v>
      </c>
      <c r="D7" s="58"/>
      <c r="E7" s="23">
        <v>50</v>
      </c>
      <c r="F7" s="2">
        <f t="shared" si="0"/>
        <v>10</v>
      </c>
      <c r="G7" s="2"/>
    </row>
    <row r="8" spans="2:7" x14ac:dyDescent="0.25">
      <c r="B8" s="4">
        <v>45836</v>
      </c>
      <c r="C8" s="2" t="s">
        <v>4454</v>
      </c>
      <c r="D8" s="58"/>
      <c r="E8" s="23">
        <v>56</v>
      </c>
      <c r="F8" s="2">
        <f t="shared" si="0"/>
        <v>6</v>
      </c>
      <c r="G8" s="2"/>
    </row>
    <row r="9" spans="2:7" x14ac:dyDescent="0.25">
      <c r="B9" s="4">
        <v>45837</v>
      </c>
      <c r="C9" s="2" t="s">
        <v>4454</v>
      </c>
      <c r="D9" s="58"/>
      <c r="E9" s="23">
        <v>56</v>
      </c>
      <c r="F9" s="2">
        <f t="shared" si="0"/>
        <v>0</v>
      </c>
      <c r="G9" s="2"/>
    </row>
    <row r="10" spans="2:7" x14ac:dyDescent="0.25">
      <c r="B10" s="4">
        <v>45838</v>
      </c>
      <c r="C10" s="2" t="s">
        <v>4483</v>
      </c>
      <c r="D10" s="2"/>
      <c r="E10" s="23">
        <v>57</v>
      </c>
      <c r="F10" s="2">
        <f t="shared" si="0"/>
        <v>1</v>
      </c>
      <c r="G10" s="2"/>
    </row>
    <row r="11" spans="2:7" x14ac:dyDescent="0.25">
      <c r="B11" s="4">
        <v>45839</v>
      </c>
      <c r="C11" s="2" t="s">
        <v>4484</v>
      </c>
      <c r="D11" s="2"/>
      <c r="E11" s="23">
        <v>57</v>
      </c>
      <c r="F11" s="2">
        <f t="shared" si="0"/>
        <v>0</v>
      </c>
      <c r="G11" s="2"/>
    </row>
    <row r="12" spans="2:7" x14ac:dyDescent="0.25">
      <c r="B12" s="4">
        <v>45840</v>
      </c>
      <c r="C12" s="2" t="s">
        <v>4498</v>
      </c>
      <c r="D12" s="2"/>
      <c r="E12" s="23">
        <v>58</v>
      </c>
      <c r="F12" s="2">
        <f t="shared" si="0"/>
        <v>1</v>
      </c>
      <c r="G12" s="2"/>
    </row>
    <row r="13" spans="2:7" x14ac:dyDescent="0.25">
      <c r="B13" s="4">
        <v>45841</v>
      </c>
      <c r="C13" s="2"/>
      <c r="D13" s="2"/>
      <c r="E13" s="23">
        <v>58</v>
      </c>
      <c r="F13" s="2">
        <f t="shared" si="0"/>
        <v>0</v>
      </c>
      <c r="G13" s="2"/>
    </row>
    <row r="14" spans="2:7" x14ac:dyDescent="0.25">
      <c r="B14" s="4">
        <v>45842</v>
      </c>
      <c r="C14" s="2"/>
      <c r="D14" s="2"/>
      <c r="E14" s="23">
        <v>58</v>
      </c>
      <c r="F14" s="2">
        <f t="shared" si="0"/>
        <v>0</v>
      </c>
      <c r="G14" s="2"/>
    </row>
    <row r="15" spans="2:7" x14ac:dyDescent="0.25">
      <c r="B15" s="4">
        <v>45843</v>
      </c>
      <c r="C15" s="2"/>
      <c r="D15" s="2"/>
      <c r="E15" s="23">
        <v>58</v>
      </c>
      <c r="F15" s="2">
        <f t="shared" si="0"/>
        <v>0</v>
      </c>
      <c r="G15" s="2"/>
    </row>
    <row r="16" spans="2:7" x14ac:dyDescent="0.25">
      <c r="B16" s="4">
        <v>45844</v>
      </c>
      <c r="C16" s="2" t="s">
        <v>4402</v>
      </c>
      <c r="D16" s="2"/>
      <c r="E16" s="23">
        <v>60</v>
      </c>
      <c r="F16" s="2">
        <f t="shared" si="0"/>
        <v>2</v>
      </c>
      <c r="G16" s="2"/>
    </row>
    <row r="17" spans="2:7" x14ac:dyDescent="0.25">
      <c r="B17" s="4">
        <v>45845</v>
      </c>
      <c r="C17" s="2" t="s">
        <v>4538</v>
      </c>
      <c r="D17" s="2"/>
      <c r="E17" s="23"/>
      <c r="F17" s="2">
        <f t="shared" si="0"/>
        <v>-60</v>
      </c>
      <c r="G17" s="2"/>
    </row>
    <row r="18" spans="2:7" x14ac:dyDescent="0.25">
      <c r="B18" s="4">
        <v>45846</v>
      </c>
      <c r="C18" s="2" t="s">
        <v>3317</v>
      </c>
      <c r="D18" s="2" t="s">
        <v>4514</v>
      </c>
      <c r="E18" s="23"/>
      <c r="F18" s="2">
        <f t="shared" si="0"/>
        <v>0</v>
      </c>
      <c r="G18" s="2"/>
    </row>
    <row r="19" spans="2:7" x14ac:dyDescent="0.25">
      <c r="B19" s="4">
        <v>45847</v>
      </c>
      <c r="C19" s="2"/>
      <c r="D19" s="2" t="s">
        <v>4603</v>
      </c>
      <c r="E19" s="23"/>
      <c r="F19" s="2">
        <f t="shared" si="0"/>
        <v>0</v>
      </c>
      <c r="G19" s="2"/>
    </row>
    <row r="20" spans="2:7" x14ac:dyDescent="0.25">
      <c r="B20" s="4">
        <v>45848</v>
      </c>
      <c r="C20" s="2"/>
      <c r="D20" s="2"/>
      <c r="E20" s="23"/>
      <c r="F20" s="2">
        <f t="shared" si="0"/>
        <v>0</v>
      </c>
      <c r="G20" s="2"/>
    </row>
    <row r="21" spans="2:7" x14ac:dyDescent="0.25">
      <c r="B21" s="4">
        <v>45849</v>
      </c>
      <c r="C21" s="2"/>
      <c r="D21" s="2"/>
      <c r="E21" s="23"/>
      <c r="F21" s="2"/>
      <c r="G21" s="2"/>
    </row>
    <row r="22" spans="2:7" x14ac:dyDescent="0.25">
      <c r="B22" s="4">
        <v>45850</v>
      </c>
      <c r="C22" s="2"/>
      <c r="D22" s="2"/>
      <c r="E22" s="23"/>
      <c r="F22" s="2"/>
      <c r="G22" s="2"/>
    </row>
    <row r="23" spans="2:7" x14ac:dyDescent="0.25">
      <c r="B23" s="2"/>
      <c r="C23" s="2"/>
      <c r="D23" s="2"/>
      <c r="E23" s="2"/>
      <c r="F23" s="2"/>
      <c r="G23" s="2"/>
    </row>
    <row r="24" spans="2:7" x14ac:dyDescent="0.25">
      <c r="B24" s="2"/>
      <c r="C24" s="2"/>
      <c r="D24" s="2"/>
      <c r="E24" s="2"/>
      <c r="F24" s="2"/>
      <c r="G24" s="2"/>
    </row>
    <row r="25" spans="2:7" x14ac:dyDescent="0.25">
      <c r="B25" s="2"/>
      <c r="C25" s="2"/>
      <c r="D25" s="2"/>
      <c r="E25" s="2"/>
      <c r="F25" s="2"/>
      <c r="G25" s="2"/>
    </row>
    <row r="26" spans="2:7" x14ac:dyDescent="0.25">
      <c r="B26" s="2"/>
      <c r="C26" s="2"/>
      <c r="D26" s="2"/>
      <c r="E26" s="2"/>
      <c r="F26" s="2"/>
      <c r="G26" s="2"/>
    </row>
    <row r="27" spans="2:7" x14ac:dyDescent="0.25">
      <c r="B27" s="2"/>
      <c r="C27" s="2"/>
      <c r="D27" s="2"/>
      <c r="E27" s="2"/>
      <c r="F27" s="2"/>
      <c r="G27" s="2"/>
    </row>
    <row r="28" spans="2:7" x14ac:dyDescent="0.25">
      <c r="B28" s="2"/>
      <c r="C28" s="2"/>
      <c r="D28" s="2"/>
      <c r="E28" s="2"/>
      <c r="F28" s="2"/>
      <c r="G28" s="2"/>
    </row>
    <row r="29" spans="2:7" x14ac:dyDescent="0.25">
      <c r="B29" s="2"/>
      <c r="C29" s="2"/>
      <c r="D29" s="2"/>
      <c r="E29" s="2"/>
      <c r="F29" s="2"/>
      <c r="G29" s="2"/>
    </row>
    <row r="30" spans="2:7" x14ac:dyDescent="0.25">
      <c r="B30" s="2"/>
      <c r="C30" s="2"/>
      <c r="D30" s="2"/>
      <c r="E30" s="2"/>
      <c r="F30" s="2"/>
      <c r="G30" s="2"/>
    </row>
    <row r="31" spans="2:7" x14ac:dyDescent="0.25">
      <c r="B31" s="2"/>
      <c r="C31" s="2"/>
      <c r="D31" s="2"/>
      <c r="E31" s="2"/>
      <c r="F31" s="2"/>
      <c r="G31" s="2"/>
    </row>
    <row r="32" spans="2:7" x14ac:dyDescent="0.25">
      <c r="B32" s="2"/>
      <c r="C32" s="2"/>
      <c r="D32" s="2"/>
      <c r="E32" s="2"/>
      <c r="F32" s="2"/>
      <c r="G32" s="2"/>
    </row>
    <row r="33" spans="2:7" x14ac:dyDescent="0.25">
      <c r="B33" s="2"/>
      <c r="C33" s="2"/>
      <c r="D33" s="2"/>
      <c r="E33" s="2"/>
      <c r="F33" s="2"/>
      <c r="G33" s="2"/>
    </row>
    <row r="34" spans="2:7" x14ac:dyDescent="0.25">
      <c r="B34" s="2"/>
      <c r="C34" s="2"/>
      <c r="D34" s="2"/>
      <c r="E34" s="2"/>
      <c r="F34" s="2"/>
      <c r="G34" s="2"/>
    </row>
    <row r="35" spans="2:7" x14ac:dyDescent="0.25">
      <c r="B35" s="2"/>
      <c r="C35" s="2"/>
      <c r="D35" s="2"/>
      <c r="E35" s="2"/>
      <c r="F35" s="2"/>
      <c r="G35" s="2"/>
    </row>
    <row r="36" spans="2:7" x14ac:dyDescent="0.25">
      <c r="B36" s="2"/>
      <c r="C36" s="2"/>
      <c r="D36" s="2"/>
      <c r="E36" s="2"/>
      <c r="F36" s="2"/>
      <c r="G36" s="2"/>
    </row>
    <row r="37" spans="2:7" x14ac:dyDescent="0.25">
      <c r="B37" s="2"/>
      <c r="C37" s="2"/>
      <c r="D37" s="2"/>
      <c r="E37" s="2"/>
      <c r="F37" s="2"/>
      <c r="G37" s="2"/>
    </row>
    <row r="38" spans="2:7" x14ac:dyDescent="0.25">
      <c r="B38" s="2"/>
      <c r="C38" s="2"/>
      <c r="D38" s="2"/>
      <c r="E38" s="2"/>
      <c r="F38" s="2"/>
      <c r="G38" s="2"/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B2:G22"/>
  <sheetViews>
    <sheetView workbookViewId="0">
      <selection activeCell="D12" sqref="D12"/>
    </sheetView>
  </sheetViews>
  <sheetFormatPr defaultRowHeight="15" x14ac:dyDescent="0.25"/>
  <cols>
    <col min="2" max="2" width="16.28515625" bestFit="1" customWidth="1"/>
    <col min="3" max="3" width="72" bestFit="1" customWidth="1"/>
    <col min="4" max="4" width="42.140625" bestFit="1" customWidth="1"/>
  </cols>
  <sheetData>
    <row r="2" spans="2:7" x14ac:dyDescent="0.25">
      <c r="B2" s="53" t="s">
        <v>4500</v>
      </c>
    </row>
    <row r="3" spans="2:7" ht="15.75" x14ac:dyDescent="0.25">
      <c r="B3" s="10" t="s">
        <v>0</v>
      </c>
      <c r="C3" s="11" t="s">
        <v>1</v>
      </c>
      <c r="D3" s="11" t="s">
        <v>2</v>
      </c>
      <c r="E3" s="11" t="s">
        <v>934</v>
      </c>
      <c r="F3" s="11" t="s">
        <v>1095</v>
      </c>
      <c r="G3" s="11" t="s">
        <v>1507</v>
      </c>
    </row>
    <row r="4" spans="2:7" x14ac:dyDescent="0.25">
      <c r="B4" s="4">
        <v>45844</v>
      </c>
      <c r="C4" s="2" t="s">
        <v>1528</v>
      </c>
      <c r="D4" s="2"/>
      <c r="E4" s="23">
        <v>0</v>
      </c>
      <c r="F4" s="2"/>
      <c r="G4" s="2"/>
    </row>
    <row r="5" spans="2:7" x14ac:dyDescent="0.25">
      <c r="B5" s="4">
        <v>45845</v>
      </c>
      <c r="C5" s="2" t="s">
        <v>4537</v>
      </c>
      <c r="D5" s="2"/>
      <c r="E5" s="23">
        <v>10</v>
      </c>
      <c r="F5" s="2">
        <f>E5-E4</f>
        <v>10</v>
      </c>
      <c r="G5" s="2"/>
    </row>
    <row r="6" spans="2:7" x14ac:dyDescent="0.25">
      <c r="B6" s="4">
        <v>45846</v>
      </c>
      <c r="C6" s="2" t="s">
        <v>4545</v>
      </c>
      <c r="D6" s="2"/>
      <c r="E6" s="23">
        <v>43</v>
      </c>
      <c r="F6" s="2">
        <f t="shared" ref="F6:F20" si="0">E6-E5</f>
        <v>33</v>
      </c>
      <c r="G6" s="2"/>
    </row>
    <row r="7" spans="2:7" x14ac:dyDescent="0.25">
      <c r="B7" s="4">
        <v>45847</v>
      </c>
      <c r="C7" s="2" t="s">
        <v>4566</v>
      </c>
      <c r="D7" s="58"/>
      <c r="E7" s="23">
        <v>60</v>
      </c>
      <c r="F7" s="2">
        <f t="shared" si="0"/>
        <v>17</v>
      </c>
      <c r="G7" s="2"/>
    </row>
    <row r="8" spans="2:7" x14ac:dyDescent="0.25">
      <c r="B8" s="4">
        <v>45848</v>
      </c>
      <c r="C8" s="2" t="s">
        <v>4572</v>
      </c>
      <c r="D8" s="58"/>
      <c r="E8" s="23">
        <v>100</v>
      </c>
      <c r="F8" s="2">
        <f t="shared" si="0"/>
        <v>40</v>
      </c>
      <c r="G8" s="2"/>
    </row>
    <row r="9" spans="2:7" x14ac:dyDescent="0.25">
      <c r="B9" s="4">
        <v>45849</v>
      </c>
      <c r="C9" s="2" t="s">
        <v>1640</v>
      </c>
      <c r="D9" s="58"/>
      <c r="E9" s="23">
        <v>0</v>
      </c>
      <c r="F9" s="2">
        <f t="shared" si="0"/>
        <v>-100</v>
      </c>
      <c r="G9" s="2"/>
    </row>
    <row r="10" spans="2:7" x14ac:dyDescent="0.25">
      <c r="B10" s="4">
        <v>45850</v>
      </c>
      <c r="C10" s="2" t="s">
        <v>4573</v>
      </c>
      <c r="D10" s="2"/>
      <c r="E10" s="23">
        <v>60</v>
      </c>
      <c r="F10" s="2">
        <f t="shared" si="0"/>
        <v>60</v>
      </c>
      <c r="G10" s="2"/>
    </row>
    <row r="11" spans="2:7" x14ac:dyDescent="0.25">
      <c r="B11" s="4">
        <v>45851</v>
      </c>
      <c r="C11" s="2" t="s">
        <v>4574</v>
      </c>
      <c r="D11" s="2"/>
      <c r="E11" s="23">
        <v>100</v>
      </c>
      <c r="F11" s="2">
        <f t="shared" si="0"/>
        <v>40</v>
      </c>
      <c r="G11" s="2"/>
    </row>
    <row r="12" spans="2:7" x14ac:dyDescent="0.25">
      <c r="B12" s="4">
        <v>45852</v>
      </c>
      <c r="C12" s="2" t="s">
        <v>1178</v>
      </c>
      <c r="D12" s="2" t="s">
        <v>4514</v>
      </c>
      <c r="E12" s="23"/>
      <c r="F12" s="2">
        <f t="shared" si="0"/>
        <v>-100</v>
      </c>
      <c r="G12" s="2"/>
    </row>
    <row r="13" spans="2:7" x14ac:dyDescent="0.25">
      <c r="B13" s="4">
        <v>45853</v>
      </c>
      <c r="C13" s="2"/>
      <c r="D13" s="2"/>
      <c r="E13" s="23"/>
      <c r="F13" s="2">
        <f t="shared" si="0"/>
        <v>0</v>
      </c>
      <c r="G13" s="2"/>
    </row>
    <row r="14" spans="2:7" x14ac:dyDescent="0.25">
      <c r="B14" s="4">
        <v>45854</v>
      </c>
      <c r="C14" s="2"/>
      <c r="D14" s="2"/>
      <c r="E14" s="2"/>
      <c r="F14" s="2">
        <f t="shared" si="0"/>
        <v>0</v>
      </c>
      <c r="G14" s="2"/>
    </row>
    <row r="15" spans="2:7" x14ac:dyDescent="0.25">
      <c r="B15" s="4">
        <v>45855</v>
      </c>
      <c r="C15" s="2"/>
      <c r="D15" s="2"/>
      <c r="E15" s="2"/>
      <c r="F15" s="2">
        <f t="shared" si="0"/>
        <v>0</v>
      </c>
      <c r="G15" s="2"/>
    </row>
    <row r="16" spans="2:7" x14ac:dyDescent="0.25">
      <c r="B16" s="4">
        <v>45856</v>
      </c>
      <c r="C16" s="2"/>
      <c r="D16" s="2"/>
      <c r="E16" s="2"/>
      <c r="F16" s="2">
        <f t="shared" si="0"/>
        <v>0</v>
      </c>
      <c r="G16" s="2"/>
    </row>
    <row r="17" spans="2:7" x14ac:dyDescent="0.25">
      <c r="B17" s="4">
        <v>45857</v>
      </c>
      <c r="C17" s="2"/>
      <c r="D17" s="2"/>
      <c r="E17" s="2"/>
      <c r="F17" s="2">
        <f t="shared" si="0"/>
        <v>0</v>
      </c>
      <c r="G17" s="2"/>
    </row>
    <row r="18" spans="2:7" x14ac:dyDescent="0.25">
      <c r="B18" s="4">
        <v>45858</v>
      </c>
      <c r="C18" s="2"/>
      <c r="D18" s="2"/>
      <c r="E18" s="2"/>
      <c r="F18" s="2">
        <f t="shared" si="0"/>
        <v>0</v>
      </c>
      <c r="G18" s="2"/>
    </row>
    <row r="19" spans="2:7" x14ac:dyDescent="0.25">
      <c r="B19" s="4">
        <v>45859</v>
      </c>
      <c r="C19" s="2"/>
      <c r="D19" s="2"/>
      <c r="E19" s="2"/>
      <c r="F19" s="2">
        <f t="shared" si="0"/>
        <v>0</v>
      </c>
      <c r="G19" s="2"/>
    </row>
    <row r="20" spans="2:7" x14ac:dyDescent="0.25">
      <c r="B20" s="4">
        <v>45860</v>
      </c>
      <c r="C20" s="2"/>
      <c r="D20" s="2"/>
      <c r="E20" s="2"/>
      <c r="F20" s="2">
        <f t="shared" si="0"/>
        <v>0</v>
      </c>
      <c r="G20" s="2"/>
    </row>
    <row r="21" spans="2:7" x14ac:dyDescent="0.25">
      <c r="B21" s="4">
        <v>45861</v>
      </c>
      <c r="C21" s="2"/>
      <c r="D21" s="2"/>
      <c r="E21" s="2"/>
      <c r="F21" s="2"/>
      <c r="G21" s="2"/>
    </row>
    <row r="22" spans="2:7" x14ac:dyDescent="0.25">
      <c r="B22" s="4">
        <v>45862</v>
      </c>
      <c r="C22" s="2"/>
      <c r="D22" s="2"/>
      <c r="E22" s="2"/>
      <c r="F22" s="2"/>
      <c r="G22" s="2"/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B2:G22"/>
  <sheetViews>
    <sheetView topLeftCell="A7" workbookViewId="0">
      <selection activeCell="D27" sqref="D27"/>
    </sheetView>
  </sheetViews>
  <sheetFormatPr defaultRowHeight="15" x14ac:dyDescent="0.25"/>
  <cols>
    <col min="2" max="2" width="16.28515625" bestFit="1" customWidth="1"/>
    <col min="3" max="3" width="72" bestFit="1" customWidth="1"/>
    <col min="4" max="4" width="42.140625" bestFit="1" customWidth="1"/>
  </cols>
  <sheetData>
    <row r="2" spans="2:7" x14ac:dyDescent="0.25">
      <c r="B2" s="53" t="s">
        <v>954</v>
      </c>
    </row>
    <row r="3" spans="2:7" ht="15.75" x14ac:dyDescent="0.25">
      <c r="B3" s="10" t="s">
        <v>0</v>
      </c>
      <c r="C3" s="11" t="s">
        <v>1</v>
      </c>
      <c r="D3" s="11" t="s">
        <v>2</v>
      </c>
      <c r="E3" s="11" t="s">
        <v>934</v>
      </c>
      <c r="F3" s="11" t="s">
        <v>1095</v>
      </c>
      <c r="G3" s="11" t="s">
        <v>1507</v>
      </c>
    </row>
    <row r="4" spans="2:7" x14ac:dyDescent="0.25">
      <c r="B4" s="4">
        <v>45841</v>
      </c>
      <c r="C4" s="2" t="s">
        <v>1528</v>
      </c>
      <c r="D4" s="2"/>
      <c r="E4" s="23">
        <v>0</v>
      </c>
      <c r="F4" s="2"/>
      <c r="G4" s="2"/>
    </row>
    <row r="5" spans="2:7" x14ac:dyDescent="0.25">
      <c r="B5" s="4">
        <v>45842</v>
      </c>
      <c r="C5" s="2"/>
      <c r="D5" s="2"/>
      <c r="E5" s="23">
        <v>0</v>
      </c>
      <c r="F5" s="2">
        <f>E5-E4</f>
        <v>0</v>
      </c>
      <c r="G5" s="2"/>
    </row>
    <row r="6" spans="2:7" x14ac:dyDescent="0.25">
      <c r="B6" s="4">
        <v>45843</v>
      </c>
      <c r="C6" s="2"/>
      <c r="D6" s="2"/>
      <c r="E6" s="23">
        <v>0</v>
      </c>
      <c r="F6" s="2">
        <f t="shared" ref="F6:F20" si="0">E6-E5</f>
        <v>0</v>
      </c>
      <c r="G6" s="2"/>
    </row>
    <row r="7" spans="2:7" x14ac:dyDescent="0.25">
      <c r="B7" s="4">
        <v>45844</v>
      </c>
      <c r="C7" s="2" t="s">
        <v>4131</v>
      </c>
      <c r="D7" s="58" t="s">
        <v>4531</v>
      </c>
      <c r="E7" s="23">
        <v>72</v>
      </c>
      <c r="F7" s="2">
        <f t="shared" si="0"/>
        <v>72</v>
      </c>
      <c r="G7" s="2"/>
    </row>
    <row r="8" spans="2:7" x14ac:dyDescent="0.25">
      <c r="B8" s="4">
        <v>45845</v>
      </c>
      <c r="C8" s="2" t="s">
        <v>4546</v>
      </c>
      <c r="D8" s="58"/>
      <c r="E8" s="23">
        <v>0</v>
      </c>
      <c r="F8" s="2">
        <f t="shared" si="0"/>
        <v>-72</v>
      </c>
      <c r="G8" s="2"/>
    </row>
    <row r="9" spans="2:7" x14ac:dyDescent="0.25">
      <c r="B9" s="4">
        <v>45846</v>
      </c>
      <c r="C9" s="2" t="s">
        <v>4547</v>
      </c>
      <c r="D9" s="58"/>
      <c r="E9" s="23">
        <v>0</v>
      </c>
      <c r="F9" s="2">
        <f t="shared" si="0"/>
        <v>0</v>
      </c>
      <c r="G9" s="2"/>
    </row>
    <row r="10" spans="2:7" x14ac:dyDescent="0.25">
      <c r="B10" s="4">
        <v>45847</v>
      </c>
      <c r="C10" s="2" t="s">
        <v>1699</v>
      </c>
      <c r="D10" s="2"/>
      <c r="E10" s="23">
        <v>0</v>
      </c>
      <c r="F10" s="2">
        <f t="shared" si="0"/>
        <v>0</v>
      </c>
      <c r="G10" s="2"/>
    </row>
    <row r="11" spans="2:7" x14ac:dyDescent="0.25">
      <c r="B11" s="4">
        <v>45848</v>
      </c>
      <c r="C11" s="2"/>
      <c r="D11" s="2"/>
      <c r="E11" s="23"/>
      <c r="F11" s="2">
        <f t="shared" si="0"/>
        <v>0</v>
      </c>
      <c r="G11" s="2"/>
    </row>
    <row r="12" spans="2:7" x14ac:dyDescent="0.25">
      <c r="B12" s="4">
        <v>45849</v>
      </c>
      <c r="C12" s="2"/>
      <c r="D12" s="2"/>
      <c r="E12" s="23"/>
      <c r="F12" s="2">
        <f t="shared" si="0"/>
        <v>0</v>
      </c>
      <c r="G12" s="2"/>
    </row>
    <row r="13" spans="2:7" x14ac:dyDescent="0.25">
      <c r="B13" s="4">
        <v>45850</v>
      </c>
      <c r="C13" s="2" t="s">
        <v>4575</v>
      </c>
      <c r="D13" s="2" t="s">
        <v>4514</v>
      </c>
      <c r="E13" s="23"/>
      <c r="F13" s="2">
        <f t="shared" si="0"/>
        <v>0</v>
      </c>
      <c r="G13" s="2"/>
    </row>
    <row r="14" spans="2:7" x14ac:dyDescent="0.25">
      <c r="B14" s="4">
        <v>45851</v>
      </c>
      <c r="C14" s="2"/>
      <c r="D14" s="2" t="s">
        <v>4603</v>
      </c>
      <c r="E14" s="2"/>
      <c r="F14" s="2">
        <f t="shared" si="0"/>
        <v>0</v>
      </c>
      <c r="G14" s="2"/>
    </row>
    <row r="15" spans="2:7" x14ac:dyDescent="0.25">
      <c r="B15" s="4">
        <v>45852</v>
      </c>
      <c r="C15" s="2"/>
      <c r="D15" s="2"/>
      <c r="E15" s="2"/>
      <c r="F15" s="2">
        <f t="shared" si="0"/>
        <v>0</v>
      </c>
      <c r="G15" s="2"/>
    </row>
    <row r="16" spans="2:7" x14ac:dyDescent="0.25">
      <c r="B16" s="4">
        <v>45853</v>
      </c>
      <c r="C16" s="2"/>
      <c r="D16" s="2"/>
      <c r="E16" s="2"/>
      <c r="F16" s="2">
        <f t="shared" si="0"/>
        <v>0</v>
      </c>
      <c r="G16" s="2"/>
    </row>
    <row r="17" spans="2:7" x14ac:dyDescent="0.25">
      <c r="B17" s="4">
        <v>45854</v>
      </c>
      <c r="C17" s="2"/>
      <c r="D17" s="2"/>
      <c r="E17" s="2"/>
      <c r="F17" s="2">
        <f t="shared" si="0"/>
        <v>0</v>
      </c>
      <c r="G17" s="2"/>
    </row>
    <row r="18" spans="2:7" x14ac:dyDescent="0.25">
      <c r="B18" s="4">
        <v>45855</v>
      </c>
      <c r="C18" s="2"/>
      <c r="D18" s="2"/>
      <c r="E18" s="2"/>
      <c r="F18" s="2">
        <f t="shared" si="0"/>
        <v>0</v>
      </c>
      <c r="G18" s="2"/>
    </row>
    <row r="19" spans="2:7" x14ac:dyDescent="0.25">
      <c r="B19" s="4">
        <v>45856</v>
      </c>
      <c r="C19" s="2"/>
      <c r="D19" s="2"/>
      <c r="E19" s="2"/>
      <c r="F19" s="2">
        <f t="shared" si="0"/>
        <v>0</v>
      </c>
      <c r="G19" s="2"/>
    </row>
    <row r="20" spans="2:7" x14ac:dyDescent="0.25">
      <c r="B20" s="4">
        <v>45857</v>
      </c>
      <c r="C20" s="2"/>
      <c r="D20" s="2"/>
      <c r="E20" s="2"/>
      <c r="F20" s="2">
        <f t="shared" si="0"/>
        <v>0</v>
      </c>
      <c r="G20" s="2"/>
    </row>
    <row r="21" spans="2:7" x14ac:dyDescent="0.25">
      <c r="B21" s="4">
        <v>45858</v>
      </c>
      <c r="C21" s="2"/>
      <c r="D21" s="2"/>
      <c r="E21" s="2"/>
      <c r="F21" s="2"/>
      <c r="G21" s="2"/>
    </row>
    <row r="22" spans="2:7" x14ac:dyDescent="0.25">
      <c r="B22" s="4">
        <v>45860</v>
      </c>
      <c r="C22" s="2"/>
      <c r="D22" s="2"/>
      <c r="E22" s="2"/>
      <c r="F22" s="2"/>
      <c r="G22" s="2"/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B3:G238"/>
  <sheetViews>
    <sheetView workbookViewId="0">
      <pane ySplit="4" topLeftCell="A204" activePane="bottomLeft" state="frozen"/>
      <selection pane="bottomLeft" activeCell="C213" sqref="C213"/>
    </sheetView>
  </sheetViews>
  <sheetFormatPr defaultRowHeight="15" x14ac:dyDescent="0.25"/>
  <cols>
    <col min="2" max="2" width="18" bestFit="1" customWidth="1"/>
    <col min="3" max="3" width="72" bestFit="1" customWidth="1"/>
    <col min="4" max="4" width="42.140625" bestFit="1" customWidth="1"/>
    <col min="5" max="5" width="11.85546875" bestFit="1" customWidth="1"/>
    <col min="6" max="6" width="8.42578125" bestFit="1" customWidth="1"/>
    <col min="7" max="7" width="11" bestFit="1" customWidth="1"/>
  </cols>
  <sheetData>
    <row r="3" spans="2:7" x14ac:dyDescent="0.25">
      <c r="B3" s="76" t="s">
        <v>2349</v>
      </c>
    </row>
    <row r="4" spans="2:7" ht="15.75" x14ac:dyDescent="0.25">
      <c r="B4" s="10" t="s">
        <v>0</v>
      </c>
      <c r="C4" s="11" t="s">
        <v>1</v>
      </c>
      <c r="D4" s="11" t="s">
        <v>2</v>
      </c>
      <c r="E4" s="11" t="s">
        <v>934</v>
      </c>
      <c r="F4" s="11" t="s">
        <v>1095</v>
      </c>
      <c r="G4" s="11" t="s">
        <v>1507</v>
      </c>
    </row>
    <row r="5" spans="2:7" x14ac:dyDescent="0.25">
      <c r="B5" s="4">
        <v>45709</v>
      </c>
      <c r="C5" s="2" t="s">
        <v>1528</v>
      </c>
      <c r="D5" s="2"/>
      <c r="E5" s="23">
        <v>0</v>
      </c>
      <c r="F5" s="2"/>
      <c r="G5" s="2"/>
    </row>
    <row r="6" spans="2:7" x14ac:dyDescent="0.25">
      <c r="B6" s="4">
        <v>45710</v>
      </c>
      <c r="C6" s="2" t="s">
        <v>1528</v>
      </c>
      <c r="D6" s="2"/>
      <c r="E6" s="23">
        <v>0</v>
      </c>
      <c r="F6" s="2"/>
      <c r="G6" s="2"/>
    </row>
    <row r="7" spans="2:7" x14ac:dyDescent="0.25">
      <c r="B7" s="4">
        <v>45711</v>
      </c>
      <c r="C7" s="2" t="s">
        <v>522</v>
      </c>
      <c r="D7" s="2"/>
      <c r="E7" s="23">
        <v>0</v>
      </c>
      <c r="F7" s="2"/>
      <c r="G7" s="2"/>
    </row>
    <row r="8" spans="2:7" x14ac:dyDescent="0.25">
      <c r="B8" s="4">
        <v>45712</v>
      </c>
      <c r="C8" s="2" t="s">
        <v>522</v>
      </c>
      <c r="D8" s="2"/>
      <c r="E8" s="23">
        <v>0</v>
      </c>
      <c r="F8" s="2"/>
      <c r="G8" s="2"/>
    </row>
    <row r="9" spans="2:7" x14ac:dyDescent="0.25">
      <c r="B9" s="4">
        <v>45713</v>
      </c>
      <c r="C9" s="2" t="s">
        <v>2125</v>
      </c>
      <c r="D9" s="2"/>
      <c r="E9" s="23">
        <v>0</v>
      </c>
      <c r="F9" s="2">
        <f>E9-E8</f>
        <v>0</v>
      </c>
      <c r="G9" s="2"/>
    </row>
    <row r="10" spans="2:7" x14ac:dyDescent="0.25">
      <c r="B10" s="4">
        <v>45714</v>
      </c>
      <c r="C10" s="2" t="s">
        <v>3401</v>
      </c>
      <c r="D10" s="2"/>
      <c r="E10" s="23">
        <v>20</v>
      </c>
      <c r="F10" s="2">
        <f t="shared" ref="F10:F38" si="0">E10-E9</f>
        <v>20</v>
      </c>
      <c r="G10" s="2"/>
    </row>
    <row r="11" spans="2:7" x14ac:dyDescent="0.25">
      <c r="B11" s="4">
        <v>45715</v>
      </c>
      <c r="C11" s="2" t="s">
        <v>3408</v>
      </c>
      <c r="D11" s="2"/>
      <c r="E11" s="23">
        <v>21</v>
      </c>
      <c r="F11" s="2">
        <f t="shared" si="0"/>
        <v>1</v>
      </c>
      <c r="G11" s="2"/>
    </row>
    <row r="12" spans="2:7" x14ac:dyDescent="0.25">
      <c r="B12" s="4">
        <v>45716</v>
      </c>
      <c r="C12" s="58" t="s">
        <v>3417</v>
      </c>
      <c r="D12" s="58"/>
      <c r="E12" s="59">
        <v>21</v>
      </c>
      <c r="F12" s="2">
        <f t="shared" si="0"/>
        <v>0</v>
      </c>
      <c r="G12" s="2"/>
    </row>
    <row r="13" spans="2:7" x14ac:dyDescent="0.25">
      <c r="B13" s="4">
        <v>45717</v>
      </c>
      <c r="C13" s="58" t="s">
        <v>3418</v>
      </c>
      <c r="D13" s="58"/>
      <c r="E13" s="59">
        <v>21</v>
      </c>
      <c r="F13" s="2">
        <f t="shared" si="0"/>
        <v>0</v>
      </c>
      <c r="G13" s="2"/>
    </row>
    <row r="14" spans="2:7" x14ac:dyDescent="0.25">
      <c r="B14" s="4">
        <v>45718</v>
      </c>
      <c r="C14" s="58" t="s">
        <v>3417</v>
      </c>
      <c r="D14" s="58"/>
      <c r="E14" s="59">
        <v>21</v>
      </c>
      <c r="F14" s="2">
        <f t="shared" si="0"/>
        <v>0</v>
      </c>
      <c r="G14" s="2"/>
    </row>
    <row r="15" spans="2:7" x14ac:dyDescent="0.25">
      <c r="B15" s="4">
        <v>45719</v>
      </c>
      <c r="C15" s="2" t="s">
        <v>3425</v>
      </c>
      <c r="D15" s="2"/>
      <c r="E15" s="23">
        <v>22</v>
      </c>
      <c r="F15" s="2">
        <f t="shared" si="0"/>
        <v>1</v>
      </c>
      <c r="G15" s="2"/>
    </row>
    <row r="16" spans="2:7" x14ac:dyDescent="0.25">
      <c r="B16" s="4">
        <v>45720</v>
      </c>
      <c r="C16" s="2"/>
      <c r="D16" s="2"/>
      <c r="E16" s="23"/>
      <c r="F16" s="2">
        <f t="shared" si="0"/>
        <v>-22</v>
      </c>
      <c r="G16" s="2"/>
    </row>
    <row r="17" spans="2:7" x14ac:dyDescent="0.25">
      <c r="B17" s="4">
        <v>45721</v>
      </c>
      <c r="C17" s="2"/>
      <c r="D17" s="2"/>
      <c r="E17" s="23"/>
      <c r="F17" s="2">
        <f t="shared" si="0"/>
        <v>0</v>
      </c>
      <c r="G17" s="2"/>
    </row>
    <row r="18" spans="2:7" x14ac:dyDescent="0.25">
      <c r="B18" s="4">
        <v>45722</v>
      </c>
      <c r="C18" s="2" t="s">
        <v>3432</v>
      </c>
      <c r="D18" s="2"/>
      <c r="E18" s="23"/>
      <c r="F18" s="2">
        <f t="shared" si="0"/>
        <v>0</v>
      </c>
      <c r="G18" s="2"/>
    </row>
    <row r="19" spans="2:7" x14ac:dyDescent="0.25">
      <c r="B19" s="4">
        <v>45719</v>
      </c>
      <c r="C19" s="2" t="s">
        <v>3454</v>
      </c>
      <c r="D19" s="2"/>
      <c r="E19" s="23"/>
      <c r="F19" s="2">
        <f t="shared" si="0"/>
        <v>0</v>
      </c>
      <c r="G19" s="2"/>
    </row>
    <row r="20" spans="2:7" x14ac:dyDescent="0.25">
      <c r="B20" s="4">
        <v>45720</v>
      </c>
      <c r="C20" s="2"/>
      <c r="D20" s="2"/>
      <c r="E20" s="23"/>
      <c r="F20" s="2">
        <f t="shared" si="0"/>
        <v>0</v>
      </c>
      <c r="G20" s="2"/>
    </row>
    <row r="21" spans="2:7" x14ac:dyDescent="0.25">
      <c r="B21" s="4">
        <v>45721</v>
      </c>
      <c r="C21" s="2"/>
      <c r="D21" s="2"/>
      <c r="E21" s="23"/>
      <c r="F21" s="2">
        <f t="shared" si="0"/>
        <v>0</v>
      </c>
      <c r="G21" s="2"/>
    </row>
    <row r="22" spans="2:7" x14ac:dyDescent="0.25">
      <c r="B22" s="4">
        <v>45722</v>
      </c>
      <c r="C22" s="2"/>
      <c r="D22" s="2"/>
      <c r="E22" s="23"/>
      <c r="F22" s="2">
        <f t="shared" si="0"/>
        <v>0</v>
      </c>
      <c r="G22" s="2"/>
    </row>
    <row r="23" spans="2:7" x14ac:dyDescent="0.25">
      <c r="B23" s="4">
        <v>45723</v>
      </c>
      <c r="C23" s="2"/>
      <c r="D23" s="2"/>
      <c r="E23" s="23"/>
      <c r="F23" s="2">
        <f t="shared" si="0"/>
        <v>0</v>
      </c>
      <c r="G23" s="2"/>
    </row>
    <row r="24" spans="2:7" x14ac:dyDescent="0.25">
      <c r="B24" s="4">
        <v>45724</v>
      </c>
      <c r="C24" s="2"/>
      <c r="D24" s="2"/>
      <c r="E24" s="23"/>
      <c r="F24" s="2">
        <f t="shared" si="0"/>
        <v>0</v>
      </c>
      <c r="G24" s="2"/>
    </row>
    <row r="25" spans="2:7" x14ac:dyDescent="0.25">
      <c r="B25" s="4">
        <v>45725</v>
      </c>
      <c r="C25" s="2"/>
      <c r="D25" s="2"/>
      <c r="E25" s="23"/>
      <c r="F25" s="2">
        <f t="shared" si="0"/>
        <v>0</v>
      </c>
      <c r="G25" s="2"/>
    </row>
    <row r="26" spans="2:7" x14ac:dyDescent="0.25">
      <c r="B26" s="4">
        <v>45726</v>
      </c>
      <c r="C26" s="2" t="s">
        <v>3485</v>
      </c>
      <c r="D26" s="2"/>
      <c r="E26" s="2"/>
      <c r="F26" s="2">
        <f t="shared" si="0"/>
        <v>0</v>
      </c>
      <c r="G26" s="2"/>
    </row>
    <row r="27" spans="2:7" x14ac:dyDescent="0.25">
      <c r="B27" s="4">
        <v>45727</v>
      </c>
      <c r="C27" s="2"/>
      <c r="D27" s="2"/>
      <c r="E27" s="2"/>
      <c r="F27" s="2">
        <f t="shared" si="0"/>
        <v>0</v>
      </c>
      <c r="G27" s="2"/>
    </row>
    <row r="28" spans="2:7" x14ac:dyDescent="0.25">
      <c r="B28" s="4">
        <v>45728</v>
      </c>
      <c r="C28" s="2" t="s">
        <v>3505</v>
      </c>
      <c r="D28" s="2"/>
      <c r="E28" s="2">
        <v>0</v>
      </c>
      <c r="F28" s="2">
        <f t="shared" si="0"/>
        <v>0</v>
      </c>
      <c r="G28" s="2"/>
    </row>
    <row r="29" spans="2:7" x14ac:dyDescent="0.25">
      <c r="B29" s="4">
        <v>45729</v>
      </c>
      <c r="C29" s="2" t="s">
        <v>3508</v>
      </c>
      <c r="D29" s="2"/>
      <c r="E29" s="2">
        <v>7</v>
      </c>
      <c r="F29" s="2">
        <f t="shared" si="0"/>
        <v>7</v>
      </c>
      <c r="G29" s="2"/>
    </row>
    <row r="30" spans="2:7" x14ac:dyDescent="0.25">
      <c r="B30" s="4">
        <v>45730</v>
      </c>
      <c r="C30" s="2" t="s">
        <v>3520</v>
      </c>
      <c r="D30" s="2"/>
      <c r="E30" s="2">
        <v>7</v>
      </c>
      <c r="F30" s="2">
        <f t="shared" si="0"/>
        <v>0</v>
      </c>
      <c r="G30" s="2"/>
    </row>
    <row r="31" spans="2:7" x14ac:dyDescent="0.25">
      <c r="B31" s="4">
        <v>45731</v>
      </c>
      <c r="C31" s="2" t="s">
        <v>3531</v>
      </c>
      <c r="D31" s="2"/>
      <c r="E31" s="2">
        <v>7</v>
      </c>
      <c r="F31" s="2">
        <f t="shared" si="0"/>
        <v>0</v>
      </c>
      <c r="G31" s="2"/>
    </row>
    <row r="32" spans="2:7" x14ac:dyDescent="0.25">
      <c r="B32" s="4">
        <v>45732</v>
      </c>
      <c r="C32" s="2"/>
      <c r="D32" s="2"/>
      <c r="E32" s="2">
        <v>7</v>
      </c>
      <c r="F32" s="2">
        <f t="shared" si="0"/>
        <v>0</v>
      </c>
      <c r="G32" s="2"/>
    </row>
    <row r="33" spans="2:7" x14ac:dyDescent="0.25">
      <c r="B33" s="4">
        <v>45733</v>
      </c>
      <c r="C33" s="2" t="s">
        <v>3541</v>
      </c>
      <c r="D33" s="2"/>
      <c r="E33" s="2">
        <v>12</v>
      </c>
      <c r="F33" s="2">
        <f t="shared" si="0"/>
        <v>5</v>
      </c>
      <c r="G33" s="2"/>
    </row>
    <row r="34" spans="2:7" x14ac:dyDescent="0.25">
      <c r="B34" s="4">
        <v>45734</v>
      </c>
      <c r="C34" s="2" t="s">
        <v>3568</v>
      </c>
      <c r="D34" s="2"/>
      <c r="E34" s="2">
        <v>27</v>
      </c>
      <c r="F34" s="2">
        <f t="shared" si="0"/>
        <v>15</v>
      </c>
      <c r="G34" s="2"/>
    </row>
    <row r="35" spans="2:7" x14ac:dyDescent="0.25">
      <c r="B35" s="4">
        <v>45735</v>
      </c>
      <c r="C35" s="2"/>
      <c r="D35" s="2"/>
      <c r="E35" s="2"/>
      <c r="F35" s="2">
        <f t="shared" si="0"/>
        <v>-27</v>
      </c>
      <c r="G35" s="2"/>
    </row>
    <row r="36" spans="2:7" x14ac:dyDescent="0.25">
      <c r="B36" s="4">
        <v>45736</v>
      </c>
      <c r="C36" s="2"/>
      <c r="D36" s="2"/>
      <c r="E36" s="2"/>
      <c r="F36" s="2">
        <f t="shared" si="0"/>
        <v>0</v>
      </c>
      <c r="G36" s="2"/>
    </row>
    <row r="37" spans="2:7" x14ac:dyDescent="0.25">
      <c r="B37" s="4">
        <v>45737</v>
      </c>
      <c r="C37" s="2" t="s">
        <v>3569</v>
      </c>
      <c r="D37" s="2"/>
      <c r="E37" s="2"/>
      <c r="F37" s="2">
        <f t="shared" si="0"/>
        <v>0</v>
      </c>
      <c r="G37" s="2"/>
    </row>
    <row r="38" spans="2:7" x14ac:dyDescent="0.25">
      <c r="B38" s="4">
        <v>45738</v>
      </c>
      <c r="C38" s="2" t="s">
        <v>480</v>
      </c>
      <c r="D38" s="2" t="s">
        <v>3775</v>
      </c>
      <c r="E38" s="2"/>
      <c r="F38" s="2">
        <f t="shared" si="0"/>
        <v>0</v>
      </c>
      <c r="G38" s="2"/>
    </row>
    <row r="39" spans="2:7" x14ac:dyDescent="0.25">
      <c r="B39" s="4">
        <v>45739</v>
      </c>
      <c r="C39" s="2"/>
      <c r="D39" s="2"/>
      <c r="E39" s="2"/>
      <c r="F39" s="2"/>
      <c r="G39" s="2"/>
    </row>
    <row r="40" spans="2:7" x14ac:dyDescent="0.25">
      <c r="B40" s="4">
        <v>45740</v>
      </c>
      <c r="C40" s="2"/>
      <c r="D40" s="2"/>
      <c r="E40" s="2"/>
      <c r="F40" s="2"/>
      <c r="G40" s="2"/>
    </row>
    <row r="41" spans="2:7" x14ac:dyDescent="0.25">
      <c r="B41" s="4">
        <v>45741</v>
      </c>
      <c r="C41" s="2"/>
      <c r="D41" s="2"/>
      <c r="E41" s="2"/>
      <c r="F41" s="2"/>
      <c r="G41" s="2"/>
    </row>
    <row r="42" spans="2:7" x14ac:dyDescent="0.25">
      <c r="B42" s="4">
        <v>45742</v>
      </c>
      <c r="C42" s="2"/>
      <c r="D42" s="2"/>
      <c r="E42" s="2"/>
      <c r="F42" s="2"/>
      <c r="G42" s="2"/>
    </row>
    <row r="43" spans="2:7" x14ac:dyDescent="0.25">
      <c r="B43" s="4">
        <v>45743</v>
      </c>
      <c r="C43" s="2"/>
      <c r="D43" s="2"/>
      <c r="E43" s="2"/>
      <c r="F43" s="2"/>
      <c r="G43" s="2"/>
    </row>
    <row r="44" spans="2:7" x14ac:dyDescent="0.25">
      <c r="B44" s="4">
        <v>45744</v>
      </c>
      <c r="C44" s="2"/>
      <c r="D44" s="2"/>
      <c r="E44" s="2"/>
      <c r="F44" s="2"/>
      <c r="G44" s="2"/>
    </row>
    <row r="45" spans="2:7" x14ac:dyDescent="0.25">
      <c r="B45" s="4">
        <v>45745</v>
      </c>
      <c r="C45" s="2"/>
      <c r="D45" s="2"/>
      <c r="E45" s="2"/>
      <c r="F45" s="2"/>
      <c r="G45" s="2"/>
    </row>
    <row r="46" spans="2:7" x14ac:dyDescent="0.25">
      <c r="B46" s="4">
        <v>45746</v>
      </c>
      <c r="C46" s="2"/>
      <c r="D46" s="2"/>
      <c r="E46" s="2"/>
      <c r="F46" s="2"/>
      <c r="G46" s="2"/>
    </row>
    <row r="47" spans="2:7" x14ac:dyDescent="0.25">
      <c r="B47" s="4">
        <v>45747</v>
      </c>
      <c r="C47" s="2"/>
      <c r="D47" s="2"/>
      <c r="E47" s="2"/>
      <c r="F47" s="2"/>
      <c r="G47" s="2"/>
    </row>
    <row r="48" spans="2:7" x14ac:dyDescent="0.25">
      <c r="B48" s="4">
        <v>45748</v>
      </c>
      <c r="C48" s="2"/>
      <c r="D48" s="2"/>
      <c r="E48" s="2"/>
      <c r="F48" s="2"/>
      <c r="G48" s="2"/>
    </row>
    <row r="49" spans="2:7" x14ac:dyDescent="0.25">
      <c r="B49" s="4">
        <v>45749</v>
      </c>
      <c r="C49" s="2"/>
      <c r="D49" s="2"/>
      <c r="E49" s="2"/>
      <c r="F49" s="2"/>
      <c r="G49" s="2"/>
    </row>
    <row r="50" spans="2:7" x14ac:dyDescent="0.25">
      <c r="B50" s="4">
        <v>45750</v>
      </c>
      <c r="C50" s="2"/>
      <c r="D50" s="2"/>
      <c r="E50" s="2"/>
      <c r="F50" s="2"/>
      <c r="G50" s="2"/>
    </row>
    <row r="51" spans="2:7" x14ac:dyDescent="0.25">
      <c r="B51" s="4">
        <v>45751</v>
      </c>
      <c r="C51" s="2"/>
      <c r="D51" s="2"/>
      <c r="E51" s="2"/>
      <c r="F51" s="2"/>
      <c r="G51" s="2"/>
    </row>
    <row r="52" spans="2:7" x14ac:dyDescent="0.25">
      <c r="B52" s="4">
        <v>45752</v>
      </c>
      <c r="C52" s="2"/>
      <c r="D52" s="2"/>
      <c r="E52" s="2"/>
      <c r="F52" s="2"/>
      <c r="G52" s="2"/>
    </row>
    <row r="53" spans="2:7" x14ac:dyDescent="0.25">
      <c r="B53" s="4">
        <v>45753</v>
      </c>
      <c r="C53" s="2"/>
      <c r="D53" s="2"/>
      <c r="E53" s="2"/>
      <c r="F53" s="2"/>
      <c r="G53" s="2"/>
    </row>
    <row r="54" spans="2:7" x14ac:dyDescent="0.25">
      <c r="B54" s="4">
        <v>45754</v>
      </c>
      <c r="C54" s="2"/>
      <c r="D54" s="2"/>
      <c r="E54" s="2"/>
      <c r="F54" s="2"/>
      <c r="G54" s="2"/>
    </row>
    <row r="55" spans="2:7" x14ac:dyDescent="0.25">
      <c r="B55" s="4">
        <v>45755</v>
      </c>
      <c r="C55" s="2"/>
      <c r="D55" s="2"/>
      <c r="E55" s="2"/>
      <c r="F55" s="2"/>
      <c r="G55" s="2"/>
    </row>
    <row r="56" spans="2:7" x14ac:dyDescent="0.25">
      <c r="B56" s="4">
        <v>45756</v>
      </c>
      <c r="C56" s="2"/>
      <c r="D56" s="2"/>
      <c r="E56" s="2"/>
      <c r="F56" s="2"/>
      <c r="G56" s="2"/>
    </row>
    <row r="57" spans="2:7" x14ac:dyDescent="0.25">
      <c r="B57" s="4">
        <v>45757</v>
      </c>
      <c r="C57" s="2" t="s">
        <v>3654</v>
      </c>
      <c r="D57" s="2" t="s">
        <v>3654</v>
      </c>
      <c r="E57" s="2"/>
      <c r="F57" s="2"/>
      <c r="G57" s="2"/>
    </row>
    <row r="58" spans="2:7" x14ac:dyDescent="0.25">
      <c r="B58" s="4">
        <v>45758</v>
      </c>
      <c r="C58" s="2"/>
      <c r="D58" s="2"/>
      <c r="E58" s="2"/>
      <c r="F58" s="2"/>
      <c r="G58" s="2"/>
    </row>
    <row r="59" spans="2:7" x14ac:dyDescent="0.25">
      <c r="B59" s="4">
        <v>45759</v>
      </c>
      <c r="C59" s="2"/>
      <c r="D59" s="2"/>
      <c r="E59" s="2"/>
      <c r="F59" s="2"/>
      <c r="G59" s="2"/>
    </row>
    <row r="60" spans="2:7" x14ac:dyDescent="0.25">
      <c r="B60" s="4">
        <v>45760</v>
      </c>
      <c r="C60" s="2"/>
      <c r="D60" s="2"/>
      <c r="E60" s="2"/>
      <c r="F60" s="2"/>
      <c r="G60" s="2"/>
    </row>
    <row r="61" spans="2:7" x14ac:dyDescent="0.25">
      <c r="B61" s="4">
        <v>45761</v>
      </c>
      <c r="C61" s="2"/>
      <c r="D61" s="2"/>
      <c r="E61" s="2"/>
      <c r="F61" s="2"/>
      <c r="G61" s="2"/>
    </row>
    <row r="62" spans="2:7" x14ac:dyDescent="0.25">
      <c r="B62" s="4">
        <v>45762</v>
      </c>
      <c r="C62" s="2"/>
      <c r="D62" s="2"/>
      <c r="E62" s="2"/>
      <c r="F62" s="2"/>
      <c r="G62" s="2"/>
    </row>
    <row r="63" spans="2:7" x14ac:dyDescent="0.25">
      <c r="B63" s="4">
        <v>45763</v>
      </c>
      <c r="C63" s="2"/>
      <c r="D63" s="2"/>
      <c r="E63" s="2"/>
      <c r="F63" s="2"/>
      <c r="G63" s="2"/>
    </row>
    <row r="64" spans="2:7" x14ac:dyDescent="0.25">
      <c r="B64" s="4">
        <v>45764</v>
      </c>
      <c r="C64" s="2"/>
      <c r="D64" s="2"/>
      <c r="E64" s="2"/>
      <c r="F64" s="2"/>
      <c r="G64" s="2"/>
    </row>
    <row r="65" spans="2:7" x14ac:dyDescent="0.25">
      <c r="B65" s="4">
        <v>45765</v>
      </c>
      <c r="C65" s="2"/>
      <c r="D65" s="2"/>
      <c r="E65" s="2"/>
      <c r="F65" s="2"/>
      <c r="G65" s="2"/>
    </row>
    <row r="66" spans="2:7" x14ac:dyDescent="0.25">
      <c r="B66" s="4">
        <v>45766</v>
      </c>
      <c r="C66" s="2"/>
      <c r="D66" s="2"/>
      <c r="E66" s="2"/>
      <c r="F66" s="2"/>
      <c r="G66" s="2"/>
    </row>
    <row r="67" spans="2:7" x14ac:dyDescent="0.25">
      <c r="B67" s="4">
        <v>45767</v>
      </c>
      <c r="C67" s="2"/>
      <c r="D67" s="2"/>
      <c r="E67" s="2"/>
      <c r="F67" s="2"/>
      <c r="G67" s="2"/>
    </row>
    <row r="68" spans="2:7" x14ac:dyDescent="0.25">
      <c r="B68" s="4">
        <v>45768</v>
      </c>
      <c r="C68" s="2"/>
      <c r="D68" s="2"/>
      <c r="E68" s="2"/>
      <c r="F68" s="2"/>
      <c r="G68" s="2"/>
    </row>
    <row r="69" spans="2:7" x14ac:dyDescent="0.25">
      <c r="B69" s="4">
        <v>45769</v>
      </c>
      <c r="C69" s="2"/>
      <c r="D69" s="2"/>
      <c r="E69" s="2"/>
      <c r="F69" s="2"/>
      <c r="G69" s="2"/>
    </row>
    <row r="70" spans="2:7" x14ac:dyDescent="0.25">
      <c r="B70" s="4">
        <v>45770</v>
      </c>
      <c r="C70" s="2"/>
      <c r="D70" s="2"/>
      <c r="E70" s="2"/>
      <c r="F70" s="2"/>
      <c r="G70" s="2"/>
    </row>
    <row r="71" spans="2:7" x14ac:dyDescent="0.25">
      <c r="B71" s="4">
        <v>45771</v>
      </c>
      <c r="C71" s="2"/>
      <c r="D71" s="2"/>
      <c r="E71" s="2"/>
      <c r="F71" s="2"/>
      <c r="G71" s="2"/>
    </row>
    <row r="72" spans="2:7" x14ac:dyDescent="0.25">
      <c r="B72" s="4">
        <v>45772</v>
      </c>
      <c r="C72" s="2"/>
      <c r="D72" s="2"/>
      <c r="E72" s="2"/>
      <c r="F72" s="2"/>
      <c r="G72" s="2"/>
    </row>
    <row r="73" spans="2:7" x14ac:dyDescent="0.25">
      <c r="B73" s="4">
        <v>45773</v>
      </c>
      <c r="C73" s="2"/>
      <c r="D73" s="2"/>
      <c r="E73" s="2"/>
      <c r="F73" s="2"/>
      <c r="G73" s="2"/>
    </row>
    <row r="74" spans="2:7" x14ac:dyDescent="0.25">
      <c r="B74" s="4">
        <v>45774</v>
      </c>
      <c r="C74" s="2"/>
      <c r="D74" s="2"/>
      <c r="E74" s="2"/>
      <c r="F74" s="2"/>
      <c r="G74" s="2"/>
    </row>
    <row r="75" spans="2:7" x14ac:dyDescent="0.25">
      <c r="B75" s="4">
        <v>45775</v>
      </c>
      <c r="C75" s="2"/>
      <c r="D75" s="2"/>
      <c r="E75" s="2"/>
      <c r="F75" s="2"/>
      <c r="G75" s="2"/>
    </row>
    <row r="76" spans="2:7" x14ac:dyDescent="0.25">
      <c r="B76" s="4">
        <v>45776</v>
      </c>
      <c r="C76" s="2"/>
      <c r="D76" s="2"/>
      <c r="E76" s="2"/>
      <c r="F76" s="2"/>
      <c r="G76" s="2"/>
    </row>
    <row r="77" spans="2:7" x14ac:dyDescent="0.25">
      <c r="B77" s="4">
        <v>45777</v>
      </c>
      <c r="C77" s="2"/>
      <c r="D77" s="2"/>
      <c r="E77" s="2"/>
      <c r="F77" s="2"/>
      <c r="G77" s="2"/>
    </row>
    <row r="78" spans="2:7" x14ac:dyDescent="0.25">
      <c r="B78" s="4">
        <v>45778</v>
      </c>
      <c r="C78" s="2"/>
      <c r="D78" s="2"/>
      <c r="E78" s="2"/>
      <c r="F78" s="2"/>
      <c r="G78" s="2"/>
    </row>
    <row r="79" spans="2:7" x14ac:dyDescent="0.25">
      <c r="B79" s="4">
        <v>45779</v>
      </c>
      <c r="C79" s="2"/>
      <c r="D79" s="2"/>
      <c r="E79" s="2"/>
      <c r="F79" s="2"/>
      <c r="G79" s="2"/>
    </row>
    <row r="80" spans="2:7" x14ac:dyDescent="0.25">
      <c r="B80" s="4">
        <v>45780</v>
      </c>
      <c r="C80" s="2"/>
      <c r="D80" s="2"/>
      <c r="E80" s="2"/>
      <c r="F80" s="2"/>
      <c r="G80" s="2"/>
    </row>
    <row r="81" spans="2:7" x14ac:dyDescent="0.25">
      <c r="B81" s="4">
        <v>45781</v>
      </c>
      <c r="C81" s="2"/>
      <c r="D81" s="2"/>
      <c r="E81" s="2"/>
      <c r="F81" s="2"/>
      <c r="G81" s="2"/>
    </row>
    <row r="82" spans="2:7" x14ac:dyDescent="0.25">
      <c r="B82" s="4">
        <v>45782</v>
      </c>
      <c r="C82" s="2"/>
      <c r="D82" s="2"/>
      <c r="E82" s="2"/>
      <c r="F82" s="2"/>
      <c r="G82" s="2"/>
    </row>
    <row r="83" spans="2:7" x14ac:dyDescent="0.25">
      <c r="B83" s="4">
        <v>45783</v>
      </c>
      <c r="C83" s="2"/>
      <c r="D83" s="2"/>
      <c r="E83" s="2"/>
      <c r="F83" s="2"/>
      <c r="G83" s="2"/>
    </row>
    <row r="84" spans="2:7" x14ac:dyDescent="0.25">
      <c r="B84" s="4">
        <v>45784</v>
      </c>
      <c r="C84" s="2"/>
      <c r="D84" s="2"/>
      <c r="E84" s="2"/>
      <c r="F84" s="2"/>
      <c r="G84" s="2"/>
    </row>
    <row r="85" spans="2:7" x14ac:dyDescent="0.25">
      <c r="B85" s="4">
        <v>45785</v>
      </c>
      <c r="C85" s="2"/>
      <c r="D85" s="2"/>
      <c r="E85" s="2"/>
      <c r="F85" s="2"/>
      <c r="G85" s="2"/>
    </row>
    <row r="86" spans="2:7" x14ac:dyDescent="0.25">
      <c r="B86" s="4">
        <v>45786</v>
      </c>
      <c r="C86" s="2"/>
      <c r="D86" s="2"/>
      <c r="E86" s="2"/>
      <c r="F86" s="2"/>
      <c r="G86" s="2"/>
    </row>
    <row r="87" spans="2:7" x14ac:dyDescent="0.25">
      <c r="B87" s="4">
        <v>45787</v>
      </c>
      <c r="C87" s="2"/>
      <c r="D87" s="2"/>
      <c r="E87" s="2"/>
      <c r="F87" s="2"/>
      <c r="G87" s="2"/>
    </row>
    <row r="88" spans="2:7" x14ac:dyDescent="0.25">
      <c r="B88" s="4">
        <v>45788</v>
      </c>
      <c r="C88" s="2"/>
      <c r="D88" s="2"/>
      <c r="E88" s="2"/>
      <c r="F88" s="2"/>
      <c r="G88" s="2"/>
    </row>
    <row r="89" spans="2:7" x14ac:dyDescent="0.25">
      <c r="B89" s="4">
        <v>45789</v>
      </c>
      <c r="C89" s="2"/>
      <c r="D89" s="2"/>
      <c r="E89" s="2"/>
      <c r="F89" s="2"/>
      <c r="G89" s="2"/>
    </row>
    <row r="90" spans="2:7" x14ac:dyDescent="0.25">
      <c r="B90" s="4">
        <v>45790</v>
      </c>
      <c r="C90" s="2"/>
      <c r="D90" s="2"/>
      <c r="E90" s="2"/>
      <c r="F90" s="2"/>
      <c r="G90" s="2"/>
    </row>
    <row r="91" spans="2:7" x14ac:dyDescent="0.25">
      <c r="B91" s="4">
        <v>45791</v>
      </c>
      <c r="C91" s="2"/>
      <c r="D91" s="2"/>
      <c r="E91" s="2"/>
      <c r="F91" s="2"/>
      <c r="G91" s="2"/>
    </row>
    <row r="92" spans="2:7" x14ac:dyDescent="0.25">
      <c r="B92" s="4">
        <v>45792</v>
      </c>
      <c r="C92" s="2"/>
      <c r="D92" s="2"/>
      <c r="E92" s="2"/>
      <c r="F92" s="2"/>
      <c r="G92" s="2"/>
    </row>
    <row r="93" spans="2:7" x14ac:dyDescent="0.25">
      <c r="B93" s="4">
        <v>45793</v>
      </c>
      <c r="C93" s="2"/>
      <c r="D93" s="2"/>
      <c r="E93" s="2"/>
      <c r="F93" s="2"/>
      <c r="G93" s="2"/>
    </row>
    <row r="94" spans="2:7" x14ac:dyDescent="0.25">
      <c r="B94" s="4">
        <v>45794</v>
      </c>
      <c r="C94" s="2"/>
      <c r="D94" s="2"/>
      <c r="E94" s="2"/>
      <c r="F94" s="2"/>
      <c r="G94" s="2"/>
    </row>
    <row r="95" spans="2:7" x14ac:dyDescent="0.25">
      <c r="B95" s="4">
        <v>45795</v>
      </c>
      <c r="C95" s="2"/>
      <c r="D95" s="2"/>
      <c r="E95" s="2"/>
      <c r="F95" s="2"/>
      <c r="G95" s="2"/>
    </row>
    <row r="96" spans="2:7" x14ac:dyDescent="0.25">
      <c r="B96" s="4">
        <v>45796</v>
      </c>
      <c r="C96" s="2"/>
      <c r="D96" s="2"/>
      <c r="E96" s="2"/>
      <c r="F96" s="2"/>
      <c r="G96" s="2"/>
    </row>
    <row r="97" spans="2:7" x14ac:dyDescent="0.25">
      <c r="B97" s="4">
        <v>45797</v>
      </c>
      <c r="C97" s="2"/>
      <c r="D97" s="2"/>
      <c r="E97" s="2"/>
      <c r="F97" s="2"/>
      <c r="G97" s="2"/>
    </row>
    <row r="98" spans="2:7" x14ac:dyDescent="0.25">
      <c r="B98" s="4">
        <v>45798</v>
      </c>
      <c r="C98" s="2"/>
      <c r="D98" s="2"/>
      <c r="E98" s="2"/>
      <c r="F98" s="2"/>
      <c r="G98" s="2"/>
    </row>
    <row r="99" spans="2:7" x14ac:dyDescent="0.25">
      <c r="B99" s="4">
        <v>45799</v>
      </c>
      <c r="C99" s="2"/>
      <c r="D99" s="2"/>
      <c r="E99" s="2"/>
      <c r="F99" s="2"/>
      <c r="G99" s="2"/>
    </row>
    <row r="100" spans="2:7" x14ac:dyDescent="0.25">
      <c r="B100" s="4">
        <v>45800</v>
      </c>
      <c r="C100" s="2"/>
      <c r="D100" s="2"/>
      <c r="E100" s="2"/>
      <c r="F100" s="2"/>
      <c r="G100" s="2"/>
    </row>
    <row r="101" spans="2:7" x14ac:dyDescent="0.25">
      <c r="B101" s="4">
        <v>45801</v>
      </c>
      <c r="C101" s="2"/>
      <c r="D101" s="2"/>
      <c r="E101" s="2"/>
      <c r="F101" s="2"/>
      <c r="G101" s="2"/>
    </row>
    <row r="102" spans="2:7" x14ac:dyDescent="0.25">
      <c r="B102" s="4">
        <v>45802</v>
      </c>
      <c r="C102" s="2"/>
      <c r="D102" s="2"/>
      <c r="E102" s="2"/>
      <c r="F102" s="2"/>
      <c r="G102" s="2"/>
    </row>
    <row r="103" spans="2:7" x14ac:dyDescent="0.25">
      <c r="B103" s="4">
        <v>45803</v>
      </c>
      <c r="C103" s="2"/>
      <c r="D103" s="2"/>
      <c r="E103" s="2"/>
      <c r="F103" s="2"/>
      <c r="G103" s="2"/>
    </row>
    <row r="104" spans="2:7" x14ac:dyDescent="0.25">
      <c r="B104" s="4">
        <v>45804</v>
      </c>
      <c r="C104" s="2"/>
      <c r="D104" s="2"/>
      <c r="E104" s="2"/>
      <c r="F104" s="2"/>
      <c r="G104" s="2"/>
    </row>
    <row r="105" spans="2:7" x14ac:dyDescent="0.25">
      <c r="B105" s="4">
        <v>45805</v>
      </c>
      <c r="C105" s="2"/>
      <c r="D105" s="2"/>
      <c r="E105" s="2"/>
      <c r="F105" s="2"/>
      <c r="G105" s="2"/>
    </row>
    <row r="106" spans="2:7" x14ac:dyDescent="0.25">
      <c r="B106" s="4">
        <v>45806</v>
      </c>
      <c r="C106" s="2"/>
      <c r="D106" s="2"/>
      <c r="E106" s="2"/>
      <c r="F106" s="2"/>
      <c r="G106" s="2"/>
    </row>
    <row r="107" spans="2:7" x14ac:dyDescent="0.25">
      <c r="B107" s="4">
        <v>45807</v>
      </c>
      <c r="C107" s="2"/>
      <c r="D107" s="2"/>
      <c r="E107" s="2"/>
      <c r="F107" s="2"/>
      <c r="G107" s="2"/>
    </row>
    <row r="108" spans="2:7" x14ac:dyDescent="0.25">
      <c r="B108" s="4">
        <v>45808</v>
      </c>
      <c r="C108" s="2"/>
      <c r="D108" s="2"/>
      <c r="E108" s="2"/>
      <c r="F108" s="2"/>
      <c r="G108" s="2"/>
    </row>
    <row r="109" spans="2:7" x14ac:dyDescent="0.25">
      <c r="B109" s="4">
        <v>45809</v>
      </c>
      <c r="C109" s="2"/>
      <c r="D109" s="2"/>
      <c r="E109" s="2"/>
      <c r="F109" s="2"/>
      <c r="G109" s="2"/>
    </row>
    <row r="110" spans="2:7" x14ac:dyDescent="0.25">
      <c r="B110" s="4">
        <v>45810</v>
      </c>
      <c r="C110" s="2"/>
      <c r="D110" s="2"/>
      <c r="E110" s="2"/>
      <c r="F110" s="2"/>
      <c r="G110" s="2"/>
    </row>
    <row r="111" spans="2:7" x14ac:dyDescent="0.25">
      <c r="B111" s="4">
        <v>45811</v>
      </c>
      <c r="C111" s="2"/>
      <c r="D111" s="2"/>
      <c r="E111" s="2"/>
      <c r="F111" s="2"/>
      <c r="G111" s="2"/>
    </row>
    <row r="112" spans="2:7" x14ac:dyDescent="0.25">
      <c r="B112" s="4">
        <v>45812</v>
      </c>
      <c r="C112" s="2"/>
      <c r="D112" s="2"/>
      <c r="E112" s="2"/>
      <c r="F112" s="2"/>
      <c r="G112" s="2"/>
    </row>
    <row r="113" spans="2:7" x14ac:dyDescent="0.25">
      <c r="B113" s="4">
        <v>45813</v>
      </c>
      <c r="C113" s="2"/>
      <c r="D113" s="2"/>
      <c r="E113" s="2"/>
      <c r="F113" s="2"/>
      <c r="G113" s="2"/>
    </row>
    <row r="114" spans="2:7" x14ac:dyDescent="0.25">
      <c r="B114" s="4">
        <v>45814</v>
      </c>
      <c r="C114" s="2"/>
      <c r="D114" s="2"/>
      <c r="E114" s="2"/>
      <c r="F114" s="2"/>
      <c r="G114" s="2"/>
    </row>
    <row r="115" spans="2:7" x14ac:dyDescent="0.25">
      <c r="B115" s="4">
        <v>45815</v>
      </c>
      <c r="C115" s="2"/>
      <c r="D115" s="2"/>
      <c r="E115" s="2"/>
      <c r="F115" s="2"/>
      <c r="G115" s="2"/>
    </row>
    <row r="116" spans="2:7" x14ac:dyDescent="0.25">
      <c r="B116" s="4">
        <v>45816</v>
      </c>
      <c r="C116" s="2"/>
      <c r="D116" s="2"/>
      <c r="E116" s="2"/>
      <c r="F116" s="2"/>
      <c r="G116" s="2"/>
    </row>
    <row r="117" spans="2:7" x14ac:dyDescent="0.25">
      <c r="B117" s="4">
        <v>45817</v>
      </c>
      <c r="C117" s="2"/>
      <c r="D117" s="2"/>
      <c r="E117" s="2"/>
      <c r="F117" s="2"/>
      <c r="G117" s="2"/>
    </row>
    <row r="118" spans="2:7" x14ac:dyDescent="0.25">
      <c r="B118" s="4">
        <v>45818</v>
      </c>
      <c r="C118" s="2"/>
      <c r="D118" s="2"/>
      <c r="E118" s="2"/>
      <c r="F118" s="2"/>
      <c r="G118" s="2"/>
    </row>
    <row r="119" spans="2:7" x14ac:dyDescent="0.25">
      <c r="B119" s="4">
        <v>45819</v>
      </c>
      <c r="C119" s="2"/>
      <c r="D119" s="2"/>
      <c r="E119" s="2"/>
      <c r="F119" s="2"/>
      <c r="G119" s="2"/>
    </row>
    <row r="120" spans="2:7" x14ac:dyDescent="0.25">
      <c r="B120" s="4">
        <v>45820</v>
      </c>
      <c r="C120" s="2"/>
      <c r="D120" s="2"/>
      <c r="E120" s="2"/>
      <c r="F120" s="2"/>
      <c r="G120" s="2"/>
    </row>
    <row r="121" spans="2:7" x14ac:dyDescent="0.25">
      <c r="B121" s="4">
        <v>45821</v>
      </c>
      <c r="C121" s="2"/>
      <c r="D121" s="2"/>
      <c r="E121" s="2"/>
      <c r="F121" s="2"/>
      <c r="G121" s="2"/>
    </row>
    <row r="122" spans="2:7" x14ac:dyDescent="0.25">
      <c r="B122" s="4">
        <v>45822</v>
      </c>
      <c r="C122" s="2"/>
      <c r="D122" s="2"/>
      <c r="E122" s="2"/>
      <c r="F122" s="2"/>
      <c r="G122" s="2"/>
    </row>
    <row r="123" spans="2:7" x14ac:dyDescent="0.25">
      <c r="B123" s="4">
        <v>45823</v>
      </c>
      <c r="C123" s="2"/>
      <c r="D123" s="2"/>
      <c r="E123" s="2"/>
      <c r="F123" s="2"/>
      <c r="G123" s="2"/>
    </row>
    <row r="124" spans="2:7" x14ac:dyDescent="0.25">
      <c r="B124" s="4">
        <v>45824</v>
      </c>
      <c r="C124" s="2"/>
      <c r="D124" s="2"/>
      <c r="E124" s="2"/>
      <c r="F124" s="2"/>
      <c r="G124" s="2"/>
    </row>
    <row r="125" spans="2:7" x14ac:dyDescent="0.25">
      <c r="B125" s="4">
        <v>45825</v>
      </c>
      <c r="C125" s="2"/>
      <c r="D125" s="2"/>
      <c r="E125" s="2"/>
      <c r="F125" s="2"/>
      <c r="G125" s="2"/>
    </row>
    <row r="126" spans="2:7" x14ac:dyDescent="0.25">
      <c r="B126" s="4">
        <v>45826</v>
      </c>
      <c r="C126" s="2"/>
      <c r="D126" s="2"/>
      <c r="E126" s="2"/>
      <c r="F126" s="2"/>
      <c r="G126" s="2"/>
    </row>
    <row r="127" spans="2:7" x14ac:dyDescent="0.25">
      <c r="B127" s="4">
        <v>45827</v>
      </c>
      <c r="C127" s="2"/>
      <c r="D127" s="2"/>
      <c r="E127" s="2"/>
      <c r="F127" s="2"/>
      <c r="G127" s="2"/>
    </row>
    <row r="128" spans="2:7" x14ac:dyDescent="0.25">
      <c r="B128" s="4">
        <v>45828</v>
      </c>
      <c r="C128" s="2"/>
      <c r="D128" s="2"/>
      <c r="E128" s="2"/>
      <c r="F128" s="2"/>
      <c r="G128" s="2"/>
    </row>
    <row r="129" spans="2:7" x14ac:dyDescent="0.25">
      <c r="B129" s="4">
        <v>45829</v>
      </c>
      <c r="C129" s="2"/>
      <c r="D129" s="2"/>
      <c r="E129" s="2"/>
      <c r="F129" s="2"/>
      <c r="G129" s="2"/>
    </row>
    <row r="130" spans="2:7" x14ac:dyDescent="0.25">
      <c r="B130" s="4">
        <v>45830</v>
      </c>
      <c r="C130" s="2"/>
      <c r="D130" s="2"/>
      <c r="E130" s="2"/>
      <c r="F130" s="2"/>
      <c r="G130" s="2"/>
    </row>
    <row r="131" spans="2:7" x14ac:dyDescent="0.25">
      <c r="B131" s="4">
        <v>45831</v>
      </c>
      <c r="C131" s="2"/>
      <c r="D131" s="2"/>
      <c r="E131" s="2"/>
      <c r="F131" s="2"/>
      <c r="G131" s="2"/>
    </row>
    <row r="132" spans="2:7" x14ac:dyDescent="0.25">
      <c r="B132" s="4">
        <v>45832</v>
      </c>
      <c r="C132" s="2"/>
      <c r="D132" s="2"/>
      <c r="E132" s="2"/>
      <c r="F132" s="2"/>
      <c r="G132" s="2"/>
    </row>
    <row r="133" spans="2:7" x14ac:dyDescent="0.25">
      <c r="B133" s="4">
        <v>45833</v>
      </c>
      <c r="C133" s="2"/>
      <c r="D133" s="2"/>
      <c r="E133" s="2"/>
      <c r="F133" s="2"/>
      <c r="G133" s="2"/>
    </row>
    <row r="134" spans="2:7" x14ac:dyDescent="0.25">
      <c r="B134" s="4">
        <v>45834</v>
      </c>
      <c r="C134" s="2"/>
      <c r="D134" s="2"/>
      <c r="E134" s="2"/>
      <c r="F134" s="2"/>
      <c r="G134" s="2"/>
    </row>
    <row r="135" spans="2:7" x14ac:dyDescent="0.25">
      <c r="B135" s="4">
        <v>45835</v>
      </c>
      <c r="C135" s="2"/>
      <c r="D135" s="2"/>
      <c r="E135" s="2"/>
      <c r="F135" s="2"/>
      <c r="G135" s="2"/>
    </row>
    <row r="136" spans="2:7" x14ac:dyDescent="0.25">
      <c r="B136" s="4">
        <v>45836</v>
      </c>
      <c r="C136" s="2"/>
      <c r="D136" s="2"/>
      <c r="E136" s="2"/>
      <c r="F136" s="2"/>
      <c r="G136" s="2"/>
    </row>
    <row r="137" spans="2:7" x14ac:dyDescent="0.25">
      <c r="B137" s="4">
        <v>45837</v>
      </c>
      <c r="C137" s="2"/>
      <c r="D137" s="2"/>
      <c r="E137" s="2"/>
      <c r="F137" s="2"/>
      <c r="G137" s="2"/>
    </row>
    <row r="138" spans="2:7" x14ac:dyDescent="0.25">
      <c r="B138" s="4">
        <v>45838</v>
      </c>
      <c r="C138" s="2"/>
      <c r="D138" s="2"/>
      <c r="E138" s="2"/>
      <c r="F138" s="2"/>
      <c r="G138" s="2"/>
    </row>
    <row r="139" spans="2:7" x14ac:dyDescent="0.25">
      <c r="B139" s="4">
        <v>45839</v>
      </c>
      <c r="C139" s="2"/>
      <c r="D139" s="2"/>
      <c r="E139" s="2"/>
      <c r="F139" s="2"/>
      <c r="G139" s="2"/>
    </row>
    <row r="140" spans="2:7" x14ac:dyDescent="0.25">
      <c r="B140" s="4">
        <v>45840</v>
      </c>
      <c r="C140" s="2"/>
      <c r="D140" s="2"/>
      <c r="E140" s="2"/>
      <c r="F140" s="2"/>
      <c r="G140" s="2"/>
    </row>
    <row r="141" spans="2:7" x14ac:dyDescent="0.25">
      <c r="B141" s="4">
        <v>45841</v>
      </c>
      <c r="C141" s="2"/>
      <c r="D141" s="2"/>
      <c r="E141" s="2"/>
      <c r="F141" s="2"/>
      <c r="G141" s="2"/>
    </row>
    <row r="142" spans="2:7" x14ac:dyDescent="0.25">
      <c r="B142" s="4">
        <v>45842</v>
      </c>
      <c r="C142" s="2"/>
      <c r="D142" s="2"/>
      <c r="E142" s="2"/>
      <c r="F142" s="2"/>
      <c r="G142" s="2"/>
    </row>
    <row r="143" spans="2:7" x14ac:dyDescent="0.25">
      <c r="B143" s="4">
        <v>45843</v>
      </c>
      <c r="C143" s="2"/>
      <c r="D143" s="2"/>
      <c r="E143" s="2"/>
      <c r="F143" s="2"/>
      <c r="G143" s="2"/>
    </row>
    <row r="144" spans="2:7" x14ac:dyDescent="0.25">
      <c r="B144" s="4">
        <v>45844</v>
      </c>
      <c r="C144" s="2"/>
      <c r="D144" s="2"/>
      <c r="E144" s="2"/>
      <c r="F144" s="2"/>
      <c r="G144" s="2"/>
    </row>
    <row r="145" spans="2:7" x14ac:dyDescent="0.25">
      <c r="B145" s="4">
        <v>45845</v>
      </c>
      <c r="C145" s="2"/>
      <c r="D145" s="2"/>
      <c r="E145" s="2"/>
      <c r="F145" s="2"/>
      <c r="G145" s="2"/>
    </row>
    <row r="146" spans="2:7" x14ac:dyDescent="0.25">
      <c r="B146" s="4">
        <v>45846</v>
      </c>
      <c r="C146" s="2"/>
      <c r="D146" s="2"/>
      <c r="E146" s="2"/>
      <c r="F146" s="2"/>
      <c r="G146" s="2"/>
    </row>
    <row r="147" spans="2:7" x14ac:dyDescent="0.25">
      <c r="B147" s="4">
        <v>45847</v>
      </c>
      <c r="C147" s="2"/>
      <c r="D147" s="2"/>
      <c r="E147" s="2"/>
      <c r="F147" s="2"/>
      <c r="G147" s="2"/>
    </row>
    <row r="148" spans="2:7" x14ac:dyDescent="0.25">
      <c r="B148" s="4">
        <v>45848</v>
      </c>
      <c r="C148" s="2"/>
      <c r="D148" s="2"/>
      <c r="E148" s="2"/>
      <c r="F148" s="2"/>
      <c r="G148" s="2"/>
    </row>
    <row r="149" spans="2:7" x14ac:dyDescent="0.25">
      <c r="B149" s="4">
        <v>45849</v>
      </c>
      <c r="C149" s="2"/>
      <c r="D149" s="2"/>
      <c r="E149" s="2"/>
      <c r="F149" s="2"/>
      <c r="G149" s="2"/>
    </row>
    <row r="150" spans="2:7" x14ac:dyDescent="0.25">
      <c r="B150" s="4">
        <v>45850</v>
      </c>
      <c r="C150" s="2"/>
      <c r="D150" s="2"/>
      <c r="E150" s="2"/>
      <c r="F150" s="2"/>
      <c r="G150" s="2"/>
    </row>
    <row r="151" spans="2:7" x14ac:dyDescent="0.25">
      <c r="B151" s="4">
        <v>45851</v>
      </c>
      <c r="C151" s="2"/>
      <c r="D151" s="2"/>
      <c r="E151" s="2"/>
      <c r="F151" s="2"/>
      <c r="G151" s="2"/>
    </row>
    <row r="152" spans="2:7" x14ac:dyDescent="0.25">
      <c r="B152" s="4">
        <v>45852</v>
      </c>
      <c r="C152" s="2"/>
      <c r="D152" s="2"/>
      <c r="E152" s="2"/>
      <c r="F152" s="2"/>
      <c r="G152" s="2"/>
    </row>
    <row r="153" spans="2:7" x14ac:dyDescent="0.25">
      <c r="B153" s="4">
        <v>45853</v>
      </c>
      <c r="C153" s="2"/>
      <c r="D153" s="2"/>
      <c r="E153" s="2"/>
      <c r="F153" s="2"/>
      <c r="G153" s="2"/>
    </row>
    <row r="154" spans="2:7" x14ac:dyDescent="0.25">
      <c r="B154" s="4">
        <v>45854</v>
      </c>
      <c r="C154" s="2"/>
      <c r="D154" s="2"/>
      <c r="E154" s="2"/>
      <c r="F154" s="2"/>
      <c r="G154" s="2"/>
    </row>
    <row r="155" spans="2:7" x14ac:dyDescent="0.25">
      <c r="B155" s="4">
        <v>45855</v>
      </c>
      <c r="C155" s="2"/>
      <c r="D155" s="2"/>
      <c r="E155" s="2"/>
      <c r="F155" s="2"/>
      <c r="G155" s="2"/>
    </row>
    <row r="156" spans="2:7" x14ac:dyDescent="0.25">
      <c r="B156" s="4">
        <v>45856</v>
      </c>
      <c r="C156" s="2"/>
      <c r="D156" s="2"/>
      <c r="E156" s="2"/>
      <c r="F156" s="2"/>
      <c r="G156" s="2"/>
    </row>
    <row r="157" spans="2:7" x14ac:dyDescent="0.25">
      <c r="B157" s="4">
        <v>45857</v>
      </c>
      <c r="C157" s="2"/>
      <c r="D157" s="2"/>
      <c r="E157" s="2"/>
      <c r="F157" s="2"/>
      <c r="G157" s="2"/>
    </row>
    <row r="158" spans="2:7" x14ac:dyDescent="0.25">
      <c r="B158" s="4">
        <v>45858</v>
      </c>
      <c r="C158" s="2"/>
      <c r="D158" s="2"/>
      <c r="E158" s="2"/>
      <c r="F158" s="2"/>
      <c r="G158" s="2"/>
    </row>
    <row r="159" spans="2:7" x14ac:dyDescent="0.25">
      <c r="B159" s="4">
        <v>45859</v>
      </c>
      <c r="C159" s="2"/>
      <c r="D159" s="2"/>
      <c r="E159" s="2"/>
      <c r="F159" s="2"/>
      <c r="G159" s="2"/>
    </row>
    <row r="160" spans="2:7" x14ac:dyDescent="0.25">
      <c r="B160" s="4">
        <v>45860</v>
      </c>
      <c r="C160" s="2"/>
      <c r="D160" s="2"/>
      <c r="E160" s="2"/>
      <c r="F160" s="2"/>
      <c r="G160" s="2"/>
    </row>
    <row r="161" spans="2:7" x14ac:dyDescent="0.25">
      <c r="B161" s="4">
        <v>45861</v>
      </c>
      <c r="C161" s="2"/>
      <c r="D161" s="2"/>
      <c r="E161" s="2"/>
      <c r="F161" s="2"/>
      <c r="G161" s="2"/>
    </row>
    <row r="162" spans="2:7" x14ac:dyDescent="0.25">
      <c r="B162" s="4">
        <v>45862</v>
      </c>
      <c r="C162" s="2"/>
      <c r="D162" s="2"/>
      <c r="E162" s="2"/>
      <c r="F162" s="2"/>
      <c r="G162" s="2"/>
    </row>
    <row r="163" spans="2:7" x14ac:dyDescent="0.25">
      <c r="B163" s="4">
        <v>45863</v>
      </c>
      <c r="C163" s="2"/>
      <c r="D163" s="2"/>
      <c r="E163" s="2"/>
      <c r="F163" s="2"/>
      <c r="G163" s="2"/>
    </row>
    <row r="164" spans="2:7" x14ac:dyDescent="0.25">
      <c r="B164" s="4">
        <v>45864</v>
      </c>
      <c r="C164" s="2"/>
      <c r="D164" s="2"/>
      <c r="E164" s="2"/>
      <c r="F164" s="2"/>
      <c r="G164" s="2"/>
    </row>
    <row r="165" spans="2:7" x14ac:dyDescent="0.25">
      <c r="B165" s="4">
        <v>45865</v>
      </c>
      <c r="C165" s="2"/>
      <c r="D165" s="2"/>
      <c r="E165" s="2"/>
      <c r="F165" s="2"/>
      <c r="G165" s="2"/>
    </row>
    <row r="166" spans="2:7" x14ac:dyDescent="0.25">
      <c r="B166" s="4">
        <v>45866</v>
      </c>
      <c r="C166" s="2"/>
      <c r="D166" s="2"/>
      <c r="E166" s="2"/>
      <c r="F166" s="2"/>
      <c r="G166" s="2"/>
    </row>
    <row r="167" spans="2:7" x14ac:dyDescent="0.25">
      <c r="B167" s="4">
        <v>45867</v>
      </c>
      <c r="C167" s="2"/>
      <c r="D167" s="2"/>
      <c r="E167" s="2"/>
      <c r="F167" s="2"/>
      <c r="G167" s="2"/>
    </row>
    <row r="168" spans="2:7" x14ac:dyDescent="0.25">
      <c r="B168" s="4">
        <v>45868</v>
      </c>
      <c r="C168" s="2"/>
      <c r="D168" s="2"/>
      <c r="E168" s="2"/>
      <c r="F168" s="2"/>
      <c r="G168" s="2"/>
    </row>
    <row r="169" spans="2:7" x14ac:dyDescent="0.25">
      <c r="B169" s="4">
        <v>45869</v>
      </c>
      <c r="C169" s="2"/>
      <c r="D169" s="2"/>
      <c r="E169" s="2"/>
      <c r="F169" s="2"/>
      <c r="G169" s="2"/>
    </row>
    <row r="170" spans="2:7" x14ac:dyDescent="0.25">
      <c r="B170" s="4">
        <v>45870</v>
      </c>
      <c r="C170" s="2" t="s">
        <v>4729</v>
      </c>
      <c r="D170" s="2"/>
      <c r="E170" s="2"/>
      <c r="F170" s="2"/>
      <c r="G170" s="2"/>
    </row>
    <row r="171" spans="2:7" x14ac:dyDescent="0.25">
      <c r="B171" s="4">
        <v>45871</v>
      </c>
      <c r="C171" s="2" t="s">
        <v>4843</v>
      </c>
      <c r="D171" s="2"/>
      <c r="E171" s="2"/>
      <c r="F171" s="2"/>
      <c r="G171" s="2"/>
    </row>
    <row r="172" spans="2:7" x14ac:dyDescent="0.25">
      <c r="B172" s="4">
        <v>45872</v>
      </c>
      <c r="C172" s="2" t="s">
        <v>480</v>
      </c>
      <c r="D172" s="2"/>
      <c r="E172" s="2"/>
      <c r="F172" s="2"/>
      <c r="G172" s="2"/>
    </row>
    <row r="173" spans="2:7" x14ac:dyDescent="0.25">
      <c r="B173" s="4">
        <v>45873</v>
      </c>
      <c r="C173" s="2" t="s">
        <v>4860</v>
      </c>
      <c r="D173" s="2"/>
      <c r="E173" s="2"/>
      <c r="F173" s="2"/>
      <c r="G173" s="2"/>
    </row>
    <row r="174" spans="2:7" x14ac:dyDescent="0.25">
      <c r="B174" s="4">
        <v>45874</v>
      </c>
      <c r="C174" s="2" t="s">
        <v>4867</v>
      </c>
      <c r="D174" s="2"/>
      <c r="E174" s="2"/>
      <c r="F174" s="2"/>
      <c r="G174" s="2"/>
    </row>
    <row r="175" spans="2:7" x14ac:dyDescent="0.25">
      <c r="B175" s="4">
        <v>45875</v>
      </c>
      <c r="C175" s="2" t="s">
        <v>4887</v>
      </c>
      <c r="D175" s="2"/>
      <c r="E175" s="2">
        <v>6</v>
      </c>
      <c r="F175" s="2">
        <f t="shared" ref="F175:F195" si="1">E175-E174</f>
        <v>6</v>
      </c>
      <c r="G175" s="2"/>
    </row>
    <row r="176" spans="2:7" x14ac:dyDescent="0.25">
      <c r="B176" s="4">
        <v>45876</v>
      </c>
      <c r="C176" s="2" t="s">
        <v>4913</v>
      </c>
      <c r="D176" s="2"/>
      <c r="E176" s="2">
        <v>28</v>
      </c>
      <c r="F176" s="2">
        <f t="shared" si="1"/>
        <v>22</v>
      </c>
      <c r="G176" s="2"/>
    </row>
    <row r="177" spans="2:7" x14ac:dyDescent="0.25">
      <c r="B177" s="4">
        <v>45877</v>
      </c>
      <c r="C177" s="2" t="s">
        <v>4928</v>
      </c>
      <c r="D177" s="2"/>
      <c r="E177" s="2">
        <v>33</v>
      </c>
      <c r="F177" s="2">
        <f t="shared" si="1"/>
        <v>5</v>
      </c>
      <c r="G177" s="2"/>
    </row>
    <row r="178" spans="2:7" x14ac:dyDescent="0.25">
      <c r="B178" s="4">
        <v>45878</v>
      </c>
      <c r="C178" s="2" t="s">
        <v>4944</v>
      </c>
      <c r="D178" s="2"/>
      <c r="E178" s="2">
        <v>35</v>
      </c>
      <c r="F178" s="2">
        <f t="shared" si="1"/>
        <v>2</v>
      </c>
      <c r="G178" s="2"/>
    </row>
    <row r="179" spans="2:7" x14ac:dyDescent="0.25">
      <c r="B179" s="4">
        <v>45879</v>
      </c>
      <c r="C179" s="2" t="s">
        <v>480</v>
      </c>
      <c r="D179" s="2"/>
      <c r="E179" s="2">
        <v>35</v>
      </c>
      <c r="F179" s="2">
        <f t="shared" si="1"/>
        <v>0</v>
      </c>
      <c r="G179" s="2"/>
    </row>
    <row r="180" spans="2:7" x14ac:dyDescent="0.25">
      <c r="B180" s="4">
        <v>45880</v>
      </c>
      <c r="C180" s="2" t="s">
        <v>4966</v>
      </c>
      <c r="D180" s="2" t="s">
        <v>4972</v>
      </c>
      <c r="E180" s="2">
        <v>39</v>
      </c>
      <c r="F180" s="2">
        <f t="shared" si="1"/>
        <v>4</v>
      </c>
      <c r="G180" s="2"/>
    </row>
    <row r="181" spans="2:7" x14ac:dyDescent="0.25">
      <c r="B181" s="4">
        <v>45881</v>
      </c>
      <c r="C181" s="2" t="s">
        <v>4974</v>
      </c>
      <c r="D181" s="2"/>
      <c r="E181" s="2">
        <v>39</v>
      </c>
      <c r="F181" s="2">
        <f t="shared" si="1"/>
        <v>0</v>
      </c>
      <c r="G181" s="2"/>
    </row>
    <row r="182" spans="2:7" x14ac:dyDescent="0.25">
      <c r="B182" s="4">
        <v>45882</v>
      </c>
      <c r="C182" s="2" t="s">
        <v>4996</v>
      </c>
      <c r="D182" s="2"/>
      <c r="E182" s="2">
        <v>39</v>
      </c>
      <c r="F182" s="2">
        <f t="shared" si="1"/>
        <v>0</v>
      </c>
      <c r="G182" s="2"/>
    </row>
    <row r="183" spans="2:7" x14ac:dyDescent="0.25">
      <c r="B183" s="4">
        <v>45883</v>
      </c>
      <c r="C183" s="2" t="s">
        <v>5028</v>
      </c>
      <c r="D183" s="2"/>
      <c r="E183" s="2">
        <v>42</v>
      </c>
      <c r="F183" s="2">
        <f t="shared" si="1"/>
        <v>3</v>
      </c>
      <c r="G183" s="2"/>
    </row>
    <row r="184" spans="2:7" x14ac:dyDescent="0.25">
      <c r="B184" s="4">
        <v>45884</v>
      </c>
      <c r="C184" s="2" t="s">
        <v>5026</v>
      </c>
      <c r="D184" s="2"/>
      <c r="E184" s="2">
        <v>47</v>
      </c>
      <c r="F184" s="2">
        <f t="shared" si="1"/>
        <v>5</v>
      </c>
      <c r="G184" s="2"/>
    </row>
    <row r="185" spans="2:7" x14ac:dyDescent="0.25">
      <c r="B185" s="4">
        <v>45885</v>
      </c>
      <c r="C185" s="2" t="s">
        <v>5037</v>
      </c>
      <c r="D185" s="2"/>
      <c r="E185" s="2">
        <v>55</v>
      </c>
      <c r="F185" s="2">
        <f t="shared" si="1"/>
        <v>8</v>
      </c>
      <c r="G185" s="2"/>
    </row>
    <row r="186" spans="2:7" x14ac:dyDescent="0.25">
      <c r="B186" s="4">
        <v>45886</v>
      </c>
      <c r="C186" s="2" t="s">
        <v>480</v>
      </c>
      <c r="D186" s="2"/>
      <c r="E186" s="2">
        <v>55</v>
      </c>
      <c r="F186" s="2">
        <f t="shared" si="1"/>
        <v>0</v>
      </c>
      <c r="G186" s="2"/>
    </row>
    <row r="187" spans="2:7" x14ac:dyDescent="0.25">
      <c r="B187" s="4">
        <v>45887</v>
      </c>
      <c r="C187" s="2" t="s">
        <v>5062</v>
      </c>
      <c r="D187" s="2"/>
      <c r="E187" s="2">
        <v>61</v>
      </c>
      <c r="F187" s="2">
        <f t="shared" si="1"/>
        <v>6</v>
      </c>
      <c r="G187" s="2"/>
    </row>
    <row r="188" spans="2:7" x14ac:dyDescent="0.25">
      <c r="B188" s="4">
        <v>45888</v>
      </c>
      <c r="C188" s="2" t="s">
        <v>5066</v>
      </c>
      <c r="D188" s="2"/>
      <c r="E188" s="2">
        <v>72</v>
      </c>
      <c r="F188" s="2">
        <f t="shared" si="1"/>
        <v>11</v>
      </c>
      <c r="G188" s="2"/>
    </row>
    <row r="189" spans="2:7" x14ac:dyDescent="0.25">
      <c r="B189" s="4">
        <v>45889</v>
      </c>
      <c r="C189" s="2" t="s">
        <v>5080</v>
      </c>
      <c r="D189" s="2"/>
      <c r="E189" s="2">
        <v>82</v>
      </c>
      <c r="F189" s="2">
        <f t="shared" si="1"/>
        <v>10</v>
      </c>
      <c r="G189" s="2"/>
    </row>
    <row r="190" spans="2:7" x14ac:dyDescent="0.25">
      <c r="B190" s="4">
        <v>45890</v>
      </c>
      <c r="C190" s="2" t="s">
        <v>5095</v>
      </c>
      <c r="D190" s="2"/>
      <c r="E190" s="2">
        <v>87</v>
      </c>
      <c r="F190" s="2">
        <f t="shared" si="1"/>
        <v>5</v>
      </c>
      <c r="G190" s="2"/>
    </row>
    <row r="191" spans="2:7" x14ac:dyDescent="0.25">
      <c r="B191" s="4">
        <v>45891</v>
      </c>
      <c r="C191" s="2" t="s">
        <v>5105</v>
      </c>
      <c r="D191" s="2" t="s">
        <v>5106</v>
      </c>
      <c r="E191" s="2">
        <v>102</v>
      </c>
      <c r="F191" s="2">
        <f t="shared" si="1"/>
        <v>15</v>
      </c>
      <c r="G191" s="2"/>
    </row>
    <row r="192" spans="2:7" x14ac:dyDescent="0.25">
      <c r="B192" s="4">
        <v>45892</v>
      </c>
      <c r="C192" s="2" t="s">
        <v>5123</v>
      </c>
      <c r="D192" s="2" t="s">
        <v>5124</v>
      </c>
      <c r="E192" s="2">
        <v>46</v>
      </c>
      <c r="F192" s="2">
        <v>46</v>
      </c>
      <c r="G192" s="2"/>
    </row>
    <row r="193" spans="2:7" x14ac:dyDescent="0.25">
      <c r="B193" s="4">
        <v>45893</v>
      </c>
      <c r="C193" s="2" t="s">
        <v>480</v>
      </c>
      <c r="D193" s="2"/>
      <c r="E193" s="2">
        <v>46</v>
      </c>
      <c r="F193" s="2">
        <f t="shared" si="1"/>
        <v>0</v>
      </c>
      <c r="G193" s="2"/>
    </row>
    <row r="194" spans="2:7" x14ac:dyDescent="0.25">
      <c r="B194" s="4">
        <v>45894</v>
      </c>
      <c r="C194" s="2" t="s">
        <v>5147</v>
      </c>
      <c r="D194" s="2"/>
      <c r="E194" s="2">
        <v>76</v>
      </c>
      <c r="F194" s="2">
        <f t="shared" si="1"/>
        <v>30</v>
      </c>
      <c r="G194" s="2"/>
    </row>
    <row r="195" spans="2:7" x14ac:dyDescent="0.25">
      <c r="B195" s="4">
        <v>45895</v>
      </c>
      <c r="C195" s="2" t="s">
        <v>5158</v>
      </c>
      <c r="D195" s="2"/>
      <c r="E195" s="2">
        <v>102</v>
      </c>
      <c r="F195" s="2">
        <f t="shared" si="1"/>
        <v>26</v>
      </c>
      <c r="G195" s="2"/>
    </row>
    <row r="196" spans="2:7" x14ac:dyDescent="0.25">
      <c r="B196" s="4">
        <v>45896</v>
      </c>
      <c r="C196" s="2" t="s">
        <v>5173</v>
      </c>
      <c r="D196" s="2"/>
      <c r="E196" s="2"/>
      <c r="F196" s="2"/>
      <c r="G196" s="2"/>
    </row>
    <row r="197" spans="2:7" x14ac:dyDescent="0.25">
      <c r="B197" s="4">
        <v>45897</v>
      </c>
      <c r="C197" s="2" t="s">
        <v>5200</v>
      </c>
      <c r="D197" s="2"/>
      <c r="E197" s="2"/>
      <c r="F197" s="2"/>
      <c r="G197" s="2"/>
    </row>
    <row r="198" spans="2:7" x14ac:dyDescent="0.25">
      <c r="B198" s="4">
        <v>45898</v>
      </c>
      <c r="C198" s="2" t="s">
        <v>5206</v>
      </c>
      <c r="D198" s="2"/>
      <c r="E198" s="2"/>
      <c r="F198" s="2"/>
      <c r="G198" s="2"/>
    </row>
    <row r="199" spans="2:7" x14ac:dyDescent="0.25">
      <c r="B199" s="4">
        <v>45899</v>
      </c>
      <c r="C199" s="2" t="s">
        <v>5219</v>
      </c>
      <c r="D199" s="2"/>
      <c r="E199" s="2"/>
      <c r="F199" s="2"/>
      <c r="G199" s="2"/>
    </row>
    <row r="200" spans="2:7" x14ac:dyDescent="0.25">
      <c r="B200" s="4">
        <v>45900</v>
      </c>
      <c r="C200" s="2" t="s">
        <v>480</v>
      </c>
      <c r="D200" s="2"/>
      <c r="E200" s="2"/>
      <c r="F200" s="2"/>
      <c r="G200" s="2"/>
    </row>
    <row r="201" spans="2:7" x14ac:dyDescent="0.25">
      <c r="B201" s="4">
        <v>45901</v>
      </c>
      <c r="C201" s="2" t="s">
        <v>5241</v>
      </c>
      <c r="D201" s="2"/>
      <c r="E201" s="2"/>
      <c r="F201" s="2"/>
      <c r="G201" s="2"/>
    </row>
    <row r="202" spans="2:7" x14ac:dyDescent="0.25">
      <c r="B202" s="4">
        <v>45902</v>
      </c>
      <c r="C202" s="2"/>
      <c r="D202" s="2"/>
      <c r="E202" s="2"/>
      <c r="F202" s="2"/>
      <c r="G202" s="2"/>
    </row>
    <row r="203" spans="2:7" x14ac:dyDescent="0.25">
      <c r="B203" s="4">
        <v>45903</v>
      </c>
      <c r="C203" s="2"/>
      <c r="D203" s="2"/>
      <c r="E203" s="2"/>
      <c r="F203" s="2"/>
      <c r="G203" s="2"/>
    </row>
    <row r="204" spans="2:7" x14ac:dyDescent="0.25">
      <c r="B204" s="4">
        <v>45904</v>
      </c>
      <c r="C204" s="2" t="s">
        <v>5275</v>
      </c>
      <c r="D204" s="2"/>
      <c r="E204" s="2"/>
      <c r="F204" s="2"/>
      <c r="G204" s="2"/>
    </row>
    <row r="205" spans="2:7" x14ac:dyDescent="0.25">
      <c r="B205" s="4">
        <v>45905</v>
      </c>
      <c r="C205" s="2"/>
      <c r="D205" s="2"/>
      <c r="E205" s="2"/>
      <c r="F205" s="2"/>
      <c r="G205" s="2"/>
    </row>
    <row r="206" spans="2:7" x14ac:dyDescent="0.25">
      <c r="B206" s="4">
        <v>45906</v>
      </c>
      <c r="C206" s="2" t="s">
        <v>5310</v>
      </c>
      <c r="D206" s="2"/>
      <c r="E206" s="2"/>
      <c r="F206" s="2"/>
      <c r="G206" s="2"/>
    </row>
    <row r="207" spans="2:7" x14ac:dyDescent="0.25">
      <c r="B207" s="4">
        <v>45907</v>
      </c>
      <c r="C207" s="2"/>
      <c r="D207" s="2"/>
      <c r="E207" s="2"/>
      <c r="F207" s="2"/>
      <c r="G207" s="2"/>
    </row>
    <row r="208" spans="2:7" x14ac:dyDescent="0.25">
      <c r="B208" s="4">
        <v>45908</v>
      </c>
      <c r="C208" s="2"/>
      <c r="D208" s="2"/>
      <c r="E208" s="2"/>
      <c r="F208" s="2"/>
      <c r="G208" s="2"/>
    </row>
    <row r="209" spans="2:7" x14ac:dyDescent="0.25">
      <c r="B209" s="4">
        <v>45909</v>
      </c>
      <c r="C209" s="2"/>
      <c r="D209" s="2"/>
      <c r="E209" s="2"/>
      <c r="F209" s="2"/>
      <c r="G209" s="2"/>
    </row>
    <row r="210" spans="2:7" x14ac:dyDescent="0.25">
      <c r="B210" s="4">
        <v>45910</v>
      </c>
      <c r="C210" s="2"/>
      <c r="D210" s="2"/>
      <c r="E210" s="2"/>
      <c r="F210" s="2"/>
      <c r="G210" s="2"/>
    </row>
    <row r="211" spans="2:7" x14ac:dyDescent="0.25">
      <c r="B211" s="4">
        <v>45911</v>
      </c>
      <c r="C211" s="2"/>
      <c r="D211" s="2"/>
      <c r="E211" s="2"/>
      <c r="F211" s="2"/>
      <c r="G211" s="2"/>
    </row>
    <row r="212" spans="2:7" x14ac:dyDescent="0.25">
      <c r="B212" s="4">
        <v>45912</v>
      </c>
      <c r="C212" s="2"/>
      <c r="D212" s="2"/>
      <c r="E212" s="2"/>
      <c r="F212" s="2"/>
      <c r="G212" s="2"/>
    </row>
    <row r="213" spans="2:7" x14ac:dyDescent="0.25">
      <c r="B213" s="4">
        <v>45913</v>
      </c>
      <c r="C213" s="53"/>
      <c r="D213" s="2" t="s">
        <v>5360</v>
      </c>
      <c r="E213" s="2"/>
      <c r="F213" s="2"/>
      <c r="G213" s="2"/>
    </row>
    <row r="214" spans="2:7" x14ac:dyDescent="0.25">
      <c r="B214" s="4">
        <v>45914</v>
      </c>
      <c r="C214" s="2"/>
      <c r="D214" s="2"/>
      <c r="E214" s="2"/>
      <c r="F214" s="2"/>
      <c r="G214" s="2"/>
    </row>
    <row r="215" spans="2:7" x14ac:dyDescent="0.25">
      <c r="B215" s="4">
        <v>45915</v>
      </c>
      <c r="C215" s="2"/>
      <c r="D215" s="2"/>
      <c r="E215" s="2"/>
      <c r="F215" s="2"/>
      <c r="G215" s="2"/>
    </row>
    <row r="216" spans="2:7" x14ac:dyDescent="0.25">
      <c r="B216" s="4">
        <v>45916</v>
      </c>
      <c r="C216" s="2"/>
      <c r="D216" s="2"/>
      <c r="E216" s="2"/>
      <c r="F216" s="2"/>
      <c r="G216" s="2"/>
    </row>
    <row r="217" spans="2:7" x14ac:dyDescent="0.25">
      <c r="B217" s="4">
        <v>45917</v>
      </c>
      <c r="C217" s="2"/>
      <c r="D217" s="2"/>
      <c r="E217" s="2"/>
      <c r="F217" s="2"/>
      <c r="G217" s="2"/>
    </row>
    <row r="218" spans="2:7" x14ac:dyDescent="0.25">
      <c r="B218" s="4">
        <v>45918</v>
      </c>
      <c r="C218" s="2"/>
      <c r="D218" s="2"/>
      <c r="E218" s="2"/>
      <c r="F218" s="2"/>
      <c r="G218" s="2"/>
    </row>
    <row r="219" spans="2:7" x14ac:dyDescent="0.25">
      <c r="B219" s="4">
        <v>45919</v>
      </c>
      <c r="C219" s="2"/>
      <c r="D219" s="2"/>
      <c r="E219" s="2"/>
      <c r="F219" s="2"/>
      <c r="G219" s="2"/>
    </row>
    <row r="220" spans="2:7" x14ac:dyDescent="0.25">
      <c r="B220" s="4">
        <v>45920</v>
      </c>
      <c r="C220" s="2"/>
      <c r="D220" s="2"/>
      <c r="E220" s="2"/>
      <c r="F220" s="2"/>
      <c r="G220" s="2"/>
    </row>
    <row r="221" spans="2:7" x14ac:dyDescent="0.25">
      <c r="B221" s="4">
        <v>45921</v>
      </c>
      <c r="C221" s="2"/>
      <c r="D221" s="2"/>
      <c r="E221" s="2"/>
      <c r="F221" s="2"/>
      <c r="G221" s="2"/>
    </row>
    <row r="222" spans="2:7" x14ac:dyDescent="0.25">
      <c r="B222" s="4">
        <v>45922</v>
      </c>
      <c r="C222" s="2"/>
      <c r="D222" s="2"/>
      <c r="E222" s="2"/>
      <c r="F222" s="2"/>
      <c r="G222" s="2"/>
    </row>
    <row r="223" spans="2:7" x14ac:dyDescent="0.25">
      <c r="B223" s="4">
        <v>45923</v>
      </c>
      <c r="C223" s="2"/>
      <c r="D223" s="2"/>
      <c r="E223" s="2"/>
      <c r="F223" s="2"/>
      <c r="G223" s="2"/>
    </row>
    <row r="224" spans="2:7" x14ac:dyDescent="0.25">
      <c r="B224" s="4">
        <v>45924</v>
      </c>
      <c r="C224" s="2"/>
      <c r="D224" s="2"/>
      <c r="E224" s="2"/>
      <c r="F224" s="2"/>
      <c r="G224" s="2"/>
    </row>
    <row r="225" spans="2:7" x14ac:dyDescent="0.25">
      <c r="B225" s="4">
        <v>45925</v>
      </c>
      <c r="C225" s="2"/>
      <c r="D225" s="2"/>
      <c r="E225" s="2"/>
      <c r="F225" s="2"/>
      <c r="G225" s="2"/>
    </row>
    <row r="226" spans="2:7" x14ac:dyDescent="0.25">
      <c r="B226" s="4">
        <v>45926</v>
      </c>
      <c r="C226" s="2"/>
      <c r="D226" s="2"/>
      <c r="E226" s="2"/>
      <c r="F226" s="2"/>
      <c r="G226" s="2"/>
    </row>
    <row r="227" spans="2:7" x14ac:dyDescent="0.25">
      <c r="B227" s="4">
        <v>45927</v>
      </c>
      <c r="C227" s="2"/>
      <c r="D227" s="2"/>
      <c r="E227" s="2"/>
      <c r="F227" s="2"/>
      <c r="G227" s="2"/>
    </row>
    <row r="228" spans="2:7" x14ac:dyDescent="0.25">
      <c r="B228" s="4">
        <v>45928</v>
      </c>
      <c r="C228" s="2"/>
      <c r="D228" s="2"/>
      <c r="E228" s="2"/>
      <c r="F228" s="2"/>
      <c r="G228" s="2"/>
    </row>
    <row r="229" spans="2:7" x14ac:dyDescent="0.25">
      <c r="B229" s="4">
        <v>45929</v>
      </c>
      <c r="C229" s="2"/>
      <c r="D229" s="2"/>
      <c r="E229" s="2"/>
      <c r="F229" s="2"/>
      <c r="G229" s="2"/>
    </row>
    <row r="230" spans="2:7" x14ac:dyDescent="0.25">
      <c r="B230" s="4">
        <v>45930</v>
      </c>
      <c r="C230" s="2"/>
      <c r="D230" s="2"/>
      <c r="E230" s="2"/>
      <c r="F230" s="2"/>
      <c r="G230" s="2"/>
    </row>
    <row r="231" spans="2:7" x14ac:dyDescent="0.25">
      <c r="B231" s="2"/>
      <c r="C231" s="2"/>
      <c r="D231" s="2"/>
      <c r="E231" s="2"/>
      <c r="F231" s="2"/>
      <c r="G231" s="2"/>
    </row>
    <row r="232" spans="2:7" x14ac:dyDescent="0.25">
      <c r="B232" s="2"/>
      <c r="C232" s="2"/>
      <c r="D232" s="2"/>
      <c r="E232" s="2"/>
      <c r="F232" s="2"/>
      <c r="G232" s="2"/>
    </row>
    <row r="233" spans="2:7" x14ac:dyDescent="0.25">
      <c r="B233" s="2"/>
      <c r="C233" s="2"/>
      <c r="D233" s="2"/>
      <c r="E233" s="2"/>
      <c r="F233" s="2"/>
      <c r="G233" s="2"/>
    </row>
    <row r="234" spans="2:7" x14ac:dyDescent="0.25">
      <c r="B234" s="2"/>
      <c r="C234" s="2"/>
      <c r="D234" s="2"/>
      <c r="E234" s="2"/>
      <c r="F234" s="2"/>
      <c r="G234" s="2"/>
    </row>
    <row r="235" spans="2:7" x14ac:dyDescent="0.25">
      <c r="B235" s="2"/>
      <c r="C235" s="2"/>
      <c r="D235" s="2"/>
      <c r="E235" s="2"/>
      <c r="F235" s="2"/>
      <c r="G235" s="2"/>
    </row>
    <row r="236" spans="2:7" x14ac:dyDescent="0.25">
      <c r="B236" s="2"/>
      <c r="C236" s="2"/>
      <c r="D236" s="2"/>
      <c r="E236" s="2"/>
      <c r="F236" s="2"/>
      <c r="G236" s="2"/>
    </row>
    <row r="237" spans="2:7" x14ac:dyDescent="0.25">
      <c r="B237" s="2"/>
      <c r="C237" s="2"/>
      <c r="D237" s="2"/>
      <c r="E237" s="2"/>
      <c r="F237" s="2"/>
      <c r="G237" s="2"/>
    </row>
    <row r="238" spans="2:7" x14ac:dyDescent="0.25">
      <c r="B238" s="2"/>
      <c r="C238" s="2"/>
      <c r="D238" s="2"/>
      <c r="E238" s="2"/>
      <c r="F238" s="2"/>
      <c r="G238" s="2"/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B3:G185"/>
  <sheetViews>
    <sheetView workbookViewId="0">
      <pane ySplit="4" topLeftCell="A121" activePane="bottomLeft" state="frozen"/>
      <selection pane="bottomLeft" activeCell="C131" sqref="C131"/>
    </sheetView>
  </sheetViews>
  <sheetFormatPr defaultRowHeight="15" x14ac:dyDescent="0.25"/>
  <cols>
    <col min="2" max="2" width="18" bestFit="1" customWidth="1"/>
    <col min="3" max="3" width="72" bestFit="1" customWidth="1"/>
    <col min="4" max="4" width="42.140625" bestFit="1" customWidth="1"/>
    <col min="5" max="5" width="11.85546875" bestFit="1" customWidth="1"/>
    <col min="6" max="6" width="8.42578125" bestFit="1" customWidth="1"/>
    <col min="7" max="7" width="11" bestFit="1" customWidth="1"/>
  </cols>
  <sheetData>
    <row r="3" spans="2:7" x14ac:dyDescent="0.25">
      <c r="B3" s="53" t="s">
        <v>5084</v>
      </c>
    </row>
    <row r="4" spans="2:7" ht="15.75" x14ac:dyDescent="0.25">
      <c r="B4" s="10" t="s">
        <v>0</v>
      </c>
      <c r="C4" s="11" t="s">
        <v>1</v>
      </c>
      <c r="D4" s="11" t="s">
        <v>2</v>
      </c>
      <c r="E4" s="11" t="s">
        <v>934</v>
      </c>
      <c r="F4" s="11" t="s">
        <v>1095</v>
      </c>
      <c r="G4" s="11" t="s">
        <v>1507</v>
      </c>
    </row>
    <row r="5" spans="2:7" x14ac:dyDescent="0.25">
      <c r="B5" s="4">
        <v>45786</v>
      </c>
      <c r="C5" s="2" t="s">
        <v>1528</v>
      </c>
      <c r="D5" s="2"/>
      <c r="E5" s="23">
        <v>0</v>
      </c>
      <c r="F5" s="2"/>
      <c r="G5" s="2"/>
    </row>
    <row r="6" spans="2:7" x14ac:dyDescent="0.25">
      <c r="B6" s="4">
        <v>45787</v>
      </c>
      <c r="C6" s="2" t="s">
        <v>3904</v>
      </c>
      <c r="D6" s="115" t="s">
        <v>3888</v>
      </c>
      <c r="E6" s="23">
        <v>0</v>
      </c>
      <c r="F6" s="2">
        <f t="shared" ref="F6:F34" si="0">E6-E5</f>
        <v>0</v>
      </c>
      <c r="G6" s="2"/>
    </row>
    <row r="7" spans="2:7" x14ac:dyDescent="0.25">
      <c r="B7" s="4">
        <v>45788</v>
      </c>
      <c r="C7" s="2" t="s">
        <v>3905</v>
      </c>
      <c r="D7" s="2"/>
      <c r="E7" s="23">
        <v>0</v>
      </c>
      <c r="F7" s="2">
        <f t="shared" si="0"/>
        <v>0</v>
      </c>
      <c r="G7" s="2"/>
    </row>
    <row r="8" spans="2:7" x14ac:dyDescent="0.25">
      <c r="B8" s="4">
        <v>45789</v>
      </c>
      <c r="C8" s="2" t="s">
        <v>480</v>
      </c>
      <c r="D8" s="2"/>
      <c r="E8" s="23">
        <v>0</v>
      </c>
      <c r="F8" s="2">
        <f t="shared" si="0"/>
        <v>0</v>
      </c>
      <c r="G8" s="2"/>
    </row>
    <row r="9" spans="2:7" x14ac:dyDescent="0.25">
      <c r="B9" s="4">
        <v>45790</v>
      </c>
      <c r="C9" s="2" t="s">
        <v>3912</v>
      </c>
      <c r="D9" s="2"/>
      <c r="E9" s="23">
        <v>0</v>
      </c>
      <c r="F9" s="2">
        <f t="shared" si="0"/>
        <v>0</v>
      </c>
      <c r="G9" s="2"/>
    </row>
    <row r="10" spans="2:7" x14ac:dyDescent="0.25">
      <c r="B10" s="4">
        <v>45791</v>
      </c>
      <c r="C10" s="2" t="s">
        <v>3936</v>
      </c>
      <c r="D10" s="2"/>
      <c r="E10" s="23">
        <v>2</v>
      </c>
      <c r="F10" s="2">
        <f t="shared" si="0"/>
        <v>2</v>
      </c>
      <c r="G10" s="2"/>
    </row>
    <row r="11" spans="2:7" x14ac:dyDescent="0.25">
      <c r="B11" s="4">
        <v>45792</v>
      </c>
      <c r="C11" s="2" t="s">
        <v>3937</v>
      </c>
      <c r="D11" s="2"/>
      <c r="E11" s="23">
        <v>10</v>
      </c>
      <c r="F11" s="2">
        <f t="shared" si="0"/>
        <v>8</v>
      </c>
      <c r="G11" s="2"/>
    </row>
    <row r="12" spans="2:7" x14ac:dyDescent="0.25">
      <c r="B12" s="4">
        <v>45793</v>
      </c>
      <c r="C12" s="2" t="s">
        <v>3948</v>
      </c>
      <c r="D12" s="58"/>
      <c r="E12" s="23">
        <v>15</v>
      </c>
      <c r="F12" s="2">
        <f t="shared" si="0"/>
        <v>5</v>
      </c>
      <c r="G12" s="2"/>
    </row>
    <row r="13" spans="2:7" x14ac:dyDescent="0.25">
      <c r="B13" s="4">
        <v>45794</v>
      </c>
      <c r="C13" s="2" t="s">
        <v>3954</v>
      </c>
      <c r="D13" s="58"/>
      <c r="E13" s="23">
        <v>24.5</v>
      </c>
      <c r="F13" s="2">
        <f t="shared" si="0"/>
        <v>9.5</v>
      </c>
      <c r="G13" s="2"/>
    </row>
    <row r="14" spans="2:7" x14ac:dyDescent="0.25">
      <c r="B14" s="4">
        <v>45795</v>
      </c>
      <c r="C14" s="2" t="s">
        <v>3955</v>
      </c>
      <c r="D14" s="58" t="s">
        <v>3888</v>
      </c>
      <c r="E14" s="23">
        <v>37</v>
      </c>
      <c r="F14" s="2">
        <f t="shared" si="0"/>
        <v>12.5</v>
      </c>
      <c r="G14" s="2"/>
    </row>
    <row r="15" spans="2:7" x14ac:dyDescent="0.25">
      <c r="B15" s="4">
        <v>45796</v>
      </c>
      <c r="C15" s="2" t="s">
        <v>3988</v>
      </c>
      <c r="D15" s="2"/>
      <c r="E15" s="23">
        <v>49</v>
      </c>
      <c r="F15" s="2">
        <f t="shared" si="0"/>
        <v>12</v>
      </c>
      <c r="G15" s="2"/>
    </row>
    <row r="16" spans="2:7" x14ac:dyDescent="0.25">
      <c r="B16" s="4">
        <v>45797</v>
      </c>
      <c r="C16" s="2" t="s">
        <v>4001</v>
      </c>
      <c r="D16" s="2"/>
      <c r="E16" s="23">
        <v>60</v>
      </c>
      <c r="F16" s="2">
        <f t="shared" si="0"/>
        <v>11</v>
      </c>
      <c r="G16" s="2"/>
    </row>
    <row r="17" spans="2:7" x14ac:dyDescent="0.25">
      <c r="B17" s="4">
        <v>45798</v>
      </c>
      <c r="C17" s="2" t="s">
        <v>4005</v>
      </c>
      <c r="D17" s="2" t="s">
        <v>4006</v>
      </c>
      <c r="E17" s="23">
        <v>64</v>
      </c>
      <c r="F17" s="2">
        <f t="shared" si="0"/>
        <v>4</v>
      </c>
      <c r="G17" s="2"/>
    </row>
    <row r="18" spans="2:7" x14ac:dyDescent="0.25">
      <c r="B18" s="4">
        <v>45799</v>
      </c>
      <c r="C18" s="2" t="s">
        <v>4014</v>
      </c>
      <c r="D18" s="2" t="s">
        <v>4010</v>
      </c>
      <c r="E18" s="23">
        <v>74</v>
      </c>
      <c r="F18" s="2">
        <f t="shared" si="0"/>
        <v>10</v>
      </c>
      <c r="G18" s="2"/>
    </row>
    <row r="19" spans="2:7" x14ac:dyDescent="0.25">
      <c r="B19" s="4">
        <v>45800</v>
      </c>
      <c r="C19" s="2" t="s">
        <v>4023</v>
      </c>
      <c r="D19" s="2"/>
      <c r="E19" s="23">
        <v>85</v>
      </c>
      <c r="F19" s="2">
        <f t="shared" si="0"/>
        <v>11</v>
      </c>
      <c r="G19" s="2"/>
    </row>
    <row r="20" spans="2:7" x14ac:dyDescent="0.25">
      <c r="B20" s="4">
        <v>45801</v>
      </c>
      <c r="C20" s="2" t="s">
        <v>4029</v>
      </c>
      <c r="D20" s="2"/>
      <c r="E20" s="23">
        <v>90</v>
      </c>
      <c r="F20" s="2">
        <f t="shared" si="0"/>
        <v>5</v>
      </c>
      <c r="G20" s="2"/>
    </row>
    <row r="21" spans="2:7" x14ac:dyDescent="0.25">
      <c r="B21" s="4">
        <v>45802</v>
      </c>
      <c r="C21" s="2" t="s">
        <v>4069</v>
      </c>
      <c r="D21" s="2"/>
      <c r="E21" s="23">
        <v>91</v>
      </c>
      <c r="F21" s="2">
        <f t="shared" si="0"/>
        <v>1</v>
      </c>
      <c r="G21" s="2"/>
    </row>
    <row r="22" spans="2:7" x14ac:dyDescent="0.25">
      <c r="B22" s="4">
        <v>45803</v>
      </c>
      <c r="C22" s="2" t="s">
        <v>4041</v>
      </c>
      <c r="D22" s="2"/>
      <c r="E22" s="23">
        <v>30</v>
      </c>
      <c r="F22" s="2">
        <f t="shared" si="0"/>
        <v>-61</v>
      </c>
      <c r="G22" s="2"/>
    </row>
    <row r="23" spans="2:7" x14ac:dyDescent="0.25">
      <c r="B23" s="4">
        <v>45804</v>
      </c>
      <c r="C23" s="2" t="s">
        <v>4052</v>
      </c>
      <c r="D23" s="2"/>
      <c r="E23" s="23">
        <v>55</v>
      </c>
      <c r="F23" s="2">
        <f t="shared" si="0"/>
        <v>25</v>
      </c>
      <c r="G23" s="2"/>
    </row>
    <row r="24" spans="2:7" x14ac:dyDescent="0.25">
      <c r="B24" s="4">
        <v>45805</v>
      </c>
      <c r="C24" s="2" t="s">
        <v>4068</v>
      </c>
      <c r="D24" s="2"/>
      <c r="E24" s="23">
        <v>77</v>
      </c>
      <c r="F24" s="2">
        <f t="shared" si="0"/>
        <v>22</v>
      </c>
      <c r="G24" s="2"/>
    </row>
    <row r="25" spans="2:7" x14ac:dyDescent="0.25">
      <c r="B25" s="4">
        <v>45806</v>
      </c>
      <c r="C25" s="2" t="s">
        <v>4067</v>
      </c>
      <c r="D25" s="2"/>
      <c r="E25" s="23">
        <v>91</v>
      </c>
      <c r="F25" s="2">
        <f t="shared" si="0"/>
        <v>14</v>
      </c>
      <c r="G25" s="2"/>
    </row>
    <row r="26" spans="2:7" x14ac:dyDescent="0.25">
      <c r="B26" s="4">
        <v>45807</v>
      </c>
      <c r="C26" s="2" t="s">
        <v>4067</v>
      </c>
      <c r="D26" s="2"/>
      <c r="E26" s="23">
        <v>91.5</v>
      </c>
      <c r="F26" s="2">
        <f t="shared" si="0"/>
        <v>0.5</v>
      </c>
      <c r="G26" s="2"/>
    </row>
    <row r="27" spans="2:7" x14ac:dyDescent="0.25">
      <c r="B27" s="4">
        <v>45808</v>
      </c>
      <c r="C27" s="2" t="s">
        <v>4113</v>
      </c>
      <c r="D27" s="2"/>
      <c r="E27" s="23">
        <v>92.5</v>
      </c>
      <c r="F27" s="2">
        <f t="shared" si="0"/>
        <v>1</v>
      </c>
      <c r="G27" s="2"/>
    </row>
    <row r="28" spans="2:7" x14ac:dyDescent="0.25">
      <c r="B28" s="4">
        <v>45809</v>
      </c>
      <c r="C28" s="2" t="s">
        <v>4114</v>
      </c>
      <c r="D28" s="2" t="s">
        <v>4115</v>
      </c>
      <c r="E28" s="23">
        <v>97</v>
      </c>
      <c r="F28" s="2">
        <f t="shared" si="0"/>
        <v>4.5</v>
      </c>
      <c r="G28" s="2"/>
    </row>
    <row r="29" spans="2:7" x14ac:dyDescent="0.25">
      <c r="B29" s="4">
        <v>45810</v>
      </c>
      <c r="C29" s="2" t="s">
        <v>4125</v>
      </c>
      <c r="D29" s="2"/>
      <c r="E29" s="23">
        <v>103</v>
      </c>
      <c r="F29" s="2">
        <f t="shared" si="0"/>
        <v>6</v>
      </c>
      <c r="G29" s="2"/>
    </row>
    <row r="30" spans="2:7" x14ac:dyDescent="0.25">
      <c r="B30" s="4">
        <v>45811</v>
      </c>
      <c r="C30" s="2" t="s">
        <v>4135</v>
      </c>
      <c r="D30" s="2" t="s">
        <v>4010</v>
      </c>
      <c r="E30" s="23">
        <v>103</v>
      </c>
      <c r="F30" s="2">
        <f t="shared" si="0"/>
        <v>0</v>
      </c>
      <c r="G30" s="2"/>
    </row>
    <row r="31" spans="2:7" x14ac:dyDescent="0.25">
      <c r="B31" s="4">
        <v>45812</v>
      </c>
      <c r="C31" s="2" t="s">
        <v>4148</v>
      </c>
      <c r="D31" s="2"/>
      <c r="E31" s="23">
        <v>114</v>
      </c>
      <c r="F31" s="2">
        <f t="shared" si="0"/>
        <v>11</v>
      </c>
      <c r="G31" s="2"/>
    </row>
    <row r="32" spans="2:7" x14ac:dyDescent="0.25">
      <c r="B32" s="4">
        <v>45813</v>
      </c>
      <c r="C32" s="2" t="s">
        <v>4172</v>
      </c>
      <c r="D32" s="2"/>
      <c r="E32" s="23">
        <v>122</v>
      </c>
      <c r="F32" s="2">
        <f t="shared" si="0"/>
        <v>8</v>
      </c>
      <c r="G32" s="2"/>
    </row>
    <row r="33" spans="2:7" x14ac:dyDescent="0.25">
      <c r="B33" s="4">
        <v>45814</v>
      </c>
      <c r="C33" s="2" t="s">
        <v>4195</v>
      </c>
      <c r="D33" s="2"/>
      <c r="E33" s="23">
        <v>125</v>
      </c>
      <c r="F33" s="2">
        <f t="shared" si="0"/>
        <v>3</v>
      </c>
      <c r="G33" s="2"/>
    </row>
    <row r="34" spans="2:7" x14ac:dyDescent="0.25">
      <c r="B34" s="4">
        <v>45815</v>
      </c>
      <c r="C34" s="2" t="s">
        <v>4173</v>
      </c>
      <c r="D34" s="2"/>
      <c r="E34" s="23">
        <v>140</v>
      </c>
      <c r="F34" s="2">
        <f t="shared" si="0"/>
        <v>15</v>
      </c>
      <c r="G34" s="2"/>
    </row>
    <row r="35" spans="2:7" x14ac:dyDescent="0.25">
      <c r="B35" s="4">
        <v>45816</v>
      </c>
      <c r="C35" s="2" t="s">
        <v>4174</v>
      </c>
      <c r="D35" s="2"/>
      <c r="E35" s="23">
        <v>149</v>
      </c>
      <c r="F35" s="2">
        <f t="shared" ref="F35:F99" si="1">E35-E34</f>
        <v>9</v>
      </c>
      <c r="G35" s="2"/>
    </row>
    <row r="36" spans="2:7" x14ac:dyDescent="0.25">
      <c r="B36" s="4">
        <v>45817</v>
      </c>
      <c r="C36" s="2" t="s">
        <v>4194</v>
      </c>
      <c r="D36" s="2"/>
      <c r="E36" s="23">
        <v>155</v>
      </c>
      <c r="F36" s="2">
        <f t="shared" si="1"/>
        <v>6</v>
      </c>
      <c r="G36" s="2"/>
    </row>
    <row r="37" spans="2:7" x14ac:dyDescent="0.25">
      <c r="B37" s="4">
        <v>45818</v>
      </c>
      <c r="C37" s="2" t="s">
        <v>4197</v>
      </c>
      <c r="D37" s="2" t="s">
        <v>4206</v>
      </c>
      <c r="E37" s="23">
        <v>157</v>
      </c>
      <c r="F37" s="2">
        <f t="shared" si="1"/>
        <v>2</v>
      </c>
      <c r="G37" s="2"/>
    </row>
    <row r="38" spans="2:7" x14ac:dyDescent="0.25">
      <c r="B38" s="4">
        <v>45819</v>
      </c>
      <c r="C38" s="2" t="s">
        <v>4222</v>
      </c>
      <c r="D38" s="2"/>
      <c r="E38" s="23">
        <v>157</v>
      </c>
      <c r="F38" s="2">
        <f t="shared" si="1"/>
        <v>0</v>
      </c>
      <c r="G38" s="2"/>
    </row>
    <row r="39" spans="2:7" x14ac:dyDescent="0.25">
      <c r="B39" s="4">
        <v>45820</v>
      </c>
      <c r="C39" s="2" t="s">
        <v>4221</v>
      </c>
      <c r="D39" s="2"/>
      <c r="E39" s="23">
        <v>157</v>
      </c>
      <c r="F39" s="2">
        <f t="shared" si="1"/>
        <v>0</v>
      </c>
      <c r="G39" s="2"/>
    </row>
    <row r="40" spans="2:7" x14ac:dyDescent="0.25">
      <c r="B40" s="4">
        <v>45821</v>
      </c>
      <c r="C40" s="2" t="s">
        <v>4244</v>
      </c>
      <c r="D40" s="2"/>
      <c r="E40" s="23">
        <v>157</v>
      </c>
      <c r="F40" s="2">
        <f t="shared" si="1"/>
        <v>0</v>
      </c>
      <c r="G40" s="2"/>
    </row>
    <row r="41" spans="2:7" x14ac:dyDescent="0.25">
      <c r="B41" s="4">
        <v>45822</v>
      </c>
      <c r="C41" s="2" t="s">
        <v>4247</v>
      </c>
      <c r="D41" s="2"/>
      <c r="E41" s="23">
        <v>30</v>
      </c>
      <c r="F41" s="2">
        <f t="shared" si="1"/>
        <v>-127</v>
      </c>
      <c r="G41" s="2"/>
    </row>
    <row r="42" spans="2:7" x14ac:dyDescent="0.25">
      <c r="B42" s="4">
        <v>45823</v>
      </c>
      <c r="C42" s="2" t="s">
        <v>4248</v>
      </c>
      <c r="D42" s="2"/>
      <c r="E42" s="23">
        <v>30</v>
      </c>
      <c r="F42" s="2">
        <f t="shared" si="1"/>
        <v>0</v>
      </c>
      <c r="G42" s="2"/>
    </row>
    <row r="43" spans="2:7" x14ac:dyDescent="0.25">
      <c r="B43" s="4">
        <v>45824</v>
      </c>
      <c r="C43" s="2" t="s">
        <v>4274</v>
      </c>
      <c r="D43" s="2"/>
      <c r="E43" s="23">
        <v>60</v>
      </c>
      <c r="F43" s="2">
        <f t="shared" si="1"/>
        <v>30</v>
      </c>
      <c r="G43" s="2"/>
    </row>
    <row r="44" spans="2:7" x14ac:dyDescent="0.25">
      <c r="B44" s="4">
        <v>45825</v>
      </c>
      <c r="C44" s="2" t="s">
        <v>4288</v>
      </c>
      <c r="D44" s="2"/>
      <c r="E44" s="23">
        <v>100</v>
      </c>
      <c r="F44" s="2">
        <f t="shared" si="1"/>
        <v>40</v>
      </c>
      <c r="G44" s="2"/>
    </row>
    <row r="45" spans="2:7" x14ac:dyDescent="0.25">
      <c r="B45" s="4">
        <v>45826</v>
      </c>
      <c r="C45" s="2" t="s">
        <v>4289</v>
      </c>
      <c r="D45" s="2"/>
      <c r="E45" s="23">
        <v>102</v>
      </c>
      <c r="F45" s="2">
        <f t="shared" si="1"/>
        <v>2</v>
      </c>
      <c r="G45" s="2"/>
    </row>
    <row r="46" spans="2:7" x14ac:dyDescent="0.25">
      <c r="B46" s="4">
        <v>45827</v>
      </c>
      <c r="C46" s="2" t="s">
        <v>3084</v>
      </c>
      <c r="D46" s="2"/>
      <c r="E46" s="23">
        <v>102</v>
      </c>
      <c r="F46" s="2">
        <f t="shared" si="1"/>
        <v>0</v>
      </c>
      <c r="G46" s="2"/>
    </row>
    <row r="47" spans="2:7" x14ac:dyDescent="0.25">
      <c r="B47" s="4">
        <v>45828</v>
      </c>
      <c r="C47" s="2" t="s">
        <v>4338</v>
      </c>
      <c r="D47" s="2"/>
      <c r="E47" s="23">
        <v>102</v>
      </c>
      <c r="F47" s="2">
        <f t="shared" si="1"/>
        <v>0</v>
      </c>
      <c r="G47" s="2"/>
    </row>
    <row r="48" spans="2:7" x14ac:dyDescent="0.25">
      <c r="B48" s="4">
        <v>45829</v>
      </c>
      <c r="C48" s="2" t="s">
        <v>4358</v>
      </c>
      <c r="D48" s="2"/>
      <c r="E48" s="23">
        <v>102</v>
      </c>
      <c r="F48" s="2">
        <f t="shared" si="1"/>
        <v>0</v>
      </c>
      <c r="G48" s="2"/>
    </row>
    <row r="49" spans="2:7" x14ac:dyDescent="0.25">
      <c r="B49" s="4">
        <v>45830</v>
      </c>
      <c r="C49" s="2" t="s">
        <v>4359</v>
      </c>
      <c r="D49" s="2" t="s">
        <v>4360</v>
      </c>
      <c r="E49" s="23">
        <v>23</v>
      </c>
      <c r="F49" s="2">
        <f t="shared" si="1"/>
        <v>-79</v>
      </c>
      <c r="G49" s="2"/>
    </row>
    <row r="50" spans="2:7" x14ac:dyDescent="0.25">
      <c r="B50" s="4">
        <v>45831</v>
      </c>
      <c r="C50" s="2" t="s">
        <v>4372</v>
      </c>
      <c r="D50" s="2" t="s">
        <v>4384</v>
      </c>
      <c r="E50" s="23">
        <v>50</v>
      </c>
      <c r="F50" s="2">
        <f t="shared" si="1"/>
        <v>27</v>
      </c>
      <c r="G50" s="2"/>
    </row>
    <row r="51" spans="2:7" x14ac:dyDescent="0.25">
      <c r="B51" s="4">
        <v>45832</v>
      </c>
      <c r="C51" s="2" t="s">
        <v>4399</v>
      </c>
      <c r="D51" s="2"/>
      <c r="E51" s="23">
        <v>70</v>
      </c>
      <c r="F51" s="2">
        <f t="shared" si="1"/>
        <v>20</v>
      </c>
      <c r="G51" s="2"/>
    </row>
    <row r="52" spans="2:7" x14ac:dyDescent="0.25">
      <c r="B52" s="4">
        <v>45833</v>
      </c>
      <c r="C52" s="2" t="s">
        <v>4414</v>
      </c>
      <c r="D52" s="2"/>
      <c r="E52" s="23">
        <v>97</v>
      </c>
      <c r="F52" s="2">
        <f t="shared" si="1"/>
        <v>27</v>
      </c>
      <c r="G52" s="2"/>
    </row>
    <row r="53" spans="2:7" x14ac:dyDescent="0.25">
      <c r="B53" s="4">
        <v>45834</v>
      </c>
      <c r="C53" s="2" t="s">
        <v>4437</v>
      </c>
      <c r="D53" s="2"/>
      <c r="E53" s="23">
        <v>97</v>
      </c>
      <c r="F53" s="2">
        <f t="shared" si="1"/>
        <v>0</v>
      </c>
      <c r="G53" s="2"/>
    </row>
    <row r="54" spans="2:7" x14ac:dyDescent="0.25">
      <c r="B54" s="4">
        <v>45835</v>
      </c>
      <c r="C54" s="2" t="s">
        <v>4438</v>
      </c>
      <c r="D54" s="2"/>
      <c r="E54" s="23">
        <v>104</v>
      </c>
      <c r="F54" s="2">
        <f t="shared" si="1"/>
        <v>7</v>
      </c>
      <c r="G54" s="2"/>
    </row>
    <row r="55" spans="2:7" x14ac:dyDescent="0.25">
      <c r="B55" s="4">
        <v>45836</v>
      </c>
      <c r="C55" s="2" t="s">
        <v>4466</v>
      </c>
      <c r="D55" s="2"/>
      <c r="E55" s="23">
        <v>115</v>
      </c>
      <c r="F55" s="2">
        <f t="shared" si="1"/>
        <v>11</v>
      </c>
      <c r="G55" s="2"/>
    </row>
    <row r="56" spans="2:7" x14ac:dyDescent="0.25">
      <c r="B56" s="4">
        <v>45837</v>
      </c>
      <c r="C56" s="2" t="s">
        <v>4467</v>
      </c>
      <c r="D56" s="2"/>
      <c r="E56" s="23">
        <v>125</v>
      </c>
      <c r="F56" s="2">
        <f t="shared" si="1"/>
        <v>10</v>
      </c>
      <c r="G56" s="2"/>
    </row>
    <row r="57" spans="2:7" x14ac:dyDescent="0.25">
      <c r="B57" s="4">
        <v>45838</v>
      </c>
      <c r="C57" s="2" t="s">
        <v>4480</v>
      </c>
      <c r="D57" s="2"/>
      <c r="E57" s="23">
        <v>130</v>
      </c>
      <c r="F57" s="2">
        <f t="shared" si="1"/>
        <v>5</v>
      </c>
      <c r="G57" s="2"/>
    </row>
    <row r="58" spans="2:7" x14ac:dyDescent="0.25">
      <c r="B58" s="4">
        <v>45839</v>
      </c>
      <c r="C58" s="2" t="s">
        <v>4491</v>
      </c>
      <c r="D58" s="2"/>
      <c r="E58" s="23">
        <v>131</v>
      </c>
      <c r="F58" s="2">
        <f t="shared" si="1"/>
        <v>1</v>
      </c>
      <c r="G58" s="2"/>
    </row>
    <row r="59" spans="2:7" x14ac:dyDescent="0.25">
      <c r="B59" s="4">
        <v>45840</v>
      </c>
      <c r="C59" s="2" t="s">
        <v>4492</v>
      </c>
      <c r="D59" s="2"/>
      <c r="E59" s="23">
        <v>132</v>
      </c>
      <c r="F59" s="2">
        <f t="shared" si="1"/>
        <v>1</v>
      </c>
      <c r="G59" s="2"/>
    </row>
    <row r="60" spans="2:7" x14ac:dyDescent="0.25">
      <c r="B60" s="4">
        <v>45841</v>
      </c>
      <c r="C60" s="2" t="s">
        <v>4510</v>
      </c>
      <c r="D60" s="2"/>
      <c r="E60" s="23">
        <v>138</v>
      </c>
      <c r="F60" s="2">
        <f t="shared" si="1"/>
        <v>6</v>
      </c>
      <c r="G60" s="2"/>
    </row>
    <row r="61" spans="2:7" x14ac:dyDescent="0.25">
      <c r="B61" s="4">
        <v>45842</v>
      </c>
      <c r="C61" s="2" t="s">
        <v>4511</v>
      </c>
      <c r="D61" s="2"/>
      <c r="E61" s="23">
        <v>142</v>
      </c>
      <c r="F61" s="2">
        <f t="shared" si="1"/>
        <v>4</v>
      </c>
      <c r="G61" s="2"/>
    </row>
    <row r="62" spans="2:7" x14ac:dyDescent="0.25">
      <c r="B62" s="4">
        <v>45843</v>
      </c>
      <c r="C62" s="2" t="s">
        <v>4512</v>
      </c>
      <c r="D62" s="2"/>
      <c r="E62" s="23">
        <v>146</v>
      </c>
      <c r="F62" s="2">
        <f t="shared" si="1"/>
        <v>4</v>
      </c>
      <c r="G62" s="2"/>
    </row>
    <row r="63" spans="2:7" x14ac:dyDescent="0.25">
      <c r="B63" s="4">
        <v>45844</v>
      </c>
      <c r="C63" s="2" t="s">
        <v>4513</v>
      </c>
      <c r="D63" s="2"/>
      <c r="E63" s="23">
        <v>148</v>
      </c>
      <c r="F63" s="2">
        <f t="shared" si="1"/>
        <v>2</v>
      </c>
      <c r="G63" s="2"/>
    </row>
    <row r="64" spans="2:7" x14ac:dyDescent="0.25">
      <c r="B64" s="4">
        <v>45845</v>
      </c>
      <c r="C64" s="2" t="s">
        <v>4536</v>
      </c>
      <c r="D64" s="2"/>
      <c r="E64" s="23">
        <v>151</v>
      </c>
      <c r="F64" s="2">
        <f t="shared" si="1"/>
        <v>3</v>
      </c>
      <c r="G64" s="2"/>
    </row>
    <row r="65" spans="2:7" x14ac:dyDescent="0.25">
      <c r="B65" s="4">
        <v>45846</v>
      </c>
      <c r="C65" s="2" t="s">
        <v>149</v>
      </c>
      <c r="D65" s="2"/>
      <c r="E65" s="23">
        <v>151</v>
      </c>
      <c r="F65" s="2">
        <f t="shared" si="1"/>
        <v>0</v>
      </c>
      <c r="G65" s="2"/>
    </row>
    <row r="66" spans="2:7" x14ac:dyDescent="0.25">
      <c r="B66" s="4">
        <v>45847</v>
      </c>
      <c r="C66" s="2" t="s">
        <v>4555</v>
      </c>
      <c r="D66" s="2"/>
      <c r="E66" s="23">
        <v>0</v>
      </c>
      <c r="F66" s="2">
        <f t="shared" si="1"/>
        <v>-151</v>
      </c>
      <c r="G66" s="2"/>
    </row>
    <row r="67" spans="2:7" x14ac:dyDescent="0.25">
      <c r="B67" s="4">
        <v>45848</v>
      </c>
      <c r="C67" s="2" t="s">
        <v>4554</v>
      </c>
      <c r="D67" s="2"/>
      <c r="E67" s="23">
        <v>90</v>
      </c>
      <c r="F67" s="2">
        <f t="shared" si="1"/>
        <v>90</v>
      </c>
      <c r="G67" s="2"/>
    </row>
    <row r="68" spans="2:7" x14ac:dyDescent="0.25">
      <c r="B68" s="4">
        <v>45849</v>
      </c>
      <c r="C68" s="2" t="s">
        <v>4553</v>
      </c>
      <c r="D68" s="2"/>
      <c r="E68" s="23">
        <v>110</v>
      </c>
      <c r="F68" s="2">
        <f t="shared" si="1"/>
        <v>20</v>
      </c>
      <c r="G68" s="2"/>
    </row>
    <row r="69" spans="2:7" x14ac:dyDescent="0.25">
      <c r="B69" s="4">
        <v>45850</v>
      </c>
      <c r="C69" s="2"/>
      <c r="D69" s="2"/>
      <c r="E69" s="23"/>
      <c r="F69" s="2">
        <f t="shared" si="1"/>
        <v>-110</v>
      </c>
      <c r="G69" s="2"/>
    </row>
    <row r="70" spans="2:7" x14ac:dyDescent="0.25">
      <c r="B70" s="4">
        <v>45851</v>
      </c>
      <c r="C70" s="2" t="s">
        <v>4584</v>
      </c>
      <c r="D70" s="2"/>
      <c r="E70" s="23"/>
      <c r="F70" s="2">
        <f t="shared" si="1"/>
        <v>0</v>
      </c>
      <c r="G70" s="2"/>
    </row>
    <row r="71" spans="2:7" x14ac:dyDescent="0.25">
      <c r="B71" s="4">
        <v>45852</v>
      </c>
      <c r="C71" s="2" t="s">
        <v>4582</v>
      </c>
      <c r="D71" s="2"/>
      <c r="E71" s="23"/>
      <c r="F71" s="2">
        <f t="shared" si="1"/>
        <v>0</v>
      </c>
      <c r="G71" s="2"/>
    </row>
    <row r="72" spans="2:7" x14ac:dyDescent="0.25">
      <c r="B72" s="4">
        <v>45853</v>
      </c>
      <c r="C72" s="2"/>
      <c r="D72" s="2"/>
      <c r="E72" s="23"/>
      <c r="F72" s="2">
        <f t="shared" si="1"/>
        <v>0</v>
      </c>
      <c r="G72" s="2"/>
    </row>
    <row r="73" spans="2:7" x14ac:dyDescent="0.25">
      <c r="B73" s="4">
        <v>45854</v>
      </c>
      <c r="C73" s="2" t="s">
        <v>4614</v>
      </c>
      <c r="D73" s="2"/>
      <c r="E73" s="23"/>
      <c r="F73" s="2">
        <f t="shared" si="1"/>
        <v>0</v>
      </c>
      <c r="G73" s="2"/>
    </row>
    <row r="74" spans="2:7" x14ac:dyDescent="0.25">
      <c r="B74" s="4">
        <v>45855</v>
      </c>
      <c r="C74" s="2" t="s">
        <v>4613</v>
      </c>
      <c r="D74" s="2"/>
      <c r="E74" s="23"/>
      <c r="F74" s="2">
        <f t="shared" si="1"/>
        <v>0</v>
      </c>
      <c r="G74" s="2"/>
    </row>
    <row r="75" spans="2:7" x14ac:dyDescent="0.25">
      <c r="B75" s="4">
        <v>45856</v>
      </c>
      <c r="C75" s="2" t="s">
        <v>4636</v>
      </c>
      <c r="D75" s="2"/>
      <c r="E75" s="23"/>
      <c r="F75" s="2">
        <f t="shared" si="1"/>
        <v>0</v>
      </c>
      <c r="G75" s="2"/>
    </row>
    <row r="76" spans="2:7" x14ac:dyDescent="0.25">
      <c r="B76" s="4">
        <v>45857</v>
      </c>
      <c r="C76" s="2" t="s">
        <v>4636</v>
      </c>
      <c r="D76" s="2"/>
      <c r="E76" s="23"/>
      <c r="F76" s="2">
        <f t="shared" si="1"/>
        <v>0</v>
      </c>
      <c r="G76" s="2"/>
    </row>
    <row r="77" spans="2:7" x14ac:dyDescent="0.25">
      <c r="B77" s="4">
        <v>45858</v>
      </c>
      <c r="C77" s="2" t="s">
        <v>4636</v>
      </c>
      <c r="D77" s="2"/>
      <c r="E77" s="23"/>
      <c r="F77" s="2">
        <f t="shared" si="1"/>
        <v>0</v>
      </c>
      <c r="G77" s="2"/>
    </row>
    <row r="78" spans="2:7" x14ac:dyDescent="0.25">
      <c r="B78" s="4">
        <v>45859</v>
      </c>
      <c r="C78" s="2" t="s">
        <v>4689</v>
      </c>
      <c r="D78" s="2"/>
      <c r="E78" s="23"/>
      <c r="F78" s="2">
        <f t="shared" si="1"/>
        <v>0</v>
      </c>
      <c r="G78" s="2"/>
    </row>
    <row r="79" spans="2:7" x14ac:dyDescent="0.25">
      <c r="B79" s="4">
        <v>45860</v>
      </c>
      <c r="C79" s="2" t="s">
        <v>4688</v>
      </c>
      <c r="D79" s="2"/>
      <c r="E79" s="23"/>
      <c r="F79" s="2">
        <f t="shared" si="1"/>
        <v>0</v>
      </c>
      <c r="G79" s="2"/>
    </row>
    <row r="80" spans="2:7" x14ac:dyDescent="0.25">
      <c r="B80" s="4">
        <v>45861</v>
      </c>
      <c r="C80" s="2" t="s">
        <v>4687</v>
      </c>
      <c r="D80" s="2"/>
      <c r="E80" s="2"/>
      <c r="F80" s="2">
        <f t="shared" si="1"/>
        <v>0</v>
      </c>
      <c r="G80" s="2"/>
    </row>
    <row r="81" spans="2:7" x14ac:dyDescent="0.25">
      <c r="B81" s="4">
        <v>45862</v>
      </c>
      <c r="C81" s="2" t="s">
        <v>4686</v>
      </c>
      <c r="D81" s="2"/>
      <c r="E81" s="2"/>
      <c r="F81" s="2">
        <f t="shared" si="1"/>
        <v>0</v>
      </c>
      <c r="G81" s="2"/>
    </row>
    <row r="82" spans="2:7" x14ac:dyDescent="0.25">
      <c r="B82" s="4">
        <v>45863</v>
      </c>
      <c r="C82" s="2" t="s">
        <v>4695</v>
      </c>
      <c r="D82" s="2"/>
      <c r="E82" s="2"/>
      <c r="F82" s="2">
        <f t="shared" si="1"/>
        <v>0</v>
      </c>
      <c r="G82" s="2"/>
    </row>
    <row r="83" spans="2:7" x14ac:dyDescent="0.25">
      <c r="B83" s="4">
        <v>45864</v>
      </c>
      <c r="C83" s="2" t="s">
        <v>4704</v>
      </c>
      <c r="D83" s="2"/>
      <c r="E83" s="2"/>
      <c r="F83" s="2">
        <f t="shared" si="1"/>
        <v>0</v>
      </c>
      <c r="G83" s="2"/>
    </row>
    <row r="84" spans="2:7" x14ac:dyDescent="0.25">
      <c r="B84" s="4">
        <v>45865</v>
      </c>
      <c r="C84" s="2" t="s">
        <v>4703</v>
      </c>
      <c r="D84" s="2"/>
      <c r="E84" s="2"/>
      <c r="F84" s="2">
        <f t="shared" si="1"/>
        <v>0</v>
      </c>
      <c r="G84" s="2"/>
    </row>
    <row r="85" spans="2:7" x14ac:dyDescent="0.25">
      <c r="B85" s="4">
        <v>45866</v>
      </c>
      <c r="C85" s="2" t="s">
        <v>4717</v>
      </c>
      <c r="D85" s="2" t="s">
        <v>4710</v>
      </c>
      <c r="E85" s="2"/>
      <c r="F85" s="2">
        <f t="shared" si="1"/>
        <v>0</v>
      </c>
      <c r="G85" s="2"/>
    </row>
    <row r="86" spans="2:7" x14ac:dyDescent="0.25">
      <c r="B86" s="4">
        <v>45867</v>
      </c>
      <c r="C86" s="2" t="s">
        <v>4717</v>
      </c>
      <c r="D86" s="2"/>
      <c r="E86" s="2"/>
      <c r="F86" s="2">
        <f t="shared" si="1"/>
        <v>0</v>
      </c>
      <c r="G86" s="2"/>
    </row>
    <row r="87" spans="2:7" x14ac:dyDescent="0.25">
      <c r="B87" s="4">
        <v>45868</v>
      </c>
      <c r="C87" s="2" t="s">
        <v>4805</v>
      </c>
      <c r="D87" s="2"/>
      <c r="E87" s="23"/>
      <c r="F87" s="2">
        <f t="shared" si="1"/>
        <v>0</v>
      </c>
      <c r="G87" s="2"/>
    </row>
    <row r="88" spans="2:7" x14ac:dyDescent="0.25">
      <c r="B88" s="4">
        <v>45869</v>
      </c>
      <c r="C88" s="2" t="s">
        <v>4819</v>
      </c>
      <c r="D88" s="2"/>
      <c r="E88" s="23"/>
      <c r="F88" s="2">
        <f t="shared" si="1"/>
        <v>0</v>
      </c>
      <c r="G88" s="2"/>
    </row>
    <row r="89" spans="2:7" x14ac:dyDescent="0.25">
      <c r="B89" s="4">
        <v>45870</v>
      </c>
      <c r="C89" s="2" t="s">
        <v>4818</v>
      </c>
      <c r="D89" s="2" t="s">
        <v>4828</v>
      </c>
      <c r="E89" s="23"/>
      <c r="F89" s="2">
        <f t="shared" si="1"/>
        <v>0</v>
      </c>
      <c r="G89" s="2">
        <f>F89-F88</f>
        <v>0</v>
      </c>
    </row>
    <row r="90" spans="2:7" x14ac:dyDescent="0.25">
      <c r="B90" s="4">
        <v>45871</v>
      </c>
      <c r="C90" s="2" t="s">
        <v>4842</v>
      </c>
      <c r="D90" s="2"/>
      <c r="E90" s="23"/>
      <c r="F90" s="2">
        <f t="shared" si="1"/>
        <v>0</v>
      </c>
      <c r="G90" s="2"/>
    </row>
    <row r="91" spans="2:7" x14ac:dyDescent="0.25">
      <c r="B91" s="4">
        <v>45872</v>
      </c>
      <c r="C91" s="2" t="s">
        <v>4856</v>
      </c>
      <c r="D91" s="2"/>
      <c r="E91" s="23">
        <v>25</v>
      </c>
      <c r="F91" s="2">
        <f t="shared" si="1"/>
        <v>25</v>
      </c>
      <c r="G91" s="2"/>
    </row>
    <row r="92" spans="2:7" x14ac:dyDescent="0.25">
      <c r="B92" s="4">
        <v>45873</v>
      </c>
      <c r="C92" s="2" t="s">
        <v>4857</v>
      </c>
      <c r="D92" s="2"/>
      <c r="E92" s="23">
        <v>37</v>
      </c>
      <c r="F92" s="2">
        <f t="shared" si="1"/>
        <v>12</v>
      </c>
      <c r="G92" s="2"/>
    </row>
    <row r="93" spans="2:7" x14ac:dyDescent="0.25">
      <c r="B93" s="4">
        <v>45874</v>
      </c>
      <c r="C93" s="2" t="s">
        <v>4863</v>
      </c>
      <c r="D93" s="2" t="s">
        <v>4871</v>
      </c>
      <c r="E93" s="23">
        <v>46</v>
      </c>
      <c r="F93" s="2">
        <f t="shared" si="1"/>
        <v>9</v>
      </c>
      <c r="G93" s="2"/>
    </row>
    <row r="94" spans="2:7" x14ac:dyDescent="0.25">
      <c r="B94" s="4">
        <v>45875</v>
      </c>
      <c r="C94" s="2" t="s">
        <v>4888</v>
      </c>
      <c r="D94" s="2"/>
      <c r="E94" s="23">
        <v>46</v>
      </c>
      <c r="F94" s="2">
        <f t="shared" si="1"/>
        <v>0</v>
      </c>
      <c r="G94" s="2"/>
    </row>
    <row r="95" spans="2:7" x14ac:dyDescent="0.25">
      <c r="B95" s="4">
        <v>45876</v>
      </c>
      <c r="C95" s="2" t="s">
        <v>4914</v>
      </c>
      <c r="D95" s="2" t="s">
        <v>2218</v>
      </c>
      <c r="E95" s="23">
        <v>50</v>
      </c>
      <c r="F95" s="2">
        <f t="shared" si="1"/>
        <v>4</v>
      </c>
      <c r="G95" s="2"/>
    </row>
    <row r="96" spans="2:7" x14ac:dyDescent="0.25">
      <c r="B96" s="4">
        <v>45877</v>
      </c>
      <c r="C96" s="2" t="s">
        <v>2218</v>
      </c>
      <c r="D96" s="2"/>
      <c r="E96" s="23">
        <v>50</v>
      </c>
      <c r="F96" s="2">
        <f>E96-E95</f>
        <v>0</v>
      </c>
      <c r="G96" s="2"/>
    </row>
    <row r="97" spans="2:7" x14ac:dyDescent="0.25">
      <c r="B97" s="4">
        <v>45878</v>
      </c>
      <c r="C97" s="2" t="s">
        <v>4946</v>
      </c>
      <c r="D97" s="2"/>
      <c r="E97" s="23">
        <v>56</v>
      </c>
      <c r="F97" s="2">
        <f t="shared" si="1"/>
        <v>6</v>
      </c>
      <c r="G97" s="2"/>
    </row>
    <row r="98" spans="2:7" x14ac:dyDescent="0.25">
      <c r="B98" s="4">
        <v>45879</v>
      </c>
      <c r="C98" s="2" t="s">
        <v>4945</v>
      </c>
      <c r="D98" s="2" t="s">
        <v>4961</v>
      </c>
      <c r="E98" s="23">
        <v>60</v>
      </c>
      <c r="F98" s="2">
        <f t="shared" si="1"/>
        <v>4</v>
      </c>
      <c r="G98" s="2"/>
    </row>
    <row r="99" spans="2:7" x14ac:dyDescent="0.25">
      <c r="B99" s="4">
        <v>45880</v>
      </c>
      <c r="C99" s="2" t="s">
        <v>4967</v>
      </c>
      <c r="D99" s="2"/>
      <c r="E99" s="23">
        <v>63</v>
      </c>
      <c r="F99" s="2">
        <f t="shared" si="1"/>
        <v>3</v>
      </c>
      <c r="G99" s="2"/>
    </row>
    <row r="100" spans="2:7" x14ac:dyDescent="0.25">
      <c r="B100" s="4">
        <v>45881</v>
      </c>
      <c r="C100" s="2" t="s">
        <v>4967</v>
      </c>
      <c r="D100" s="2" t="s">
        <v>4975</v>
      </c>
      <c r="E100" s="23">
        <v>63</v>
      </c>
      <c r="F100" s="2">
        <f t="shared" ref="F100:F128" si="2">E100-E99</f>
        <v>0</v>
      </c>
      <c r="G100" s="2"/>
    </row>
    <row r="101" spans="2:7" x14ac:dyDescent="0.25">
      <c r="B101" s="4">
        <v>45882</v>
      </c>
      <c r="C101" s="2" t="s">
        <v>4997</v>
      </c>
      <c r="D101" s="2" t="s">
        <v>4976</v>
      </c>
      <c r="E101" s="23">
        <v>63</v>
      </c>
      <c r="F101" s="2">
        <f t="shared" si="2"/>
        <v>0</v>
      </c>
      <c r="G101" s="2"/>
    </row>
    <row r="102" spans="2:7" x14ac:dyDescent="0.25">
      <c r="B102" s="4">
        <v>45883</v>
      </c>
      <c r="C102" s="2"/>
      <c r="D102" s="2" t="s">
        <v>4994</v>
      </c>
      <c r="E102" s="23">
        <v>63</v>
      </c>
      <c r="F102" s="2">
        <f>E102-E101</f>
        <v>0</v>
      </c>
      <c r="G102" s="2"/>
    </row>
    <row r="103" spans="2:7" x14ac:dyDescent="0.25">
      <c r="B103" s="4"/>
      <c r="C103" s="2"/>
      <c r="D103" s="2" t="s">
        <v>5011</v>
      </c>
      <c r="E103" s="23">
        <v>63</v>
      </c>
      <c r="F103" s="2">
        <f t="shared" si="2"/>
        <v>0</v>
      </c>
      <c r="G103" s="2"/>
    </row>
    <row r="104" spans="2:7" x14ac:dyDescent="0.25">
      <c r="B104" s="4">
        <v>45884</v>
      </c>
      <c r="C104" s="2" t="s">
        <v>5025</v>
      </c>
      <c r="D104" s="2"/>
      <c r="E104" s="23">
        <v>63</v>
      </c>
      <c r="F104" s="2">
        <f t="shared" si="2"/>
        <v>0</v>
      </c>
      <c r="G104" s="2"/>
    </row>
    <row r="105" spans="2:7" x14ac:dyDescent="0.25">
      <c r="B105" s="4">
        <v>45885</v>
      </c>
      <c r="C105" s="2"/>
      <c r="D105" s="2"/>
      <c r="E105" s="23">
        <v>63</v>
      </c>
      <c r="F105" s="2">
        <f t="shared" si="2"/>
        <v>0</v>
      </c>
      <c r="G105" s="2"/>
    </row>
    <row r="106" spans="2:7" x14ac:dyDescent="0.25">
      <c r="B106" s="4">
        <v>45886</v>
      </c>
      <c r="C106" s="2" t="s">
        <v>5044</v>
      </c>
      <c r="D106" s="2"/>
      <c r="E106" s="23">
        <v>63</v>
      </c>
      <c r="F106" s="2">
        <f t="shared" si="2"/>
        <v>0</v>
      </c>
      <c r="G106" s="2"/>
    </row>
    <row r="107" spans="2:7" x14ac:dyDescent="0.25">
      <c r="B107" s="4">
        <v>45887</v>
      </c>
      <c r="C107" s="2" t="s">
        <v>5057</v>
      </c>
      <c r="D107" s="2"/>
      <c r="E107" s="23">
        <v>0</v>
      </c>
      <c r="F107" s="2">
        <f t="shared" si="2"/>
        <v>-63</v>
      </c>
      <c r="G107" s="2"/>
    </row>
    <row r="108" spans="2:7" x14ac:dyDescent="0.25">
      <c r="B108" s="4">
        <v>45888</v>
      </c>
      <c r="C108" s="2"/>
      <c r="D108" s="2"/>
      <c r="E108" s="23">
        <v>0</v>
      </c>
      <c r="F108" s="2">
        <f t="shared" si="2"/>
        <v>0</v>
      </c>
      <c r="G108" s="2"/>
    </row>
    <row r="109" spans="2:7" x14ac:dyDescent="0.25">
      <c r="B109" s="4">
        <v>45889</v>
      </c>
      <c r="C109" s="2"/>
      <c r="D109" s="2"/>
      <c r="E109" s="23">
        <v>0</v>
      </c>
      <c r="F109" s="2">
        <f t="shared" si="2"/>
        <v>0</v>
      </c>
      <c r="G109" s="2"/>
    </row>
    <row r="110" spans="2:7" x14ac:dyDescent="0.25">
      <c r="B110" s="4">
        <v>45890</v>
      </c>
      <c r="C110" s="2" t="s">
        <v>5094</v>
      </c>
      <c r="D110" s="2"/>
      <c r="E110" s="23">
        <v>13</v>
      </c>
      <c r="F110" s="2">
        <f t="shared" si="2"/>
        <v>13</v>
      </c>
      <c r="G110" s="2"/>
    </row>
    <row r="111" spans="2:7" x14ac:dyDescent="0.25">
      <c r="B111" s="4">
        <v>45891</v>
      </c>
      <c r="C111" s="2" t="s">
        <v>5112</v>
      </c>
      <c r="D111" s="2" t="s">
        <v>5111</v>
      </c>
      <c r="E111" s="2">
        <v>35</v>
      </c>
      <c r="F111" s="2">
        <f t="shared" si="2"/>
        <v>22</v>
      </c>
      <c r="G111" s="2"/>
    </row>
    <row r="112" spans="2:7" x14ac:dyDescent="0.25">
      <c r="B112" s="4">
        <v>45892</v>
      </c>
      <c r="C112" s="2" t="s">
        <v>5125</v>
      </c>
      <c r="D112" s="2"/>
      <c r="E112" s="2">
        <v>68</v>
      </c>
      <c r="F112" s="2">
        <f t="shared" si="2"/>
        <v>33</v>
      </c>
      <c r="G112" s="2"/>
    </row>
    <row r="113" spans="2:7" x14ac:dyDescent="0.25">
      <c r="B113" s="4">
        <v>45893</v>
      </c>
      <c r="C113" s="2" t="s">
        <v>5139</v>
      </c>
      <c r="D113" s="2"/>
      <c r="E113" s="2">
        <v>85</v>
      </c>
      <c r="F113" s="2">
        <f t="shared" si="2"/>
        <v>17</v>
      </c>
      <c r="G113" s="2"/>
    </row>
    <row r="114" spans="2:7" x14ac:dyDescent="0.25">
      <c r="B114" s="4">
        <v>45894</v>
      </c>
      <c r="C114" s="2" t="s">
        <v>5148</v>
      </c>
      <c r="D114" s="2" t="s">
        <v>5156</v>
      </c>
      <c r="E114" s="2">
        <v>103</v>
      </c>
      <c r="F114" s="2">
        <f t="shared" si="2"/>
        <v>18</v>
      </c>
      <c r="G114" s="2"/>
    </row>
    <row r="115" spans="2:7" x14ac:dyDescent="0.25">
      <c r="B115" s="4">
        <v>45895</v>
      </c>
      <c r="C115" s="2" t="s">
        <v>5159</v>
      </c>
      <c r="D115" s="2" t="s">
        <v>5183</v>
      </c>
      <c r="E115" s="2">
        <v>125</v>
      </c>
      <c r="F115" s="2">
        <f t="shared" si="2"/>
        <v>22</v>
      </c>
      <c r="G115" s="2"/>
    </row>
    <row r="116" spans="2:7" x14ac:dyDescent="0.25">
      <c r="B116" s="4">
        <v>45896</v>
      </c>
      <c r="C116" s="2" t="s">
        <v>5185</v>
      </c>
      <c r="D116" s="2"/>
      <c r="E116" s="2">
        <v>145</v>
      </c>
      <c r="F116" s="2">
        <f t="shared" si="2"/>
        <v>20</v>
      </c>
      <c r="G116" s="2"/>
    </row>
    <row r="117" spans="2:7" x14ac:dyDescent="0.25">
      <c r="B117" s="4">
        <v>45897</v>
      </c>
      <c r="C117" s="2" t="s">
        <v>5191</v>
      </c>
      <c r="D117" s="2" t="s">
        <v>5201</v>
      </c>
      <c r="E117" s="2">
        <v>160</v>
      </c>
      <c r="F117" s="2">
        <f t="shared" si="2"/>
        <v>15</v>
      </c>
      <c r="G117" s="2"/>
    </row>
    <row r="118" spans="2:7" x14ac:dyDescent="0.25">
      <c r="B118" s="4">
        <v>45898</v>
      </c>
      <c r="C118" s="2" t="s">
        <v>5220</v>
      </c>
      <c r="D118" s="2"/>
      <c r="E118" s="2">
        <v>80</v>
      </c>
      <c r="F118" s="2">
        <v>80</v>
      </c>
      <c r="G118" s="2"/>
    </row>
    <row r="119" spans="2:7" x14ac:dyDescent="0.25">
      <c r="B119" s="4">
        <v>45899</v>
      </c>
      <c r="C119" s="2" t="s">
        <v>5221</v>
      </c>
      <c r="D119" s="2"/>
      <c r="E119" s="2">
        <v>151</v>
      </c>
      <c r="F119" s="2">
        <f t="shared" si="2"/>
        <v>71</v>
      </c>
      <c r="G119" s="2"/>
    </row>
    <row r="120" spans="2:7" x14ac:dyDescent="0.25">
      <c r="B120" s="4">
        <v>45900</v>
      </c>
      <c r="C120" s="2" t="s">
        <v>5222</v>
      </c>
      <c r="D120" s="2" t="s">
        <v>5232</v>
      </c>
      <c r="E120" s="2">
        <v>160</v>
      </c>
      <c r="F120" s="2">
        <f t="shared" si="2"/>
        <v>9</v>
      </c>
      <c r="G120" s="2"/>
    </row>
    <row r="121" spans="2:7" x14ac:dyDescent="0.25">
      <c r="B121" s="4">
        <v>45901</v>
      </c>
      <c r="C121" s="2" t="s">
        <v>5242</v>
      </c>
      <c r="D121" s="2" t="s">
        <v>5248</v>
      </c>
      <c r="E121" s="2">
        <v>160</v>
      </c>
      <c r="F121" s="2">
        <f t="shared" si="2"/>
        <v>0</v>
      </c>
      <c r="G121" s="2"/>
    </row>
    <row r="122" spans="2:7" x14ac:dyDescent="0.25">
      <c r="B122" s="4">
        <v>45902</v>
      </c>
      <c r="C122" s="2" t="s">
        <v>5264</v>
      </c>
      <c r="D122" s="2"/>
      <c r="E122" s="2">
        <v>160</v>
      </c>
      <c r="F122" s="2">
        <f t="shared" si="2"/>
        <v>0</v>
      </c>
      <c r="G122" s="2"/>
    </row>
    <row r="123" spans="2:7" x14ac:dyDescent="0.25">
      <c r="B123" s="4">
        <v>45903</v>
      </c>
      <c r="C123" s="2" t="s">
        <v>5269</v>
      </c>
      <c r="D123" s="2"/>
      <c r="E123" s="2"/>
      <c r="F123" s="2">
        <f t="shared" si="2"/>
        <v>-160</v>
      </c>
      <c r="G123" s="2"/>
    </row>
    <row r="124" spans="2:7" x14ac:dyDescent="0.25">
      <c r="B124" s="4">
        <v>45904</v>
      </c>
      <c r="C124" s="2" t="s">
        <v>3931</v>
      </c>
      <c r="D124" s="2"/>
      <c r="E124" s="2"/>
      <c r="F124" s="2">
        <f t="shared" si="2"/>
        <v>0</v>
      </c>
      <c r="G124" s="2"/>
    </row>
    <row r="125" spans="2:7" x14ac:dyDescent="0.25">
      <c r="B125" s="4">
        <v>45905</v>
      </c>
      <c r="C125" s="2" t="s">
        <v>5285</v>
      </c>
      <c r="D125" s="2"/>
      <c r="E125" s="2"/>
      <c r="F125" s="2">
        <f t="shared" si="2"/>
        <v>0</v>
      </c>
      <c r="G125" s="2"/>
    </row>
    <row r="126" spans="2:7" x14ac:dyDescent="0.25">
      <c r="B126" s="4">
        <v>45906</v>
      </c>
      <c r="C126" s="2" t="s">
        <v>5293</v>
      </c>
      <c r="D126" s="2"/>
      <c r="E126" s="2"/>
      <c r="F126" s="2">
        <f t="shared" si="2"/>
        <v>0</v>
      </c>
      <c r="G126" s="2"/>
    </row>
    <row r="127" spans="2:7" x14ac:dyDescent="0.25">
      <c r="B127" s="4">
        <v>45907</v>
      </c>
      <c r="C127" s="2" t="s">
        <v>5296</v>
      </c>
      <c r="D127" s="2"/>
      <c r="E127" s="2"/>
      <c r="F127" s="2">
        <f t="shared" si="2"/>
        <v>0</v>
      </c>
      <c r="G127" s="2"/>
    </row>
    <row r="128" spans="2:7" x14ac:dyDescent="0.25">
      <c r="B128" s="4">
        <v>45908</v>
      </c>
      <c r="C128" s="2" t="s">
        <v>5317</v>
      </c>
      <c r="D128" s="2"/>
      <c r="E128" s="2"/>
      <c r="F128" s="2">
        <f t="shared" si="2"/>
        <v>0</v>
      </c>
      <c r="G128" s="2"/>
    </row>
    <row r="129" spans="2:7" x14ac:dyDescent="0.25">
      <c r="B129" s="4">
        <v>45909</v>
      </c>
      <c r="C129" s="2" t="s">
        <v>5322</v>
      </c>
      <c r="D129" s="2" t="s">
        <v>656</v>
      </c>
      <c r="E129" s="2"/>
      <c r="F129" s="2"/>
      <c r="G129" s="2"/>
    </row>
    <row r="130" spans="2:7" x14ac:dyDescent="0.25">
      <c r="B130" s="4">
        <v>45910</v>
      </c>
      <c r="C130" s="2"/>
      <c r="D130" s="2"/>
      <c r="E130" s="2"/>
      <c r="F130" s="2"/>
      <c r="G130" s="2"/>
    </row>
    <row r="131" spans="2:7" x14ac:dyDescent="0.25">
      <c r="B131" s="4">
        <v>45911</v>
      </c>
      <c r="C131" s="2"/>
      <c r="D131" s="2"/>
      <c r="E131" s="2"/>
      <c r="F131" s="2"/>
      <c r="G131" s="2"/>
    </row>
    <row r="132" spans="2:7" x14ac:dyDescent="0.25">
      <c r="B132" s="4">
        <v>45912</v>
      </c>
      <c r="C132" s="2"/>
      <c r="D132" s="2"/>
      <c r="E132" s="2"/>
      <c r="F132" s="2"/>
      <c r="G132" s="2"/>
    </row>
    <row r="133" spans="2:7" x14ac:dyDescent="0.25">
      <c r="B133" s="4">
        <v>45913</v>
      </c>
      <c r="C133" s="2"/>
      <c r="D133" s="2"/>
      <c r="E133" s="2"/>
      <c r="F133" s="2"/>
      <c r="G133" s="2"/>
    </row>
    <row r="134" spans="2:7" x14ac:dyDescent="0.25">
      <c r="B134" s="4">
        <v>45914</v>
      </c>
      <c r="C134" s="2"/>
      <c r="D134" s="2"/>
      <c r="E134" s="2"/>
      <c r="F134" s="2"/>
      <c r="G134" s="2"/>
    </row>
    <row r="135" spans="2:7" x14ac:dyDescent="0.25">
      <c r="B135" s="4">
        <v>45915</v>
      </c>
      <c r="C135" s="2"/>
      <c r="D135" s="2"/>
      <c r="E135" s="2"/>
      <c r="F135" s="2"/>
      <c r="G135" s="2"/>
    </row>
    <row r="136" spans="2:7" x14ac:dyDescent="0.25">
      <c r="B136" s="4">
        <v>45916</v>
      </c>
      <c r="C136" s="2"/>
      <c r="D136" s="2"/>
      <c r="E136" s="2"/>
      <c r="F136" s="2"/>
      <c r="G136" s="2"/>
    </row>
    <row r="137" spans="2:7" x14ac:dyDescent="0.25">
      <c r="B137" s="4">
        <v>45931</v>
      </c>
      <c r="C137" s="2"/>
      <c r="D137" s="2"/>
      <c r="E137" s="2"/>
      <c r="F137" s="2"/>
      <c r="G137" s="2"/>
    </row>
    <row r="138" spans="2:7" x14ac:dyDescent="0.25">
      <c r="B138" s="4">
        <v>45932</v>
      </c>
      <c r="C138" s="2"/>
      <c r="D138" s="2"/>
      <c r="E138" s="2"/>
      <c r="F138" s="2"/>
      <c r="G138" s="2"/>
    </row>
    <row r="139" spans="2:7" x14ac:dyDescent="0.25">
      <c r="B139" s="4">
        <v>45933</v>
      </c>
      <c r="C139" s="2"/>
      <c r="D139" s="2"/>
      <c r="E139" s="2"/>
      <c r="F139" s="2"/>
      <c r="G139" s="2"/>
    </row>
    <row r="140" spans="2:7" x14ac:dyDescent="0.25">
      <c r="B140" s="4">
        <v>45934</v>
      </c>
      <c r="C140" s="2"/>
      <c r="D140" s="2"/>
      <c r="E140" s="2"/>
      <c r="F140" s="2"/>
      <c r="G140" s="2"/>
    </row>
    <row r="141" spans="2:7" x14ac:dyDescent="0.25">
      <c r="B141" s="4">
        <v>45935</v>
      </c>
      <c r="C141" s="2"/>
      <c r="D141" s="2"/>
      <c r="E141" s="2"/>
      <c r="F141" s="2"/>
      <c r="G141" s="2"/>
    </row>
    <row r="142" spans="2:7" x14ac:dyDescent="0.25">
      <c r="B142" s="4">
        <v>45936</v>
      </c>
      <c r="C142" s="2" t="s">
        <v>3862</v>
      </c>
      <c r="D142" s="2"/>
      <c r="E142" s="2"/>
      <c r="F142" s="2"/>
      <c r="G142" s="2"/>
    </row>
    <row r="143" spans="2:7" x14ac:dyDescent="0.25">
      <c r="B143" s="4">
        <v>45937</v>
      </c>
      <c r="C143" s="2" t="s">
        <v>5592</v>
      </c>
      <c r="D143" s="2"/>
      <c r="E143" s="2"/>
      <c r="F143" s="2"/>
      <c r="G143" s="2"/>
    </row>
    <row r="144" spans="2:7" x14ac:dyDescent="0.25">
      <c r="B144" s="4">
        <v>45938</v>
      </c>
      <c r="C144" s="2"/>
      <c r="D144" s="2"/>
      <c r="E144" s="2"/>
      <c r="F144" s="2"/>
      <c r="G144" s="2"/>
    </row>
    <row r="145" spans="2:7" x14ac:dyDescent="0.25">
      <c r="B145" s="4">
        <v>45939</v>
      </c>
      <c r="C145" s="2"/>
      <c r="D145" s="2"/>
      <c r="E145" s="2"/>
      <c r="F145" s="2"/>
      <c r="G145" s="2"/>
    </row>
    <row r="146" spans="2:7" x14ac:dyDescent="0.25">
      <c r="B146" s="4">
        <v>45940</v>
      </c>
      <c r="C146" s="2"/>
      <c r="D146" s="2"/>
      <c r="E146" s="2"/>
      <c r="F146" s="2"/>
      <c r="G146" s="2"/>
    </row>
    <row r="147" spans="2:7" x14ac:dyDescent="0.25">
      <c r="B147" s="4">
        <v>45941</v>
      </c>
      <c r="C147" s="2"/>
      <c r="D147" s="2"/>
      <c r="E147" s="2"/>
      <c r="F147" s="2"/>
      <c r="G147" s="2"/>
    </row>
    <row r="148" spans="2:7" x14ac:dyDescent="0.25">
      <c r="B148" s="4">
        <v>45942</v>
      </c>
      <c r="C148" s="2"/>
      <c r="D148" s="2"/>
      <c r="E148" s="2"/>
      <c r="F148" s="2">
        <f t="shared" ref="F148:F160" si="3">E148-E147</f>
        <v>0</v>
      </c>
      <c r="G148" s="2"/>
    </row>
    <row r="149" spans="2:7" x14ac:dyDescent="0.25">
      <c r="B149" s="4">
        <v>45943</v>
      </c>
      <c r="C149" s="2" t="s">
        <v>3862</v>
      </c>
      <c r="D149" s="2"/>
      <c r="E149" s="2"/>
      <c r="F149" s="2">
        <f t="shared" si="3"/>
        <v>0</v>
      </c>
      <c r="G149" s="2"/>
    </row>
    <row r="150" spans="2:7" x14ac:dyDescent="0.25">
      <c r="B150" s="4">
        <v>45944</v>
      </c>
      <c r="C150" s="2"/>
      <c r="D150" s="2"/>
      <c r="E150" s="2"/>
      <c r="F150" s="2">
        <f t="shared" si="3"/>
        <v>0</v>
      </c>
      <c r="G150" s="2"/>
    </row>
    <row r="151" spans="2:7" x14ac:dyDescent="0.25">
      <c r="B151" s="4">
        <v>45945</v>
      </c>
      <c r="C151" s="2"/>
      <c r="D151" s="2"/>
      <c r="E151" s="2"/>
      <c r="F151" s="2">
        <f t="shared" si="3"/>
        <v>0</v>
      </c>
      <c r="G151" s="2"/>
    </row>
    <row r="152" spans="2:7" x14ac:dyDescent="0.25">
      <c r="B152" s="4">
        <v>45946</v>
      </c>
      <c r="C152" s="2"/>
      <c r="D152" s="2"/>
      <c r="E152" s="2"/>
      <c r="F152" s="2">
        <f t="shared" si="3"/>
        <v>0</v>
      </c>
      <c r="G152" s="2"/>
    </row>
    <row r="153" spans="2:7" x14ac:dyDescent="0.25">
      <c r="B153" s="4">
        <v>45947</v>
      </c>
      <c r="C153" s="2"/>
      <c r="D153" s="2"/>
      <c r="E153" s="2"/>
      <c r="F153" s="2">
        <f t="shared" si="3"/>
        <v>0</v>
      </c>
      <c r="G153" s="2"/>
    </row>
    <row r="154" spans="2:7" x14ac:dyDescent="0.25">
      <c r="B154" s="4">
        <v>45948</v>
      </c>
      <c r="C154" s="2"/>
      <c r="D154" s="2"/>
      <c r="E154" s="2"/>
      <c r="F154" s="2">
        <f t="shared" si="3"/>
        <v>0</v>
      </c>
      <c r="G154" s="2"/>
    </row>
    <row r="155" spans="2:7" x14ac:dyDescent="0.25">
      <c r="B155" s="4">
        <v>45949</v>
      </c>
      <c r="C155" s="2"/>
      <c r="D155" s="2"/>
      <c r="E155" s="2"/>
      <c r="F155" s="2">
        <f t="shared" si="3"/>
        <v>0</v>
      </c>
      <c r="G155" s="2"/>
    </row>
    <row r="156" spans="2:7" x14ac:dyDescent="0.25">
      <c r="B156" s="4">
        <v>45950</v>
      </c>
      <c r="C156" s="2"/>
      <c r="D156" s="2"/>
      <c r="E156" s="2"/>
      <c r="F156" s="2">
        <f t="shared" si="3"/>
        <v>0</v>
      </c>
      <c r="G156" s="2"/>
    </row>
    <row r="157" spans="2:7" x14ac:dyDescent="0.25">
      <c r="B157" s="4">
        <v>45951</v>
      </c>
      <c r="C157" s="2"/>
      <c r="D157" s="2"/>
      <c r="E157" s="2"/>
      <c r="F157" s="2">
        <f t="shared" si="3"/>
        <v>0</v>
      </c>
      <c r="G157" s="2"/>
    </row>
    <row r="158" spans="2:7" x14ac:dyDescent="0.25">
      <c r="B158" s="4">
        <v>45952</v>
      </c>
      <c r="C158" s="2"/>
      <c r="D158" s="2"/>
      <c r="E158" s="2"/>
      <c r="F158" s="2">
        <f t="shared" si="3"/>
        <v>0</v>
      </c>
      <c r="G158" s="2"/>
    </row>
    <row r="159" spans="2:7" x14ac:dyDescent="0.25">
      <c r="B159" s="4">
        <v>45953</v>
      </c>
      <c r="C159" s="2"/>
      <c r="D159" s="2"/>
      <c r="E159" s="2"/>
      <c r="F159" s="2">
        <f t="shared" si="3"/>
        <v>0</v>
      </c>
      <c r="G159" s="2"/>
    </row>
    <row r="160" spans="2:7" x14ac:dyDescent="0.25">
      <c r="B160" s="4">
        <v>45954</v>
      </c>
      <c r="C160" s="2"/>
      <c r="D160" s="2"/>
      <c r="E160" s="2"/>
      <c r="F160" s="2">
        <f t="shared" si="3"/>
        <v>0</v>
      </c>
      <c r="G160" s="2"/>
    </row>
    <row r="161" spans="2:7" x14ac:dyDescent="0.25">
      <c r="B161" s="4">
        <v>45955</v>
      </c>
      <c r="C161" s="2"/>
      <c r="D161" s="2"/>
      <c r="E161" s="2"/>
      <c r="F161" s="2"/>
      <c r="G161" s="2"/>
    </row>
    <row r="162" spans="2:7" x14ac:dyDescent="0.25">
      <c r="B162" s="4">
        <v>45956</v>
      </c>
      <c r="C162" s="2"/>
      <c r="D162" s="2"/>
      <c r="E162" s="2"/>
      <c r="F162" s="2"/>
      <c r="G162" s="2"/>
    </row>
    <row r="163" spans="2:7" x14ac:dyDescent="0.25">
      <c r="B163" s="4">
        <v>45957</v>
      </c>
      <c r="C163" s="2"/>
      <c r="D163" s="2"/>
      <c r="E163" s="2"/>
      <c r="F163" s="2"/>
      <c r="G163" s="2"/>
    </row>
    <row r="164" spans="2:7" x14ac:dyDescent="0.25">
      <c r="B164" s="4">
        <v>45958</v>
      </c>
      <c r="C164" s="2"/>
      <c r="D164" s="2"/>
      <c r="E164" s="2"/>
      <c r="F164" s="2"/>
      <c r="G164" s="2"/>
    </row>
    <row r="165" spans="2:7" x14ac:dyDescent="0.25">
      <c r="B165" s="4">
        <v>45959</v>
      </c>
      <c r="C165" s="2"/>
      <c r="D165" s="2"/>
      <c r="E165" s="2"/>
      <c r="F165" s="2"/>
      <c r="G165" s="2"/>
    </row>
    <row r="166" spans="2:7" x14ac:dyDescent="0.25">
      <c r="B166" s="4">
        <v>45960</v>
      </c>
      <c r="C166" s="2"/>
      <c r="D166" s="2"/>
      <c r="E166" s="2"/>
      <c r="F166" s="2"/>
      <c r="G166" s="2"/>
    </row>
    <row r="167" spans="2:7" x14ac:dyDescent="0.25">
      <c r="B167" s="4">
        <v>45961</v>
      </c>
      <c r="C167" s="2"/>
      <c r="D167" s="2"/>
      <c r="E167" s="2"/>
      <c r="F167" s="2"/>
      <c r="G167" s="2"/>
    </row>
    <row r="168" spans="2:7" x14ac:dyDescent="0.25">
      <c r="B168" s="4">
        <v>45962</v>
      </c>
      <c r="C168" s="2"/>
      <c r="D168" s="2"/>
      <c r="E168" s="2"/>
      <c r="F168" s="2"/>
      <c r="G168" s="2"/>
    </row>
    <row r="169" spans="2:7" x14ac:dyDescent="0.25">
      <c r="B169" s="4">
        <v>45963</v>
      </c>
      <c r="C169" s="2"/>
      <c r="D169" s="2"/>
      <c r="E169" s="2"/>
      <c r="F169" s="2"/>
      <c r="G169" s="2"/>
    </row>
    <row r="170" spans="2:7" x14ac:dyDescent="0.25">
      <c r="B170" s="4">
        <v>45964</v>
      </c>
      <c r="C170" s="2"/>
      <c r="D170" s="2"/>
      <c r="E170" s="2"/>
      <c r="F170" s="2"/>
      <c r="G170" s="2"/>
    </row>
    <row r="171" spans="2:7" x14ac:dyDescent="0.25">
      <c r="B171" s="4">
        <v>45965</v>
      </c>
      <c r="C171" s="2"/>
      <c r="D171" s="2"/>
      <c r="E171" s="2"/>
      <c r="F171" s="2"/>
      <c r="G171" s="2"/>
    </row>
    <row r="172" spans="2:7" x14ac:dyDescent="0.25">
      <c r="B172" s="4">
        <v>45966</v>
      </c>
      <c r="C172" s="2"/>
      <c r="D172" s="2"/>
      <c r="E172" s="2"/>
      <c r="F172" s="2"/>
      <c r="G172" s="2"/>
    </row>
    <row r="173" spans="2:7" x14ac:dyDescent="0.25">
      <c r="B173" s="4">
        <v>45967</v>
      </c>
      <c r="C173" s="2"/>
      <c r="D173" s="2"/>
      <c r="E173" s="2"/>
      <c r="F173" s="2"/>
      <c r="G173" s="2"/>
    </row>
    <row r="174" spans="2:7" x14ac:dyDescent="0.25">
      <c r="B174" s="4">
        <v>45968</v>
      </c>
      <c r="C174" s="2"/>
      <c r="D174" s="2"/>
      <c r="E174" s="2"/>
      <c r="F174" s="2"/>
      <c r="G174" s="2"/>
    </row>
    <row r="175" spans="2:7" x14ac:dyDescent="0.25">
      <c r="B175" s="4">
        <v>45969</v>
      </c>
      <c r="C175" s="2"/>
      <c r="D175" s="2"/>
      <c r="E175" s="2"/>
      <c r="F175" s="2"/>
      <c r="G175" s="2"/>
    </row>
    <row r="176" spans="2:7" x14ac:dyDescent="0.25">
      <c r="B176" s="4">
        <v>45970</v>
      </c>
      <c r="C176" s="2"/>
      <c r="D176" s="2"/>
      <c r="E176" s="2"/>
      <c r="F176" s="2"/>
      <c r="G176" s="2"/>
    </row>
    <row r="177" spans="2:7" x14ac:dyDescent="0.25">
      <c r="B177" s="4">
        <v>45971</v>
      </c>
      <c r="C177" s="2"/>
      <c r="D177" s="2"/>
      <c r="E177" s="2"/>
      <c r="F177" s="2"/>
      <c r="G177" s="2"/>
    </row>
    <row r="178" spans="2:7" x14ac:dyDescent="0.25">
      <c r="B178" s="4">
        <v>45972</v>
      </c>
      <c r="C178" s="2"/>
      <c r="D178" s="2"/>
      <c r="E178" s="2"/>
      <c r="F178" s="2"/>
      <c r="G178" s="2"/>
    </row>
    <row r="179" spans="2:7" x14ac:dyDescent="0.25">
      <c r="B179" s="4">
        <v>45973</v>
      </c>
      <c r="C179" s="2"/>
      <c r="D179" s="2"/>
      <c r="E179" s="2"/>
      <c r="F179" s="2"/>
      <c r="G179" s="2"/>
    </row>
    <row r="180" spans="2:7" x14ac:dyDescent="0.25">
      <c r="B180" s="4">
        <v>45974</v>
      </c>
      <c r="C180" s="2"/>
      <c r="D180" s="2"/>
      <c r="E180" s="2"/>
      <c r="F180" s="2"/>
      <c r="G180" s="2"/>
    </row>
    <row r="181" spans="2:7" x14ac:dyDescent="0.25">
      <c r="B181" s="4">
        <v>45975</v>
      </c>
      <c r="C181" s="2"/>
      <c r="D181" s="2"/>
      <c r="E181" s="2"/>
      <c r="F181" s="2"/>
      <c r="G181" s="2"/>
    </row>
    <row r="182" spans="2:7" x14ac:dyDescent="0.25">
      <c r="B182" s="4">
        <v>45976</v>
      </c>
      <c r="C182" s="2"/>
      <c r="D182" s="2"/>
      <c r="E182" s="2"/>
      <c r="F182" s="2"/>
      <c r="G182" s="2"/>
    </row>
    <row r="183" spans="2:7" x14ac:dyDescent="0.25">
      <c r="B183" s="4">
        <v>45977</v>
      </c>
      <c r="C183" s="2"/>
      <c r="D183" s="2"/>
      <c r="E183" s="2"/>
      <c r="F183" s="2"/>
      <c r="G183" s="2"/>
    </row>
    <row r="184" spans="2:7" x14ac:dyDescent="0.25">
      <c r="B184" s="4">
        <v>45978</v>
      </c>
      <c r="C184" s="2"/>
      <c r="D184" s="2"/>
      <c r="E184" s="2"/>
      <c r="F184" s="2"/>
      <c r="G184" s="2"/>
    </row>
    <row r="185" spans="2:7" x14ac:dyDescent="0.25">
      <c r="B185" s="4">
        <v>45979</v>
      </c>
      <c r="C185" s="2"/>
      <c r="D185" s="2"/>
      <c r="E185" s="2"/>
      <c r="F185" s="2"/>
      <c r="G185" s="2"/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B3:G73"/>
  <sheetViews>
    <sheetView topLeftCell="A52" workbookViewId="0">
      <selection activeCell="C62" sqref="C62"/>
    </sheetView>
  </sheetViews>
  <sheetFormatPr defaultRowHeight="15" x14ac:dyDescent="0.25"/>
  <cols>
    <col min="2" max="2" width="18" bestFit="1" customWidth="1"/>
    <col min="3" max="3" width="72" bestFit="1" customWidth="1"/>
    <col min="4" max="4" width="42.140625" bestFit="1" customWidth="1"/>
    <col min="5" max="5" width="11.85546875" bestFit="1" customWidth="1"/>
    <col min="6" max="6" width="8.42578125" bestFit="1" customWidth="1"/>
    <col min="7" max="7" width="11" bestFit="1" customWidth="1"/>
  </cols>
  <sheetData>
    <row r="3" spans="2:7" x14ac:dyDescent="0.25">
      <c r="B3" s="53" t="s">
        <v>3913</v>
      </c>
    </row>
    <row r="4" spans="2:7" ht="15.75" x14ac:dyDescent="0.25">
      <c r="B4" s="10" t="s">
        <v>0</v>
      </c>
      <c r="C4" s="11" t="s">
        <v>1</v>
      </c>
      <c r="D4" s="11" t="s">
        <v>2</v>
      </c>
      <c r="E4" s="11" t="s">
        <v>934</v>
      </c>
      <c r="F4" s="11" t="s">
        <v>1095</v>
      </c>
      <c r="G4" s="11" t="s">
        <v>1507</v>
      </c>
    </row>
    <row r="5" spans="2:7" x14ac:dyDescent="0.25">
      <c r="B5" s="4">
        <v>45791</v>
      </c>
      <c r="C5" s="2" t="s">
        <v>1528</v>
      </c>
      <c r="D5" s="2"/>
      <c r="E5" s="23">
        <v>0</v>
      </c>
      <c r="F5" s="2"/>
      <c r="G5" s="2"/>
    </row>
    <row r="6" spans="2:7" x14ac:dyDescent="0.25">
      <c r="B6" s="4">
        <v>45792</v>
      </c>
      <c r="C6" s="2" t="s">
        <v>3926</v>
      </c>
      <c r="D6" s="2"/>
      <c r="E6" s="23">
        <v>0</v>
      </c>
      <c r="F6" s="2">
        <f t="shared" ref="F6:F43" si="0">E6-E5</f>
        <v>0</v>
      </c>
      <c r="G6" s="2"/>
    </row>
    <row r="7" spans="2:7" x14ac:dyDescent="0.25">
      <c r="B7" s="4">
        <v>45793</v>
      </c>
      <c r="C7" s="2" t="s">
        <v>522</v>
      </c>
      <c r="D7" s="2"/>
      <c r="E7" s="23">
        <v>0</v>
      </c>
      <c r="F7" s="2">
        <f t="shared" si="0"/>
        <v>0</v>
      </c>
      <c r="G7" s="2"/>
    </row>
    <row r="8" spans="2:7" x14ac:dyDescent="0.25">
      <c r="B8" s="4">
        <v>45794</v>
      </c>
      <c r="C8" s="2" t="s">
        <v>522</v>
      </c>
      <c r="D8" s="2"/>
      <c r="E8" s="23">
        <v>0</v>
      </c>
      <c r="F8" s="2">
        <f t="shared" si="0"/>
        <v>0</v>
      </c>
      <c r="G8" s="2"/>
    </row>
    <row r="9" spans="2:7" x14ac:dyDescent="0.25">
      <c r="B9" s="4">
        <v>45795</v>
      </c>
      <c r="C9" s="2" t="s">
        <v>622</v>
      </c>
      <c r="D9" s="2" t="s">
        <v>3963</v>
      </c>
      <c r="E9" s="23">
        <v>0</v>
      </c>
      <c r="F9" s="2">
        <f t="shared" si="0"/>
        <v>0</v>
      </c>
      <c r="G9" s="2"/>
    </row>
    <row r="10" spans="2:7" x14ac:dyDescent="0.25">
      <c r="B10" s="4">
        <v>45796</v>
      </c>
      <c r="C10" s="2" t="s">
        <v>3989</v>
      </c>
      <c r="D10" s="2"/>
      <c r="E10" s="23">
        <v>7</v>
      </c>
      <c r="F10" s="2">
        <f t="shared" si="0"/>
        <v>7</v>
      </c>
      <c r="G10" s="2"/>
    </row>
    <row r="11" spans="2:7" x14ac:dyDescent="0.25">
      <c r="B11" s="4">
        <v>45797</v>
      </c>
      <c r="C11" s="2" t="s">
        <v>4002</v>
      </c>
      <c r="D11" s="2"/>
      <c r="E11" s="23">
        <v>12</v>
      </c>
      <c r="F11" s="2">
        <f t="shared" si="0"/>
        <v>5</v>
      </c>
      <c r="G11" s="2"/>
    </row>
    <row r="12" spans="2:7" x14ac:dyDescent="0.25">
      <c r="B12" s="4">
        <v>45798</v>
      </c>
      <c r="C12" s="2" t="s">
        <v>4004</v>
      </c>
      <c r="D12" s="58"/>
      <c r="E12" s="23">
        <v>12.5</v>
      </c>
      <c r="F12" s="2">
        <f t="shared" si="0"/>
        <v>0.5</v>
      </c>
      <c r="G12" s="2"/>
    </row>
    <row r="13" spans="2:7" x14ac:dyDescent="0.25">
      <c r="B13" s="4">
        <v>45799</v>
      </c>
      <c r="C13" s="2" t="s">
        <v>4015</v>
      </c>
      <c r="D13" s="58"/>
      <c r="E13" s="23">
        <v>13</v>
      </c>
      <c r="F13" s="2">
        <f t="shared" si="0"/>
        <v>0.5</v>
      </c>
      <c r="G13" s="2"/>
    </row>
    <row r="14" spans="2:7" x14ac:dyDescent="0.25">
      <c r="B14" s="4">
        <v>45800</v>
      </c>
      <c r="C14" s="2" t="s">
        <v>4024</v>
      </c>
      <c r="D14" s="58"/>
      <c r="E14" s="23">
        <v>28</v>
      </c>
      <c r="F14" s="2">
        <f t="shared" si="0"/>
        <v>15</v>
      </c>
      <c r="G14" s="2"/>
    </row>
    <row r="15" spans="2:7" x14ac:dyDescent="0.25">
      <c r="B15" s="4">
        <v>45801</v>
      </c>
      <c r="C15" s="2" t="s">
        <v>4030</v>
      </c>
      <c r="D15" s="2"/>
      <c r="E15" s="23">
        <v>50</v>
      </c>
      <c r="F15" s="2">
        <f t="shared" si="0"/>
        <v>22</v>
      </c>
      <c r="G15" s="2"/>
    </row>
    <row r="16" spans="2:7" x14ac:dyDescent="0.25">
      <c r="B16" s="4">
        <v>45802</v>
      </c>
      <c r="C16" s="2" t="s">
        <v>4031</v>
      </c>
      <c r="D16" s="2"/>
      <c r="E16" s="23">
        <v>60</v>
      </c>
      <c r="F16" s="2">
        <f t="shared" si="0"/>
        <v>10</v>
      </c>
      <c r="G16" s="2"/>
    </row>
    <row r="17" spans="2:7" x14ac:dyDescent="0.25">
      <c r="B17" s="4">
        <v>45803</v>
      </c>
      <c r="C17" s="2" t="s">
        <v>4042</v>
      </c>
      <c r="D17" s="2"/>
      <c r="E17" s="23">
        <v>65</v>
      </c>
      <c r="F17" s="2">
        <f t="shared" si="0"/>
        <v>5</v>
      </c>
      <c r="G17" s="2"/>
    </row>
    <row r="18" spans="2:7" x14ac:dyDescent="0.25">
      <c r="B18" s="4">
        <v>45804</v>
      </c>
      <c r="C18" s="2" t="s">
        <v>4051</v>
      </c>
      <c r="D18" s="2"/>
      <c r="E18" s="23">
        <v>67</v>
      </c>
      <c r="F18" s="2">
        <f t="shared" si="0"/>
        <v>2</v>
      </c>
      <c r="G18" s="2"/>
    </row>
    <row r="19" spans="2:7" x14ac:dyDescent="0.25">
      <c r="B19" s="4">
        <v>45805</v>
      </c>
      <c r="C19" s="2" t="s">
        <v>4064</v>
      </c>
      <c r="D19" s="2"/>
      <c r="E19" s="23">
        <v>70</v>
      </c>
      <c r="F19" s="2">
        <f t="shared" si="0"/>
        <v>3</v>
      </c>
      <c r="G19" s="2"/>
    </row>
    <row r="20" spans="2:7" x14ac:dyDescent="0.25">
      <c r="B20" s="4">
        <v>45806</v>
      </c>
      <c r="C20" s="2" t="s">
        <v>4063</v>
      </c>
      <c r="D20" s="2"/>
      <c r="E20" s="23">
        <v>76</v>
      </c>
      <c r="F20" s="2">
        <f t="shared" si="0"/>
        <v>6</v>
      </c>
      <c r="G20" s="2"/>
    </row>
    <row r="21" spans="2:7" x14ac:dyDescent="0.25">
      <c r="B21" s="4">
        <v>45807</v>
      </c>
      <c r="C21" s="2" t="s">
        <v>4080</v>
      </c>
      <c r="D21" s="2" t="s">
        <v>4081</v>
      </c>
      <c r="E21" s="23">
        <v>81</v>
      </c>
      <c r="F21" s="2">
        <f t="shared" si="0"/>
        <v>5</v>
      </c>
      <c r="G21" s="2"/>
    </row>
    <row r="22" spans="2:7" x14ac:dyDescent="0.25">
      <c r="B22" s="4">
        <v>45808</v>
      </c>
      <c r="C22" s="58" t="s">
        <v>4093</v>
      </c>
      <c r="D22" s="2" t="s">
        <v>4091</v>
      </c>
      <c r="E22" s="23">
        <v>81</v>
      </c>
      <c r="F22" s="2">
        <f t="shared" si="0"/>
        <v>0</v>
      </c>
      <c r="G22" s="2"/>
    </row>
    <row r="23" spans="2:7" x14ac:dyDescent="0.25">
      <c r="B23" s="4">
        <v>45809</v>
      </c>
      <c r="C23" s="58" t="s">
        <v>4093</v>
      </c>
      <c r="D23" s="2" t="s">
        <v>4092</v>
      </c>
      <c r="E23" s="23">
        <v>81</v>
      </c>
      <c r="F23" s="2">
        <f t="shared" si="0"/>
        <v>0</v>
      </c>
      <c r="G23" s="2"/>
    </row>
    <row r="24" spans="2:7" x14ac:dyDescent="0.25">
      <c r="B24" s="4">
        <v>45810</v>
      </c>
      <c r="C24" s="58" t="s">
        <v>4124</v>
      </c>
      <c r="D24" s="2" t="s">
        <v>4116</v>
      </c>
      <c r="E24" s="23">
        <v>81</v>
      </c>
      <c r="F24" s="2">
        <f t="shared" si="0"/>
        <v>0</v>
      </c>
      <c r="G24" s="2"/>
    </row>
    <row r="25" spans="2:7" x14ac:dyDescent="0.25">
      <c r="B25" s="4">
        <v>45811</v>
      </c>
      <c r="C25" s="2" t="s">
        <v>4136</v>
      </c>
      <c r="D25" s="2"/>
      <c r="E25" s="23">
        <v>91</v>
      </c>
      <c r="F25" s="2">
        <f t="shared" si="0"/>
        <v>10</v>
      </c>
      <c r="G25" s="2"/>
    </row>
    <row r="26" spans="2:7" x14ac:dyDescent="0.25">
      <c r="B26" s="4">
        <v>45812</v>
      </c>
      <c r="C26" s="2" t="s">
        <v>4145</v>
      </c>
      <c r="D26" s="2" t="s">
        <v>4154</v>
      </c>
      <c r="E26" s="23">
        <v>95</v>
      </c>
      <c r="F26" s="2">
        <f t="shared" si="0"/>
        <v>4</v>
      </c>
      <c r="G26" s="2"/>
    </row>
    <row r="27" spans="2:7" x14ac:dyDescent="0.25">
      <c r="B27" s="4">
        <v>45813</v>
      </c>
      <c r="C27" s="2" t="s">
        <v>4171</v>
      </c>
      <c r="D27" s="2"/>
      <c r="E27" s="23">
        <v>100</v>
      </c>
      <c r="F27" s="2">
        <f t="shared" si="0"/>
        <v>5</v>
      </c>
      <c r="G27" s="2"/>
    </row>
    <row r="28" spans="2:7" x14ac:dyDescent="0.25">
      <c r="B28" s="4">
        <v>45814</v>
      </c>
      <c r="C28" s="2" t="s">
        <v>4170</v>
      </c>
      <c r="D28" s="2"/>
      <c r="E28" s="23">
        <v>103</v>
      </c>
      <c r="F28" s="2">
        <f t="shared" si="0"/>
        <v>3</v>
      </c>
      <c r="G28" s="2"/>
    </row>
    <row r="29" spans="2:7" x14ac:dyDescent="0.25">
      <c r="B29" s="4">
        <v>45815</v>
      </c>
      <c r="C29" s="2" t="s">
        <v>4168</v>
      </c>
      <c r="D29" s="2"/>
      <c r="E29" s="23">
        <v>110</v>
      </c>
      <c r="F29" s="2">
        <f t="shared" si="0"/>
        <v>7</v>
      </c>
      <c r="G29" s="2"/>
    </row>
    <row r="30" spans="2:7" x14ac:dyDescent="0.25">
      <c r="B30" s="4">
        <v>45816</v>
      </c>
      <c r="C30" s="2" t="s">
        <v>4169</v>
      </c>
      <c r="D30" s="2"/>
      <c r="E30" s="23">
        <v>110</v>
      </c>
      <c r="F30" s="2">
        <f t="shared" si="0"/>
        <v>0</v>
      </c>
      <c r="G30" s="2"/>
    </row>
    <row r="31" spans="2:7" x14ac:dyDescent="0.25">
      <c r="B31" s="4">
        <v>45817</v>
      </c>
      <c r="C31" s="2" t="s">
        <v>4193</v>
      </c>
      <c r="D31" s="2"/>
      <c r="E31" s="23">
        <v>114</v>
      </c>
      <c r="F31" s="2">
        <f t="shared" si="0"/>
        <v>4</v>
      </c>
      <c r="G31" s="2"/>
    </row>
    <row r="32" spans="2:7" x14ac:dyDescent="0.25">
      <c r="B32" s="4">
        <v>45818</v>
      </c>
      <c r="C32" s="2" t="s">
        <v>4198</v>
      </c>
      <c r="D32" s="2" t="s">
        <v>4207</v>
      </c>
      <c r="E32" s="23">
        <v>121</v>
      </c>
      <c r="F32" s="2">
        <f t="shared" si="0"/>
        <v>7</v>
      </c>
      <c r="G32" s="2"/>
    </row>
    <row r="33" spans="2:7" x14ac:dyDescent="0.25">
      <c r="B33" s="4">
        <v>45819</v>
      </c>
      <c r="C33" s="2" t="s">
        <v>4223</v>
      </c>
      <c r="D33" s="2"/>
      <c r="E33" s="23">
        <v>125</v>
      </c>
      <c r="F33" s="2">
        <f t="shared" si="0"/>
        <v>4</v>
      </c>
      <c r="G33" s="2"/>
    </row>
    <row r="34" spans="2:7" x14ac:dyDescent="0.25">
      <c r="B34" s="4">
        <v>45820</v>
      </c>
      <c r="C34" s="2" t="s">
        <v>4224</v>
      </c>
      <c r="D34" s="2"/>
      <c r="E34" s="23">
        <v>128</v>
      </c>
      <c r="F34" s="2">
        <f t="shared" si="0"/>
        <v>3</v>
      </c>
      <c r="G34" s="2"/>
    </row>
    <row r="35" spans="2:7" x14ac:dyDescent="0.25">
      <c r="B35" s="4">
        <v>45821</v>
      </c>
      <c r="C35" s="2" t="s">
        <v>4243</v>
      </c>
      <c r="D35" s="2"/>
      <c r="E35" s="23">
        <v>130</v>
      </c>
      <c r="F35" s="2">
        <f t="shared" si="0"/>
        <v>2</v>
      </c>
      <c r="G35" s="2"/>
    </row>
    <row r="36" spans="2:7" x14ac:dyDescent="0.25">
      <c r="B36" s="4">
        <v>45822</v>
      </c>
      <c r="C36" s="2" t="s">
        <v>4249</v>
      </c>
      <c r="D36" s="2"/>
      <c r="E36" s="23">
        <v>30</v>
      </c>
      <c r="F36" s="2">
        <f t="shared" si="0"/>
        <v>-100</v>
      </c>
      <c r="G36" s="2"/>
    </row>
    <row r="37" spans="2:7" x14ac:dyDescent="0.25">
      <c r="B37" s="4">
        <v>45823</v>
      </c>
      <c r="C37" s="2" t="s">
        <v>4250</v>
      </c>
      <c r="D37" s="2"/>
      <c r="E37" s="23">
        <v>65</v>
      </c>
      <c r="F37" s="2">
        <f t="shared" si="0"/>
        <v>35</v>
      </c>
      <c r="G37" s="2"/>
    </row>
    <row r="38" spans="2:7" x14ac:dyDescent="0.25">
      <c r="B38" s="4">
        <v>45824</v>
      </c>
      <c r="C38" s="2" t="s">
        <v>4273</v>
      </c>
      <c r="D38" s="2"/>
      <c r="E38" s="23">
        <v>80</v>
      </c>
      <c r="F38" s="2">
        <f t="shared" si="0"/>
        <v>15</v>
      </c>
      <c r="G38" s="2"/>
    </row>
    <row r="39" spans="2:7" x14ac:dyDescent="0.25">
      <c r="B39" s="4">
        <v>45825</v>
      </c>
      <c r="C39" s="2" t="s">
        <v>4291</v>
      </c>
      <c r="D39" s="2"/>
      <c r="E39" s="23">
        <v>100</v>
      </c>
      <c r="F39" s="2">
        <f t="shared" si="0"/>
        <v>20</v>
      </c>
      <c r="G39" s="2"/>
    </row>
    <row r="40" spans="2:7" x14ac:dyDescent="0.25">
      <c r="B40" s="4">
        <v>45826</v>
      </c>
      <c r="C40" s="2" t="s">
        <v>4290</v>
      </c>
      <c r="D40" s="2"/>
      <c r="E40" s="23">
        <v>112</v>
      </c>
      <c r="F40" s="2">
        <f t="shared" si="0"/>
        <v>12</v>
      </c>
      <c r="G40" s="2"/>
    </row>
    <row r="41" spans="2:7" x14ac:dyDescent="0.25">
      <c r="B41" s="4">
        <v>45827</v>
      </c>
      <c r="C41" s="2" t="s">
        <v>4235</v>
      </c>
      <c r="D41" s="2" t="s">
        <v>4319</v>
      </c>
      <c r="E41" s="23"/>
      <c r="F41" s="2">
        <f t="shared" si="0"/>
        <v>-112</v>
      </c>
      <c r="G41" s="2"/>
    </row>
    <row r="42" spans="2:7" x14ac:dyDescent="0.25">
      <c r="B42" s="4">
        <v>45828</v>
      </c>
      <c r="C42" s="2" t="s">
        <v>4335</v>
      </c>
      <c r="D42" s="2" t="s">
        <v>4323</v>
      </c>
      <c r="E42" s="23"/>
      <c r="F42" s="2">
        <f t="shared" si="0"/>
        <v>0</v>
      </c>
      <c r="G42" s="2"/>
    </row>
    <row r="43" spans="2:7" x14ac:dyDescent="0.25">
      <c r="B43" s="4">
        <v>45829</v>
      </c>
      <c r="C43" s="2" t="s">
        <v>4361</v>
      </c>
      <c r="D43" s="2" t="s">
        <v>4343</v>
      </c>
      <c r="E43" s="23"/>
      <c r="F43" s="2">
        <f t="shared" si="0"/>
        <v>0</v>
      </c>
      <c r="G43" s="2"/>
    </row>
    <row r="44" spans="2:7" x14ac:dyDescent="0.25">
      <c r="B44" s="4">
        <v>45830</v>
      </c>
      <c r="C44" s="2" t="s">
        <v>4362</v>
      </c>
      <c r="D44" s="2"/>
      <c r="E44" s="23"/>
      <c r="F44" s="2"/>
      <c r="G44" s="2"/>
    </row>
    <row r="45" spans="2:7" x14ac:dyDescent="0.25">
      <c r="B45" s="4">
        <v>45831</v>
      </c>
      <c r="C45" s="2" t="s">
        <v>4373</v>
      </c>
      <c r="D45" s="2"/>
      <c r="E45" s="2"/>
      <c r="F45" s="2"/>
      <c r="G45" s="2"/>
    </row>
    <row r="46" spans="2:7" x14ac:dyDescent="0.25">
      <c r="B46" s="4">
        <v>45832</v>
      </c>
      <c r="C46" s="2" t="s">
        <v>1166</v>
      </c>
      <c r="D46" s="2"/>
      <c r="E46" s="2"/>
      <c r="F46" s="2"/>
      <c r="G46" s="2"/>
    </row>
    <row r="47" spans="2:7" x14ac:dyDescent="0.25">
      <c r="B47" s="4">
        <v>45833</v>
      </c>
      <c r="C47" s="2" t="s">
        <v>4413</v>
      </c>
      <c r="D47" s="2"/>
      <c r="E47" s="2"/>
      <c r="F47" s="2"/>
      <c r="G47" s="2"/>
    </row>
    <row r="48" spans="2:7" x14ac:dyDescent="0.25">
      <c r="B48" s="4">
        <v>45834</v>
      </c>
      <c r="C48" s="2" t="s">
        <v>4431</v>
      </c>
      <c r="D48" s="2" t="s">
        <v>4420</v>
      </c>
      <c r="E48" s="2"/>
      <c r="F48" s="2"/>
      <c r="G48" s="2"/>
    </row>
    <row r="49" spans="2:7" x14ac:dyDescent="0.25">
      <c r="B49" s="4">
        <v>45835</v>
      </c>
      <c r="C49" s="2" t="s">
        <v>4432</v>
      </c>
      <c r="D49" s="2"/>
      <c r="E49" s="2"/>
      <c r="F49" s="2"/>
      <c r="G49" s="2"/>
    </row>
    <row r="50" spans="2:7" x14ac:dyDescent="0.25">
      <c r="B50" s="4">
        <v>45836</v>
      </c>
      <c r="C50" s="2" t="s">
        <v>3565</v>
      </c>
      <c r="D50" s="2" t="s">
        <v>4444</v>
      </c>
      <c r="E50" s="2"/>
      <c r="F50" s="2"/>
      <c r="G50" s="2"/>
    </row>
    <row r="51" spans="2:7" x14ac:dyDescent="0.25">
      <c r="B51" s="4">
        <v>45837</v>
      </c>
      <c r="C51" s="2"/>
      <c r="D51" s="2" t="s">
        <v>4445</v>
      </c>
      <c r="E51" s="2"/>
      <c r="F51" s="2"/>
      <c r="G51" s="2"/>
    </row>
    <row r="52" spans="2:7" x14ac:dyDescent="0.25">
      <c r="B52" s="4">
        <v>45838</v>
      </c>
      <c r="C52" s="2"/>
      <c r="D52" s="2" t="s">
        <v>4514</v>
      </c>
      <c r="E52" s="2"/>
      <c r="F52" s="2"/>
      <c r="G52" s="2"/>
    </row>
    <row r="53" spans="2:7" x14ac:dyDescent="0.25">
      <c r="B53" s="4">
        <v>45839</v>
      </c>
      <c r="C53" s="2"/>
      <c r="D53" s="2"/>
      <c r="E53" s="2"/>
      <c r="F53" s="2"/>
      <c r="G53" s="2"/>
    </row>
    <row r="54" spans="2:7" x14ac:dyDescent="0.25">
      <c r="B54" s="4">
        <v>45840</v>
      </c>
      <c r="C54" s="2"/>
      <c r="D54" s="2"/>
      <c r="E54" s="2"/>
      <c r="F54" s="2"/>
      <c r="G54" s="2"/>
    </row>
    <row r="55" spans="2:7" x14ac:dyDescent="0.25">
      <c r="B55" s="4">
        <v>45841</v>
      </c>
      <c r="C55" s="2"/>
      <c r="D55" s="2"/>
      <c r="E55" s="2"/>
      <c r="F55" s="2"/>
      <c r="G55" s="2"/>
    </row>
    <row r="56" spans="2:7" x14ac:dyDescent="0.25">
      <c r="B56" s="4">
        <v>45842</v>
      </c>
      <c r="C56" s="2"/>
      <c r="D56" s="2"/>
      <c r="E56" s="2"/>
      <c r="F56" s="2"/>
      <c r="G56" s="2"/>
    </row>
    <row r="57" spans="2:7" x14ac:dyDescent="0.25">
      <c r="B57" s="4">
        <v>45843</v>
      </c>
      <c r="C57" s="2"/>
      <c r="D57" s="2"/>
      <c r="E57" s="2"/>
      <c r="F57" s="2"/>
      <c r="G57" s="2"/>
    </row>
    <row r="58" spans="2:7" x14ac:dyDescent="0.25">
      <c r="B58" s="4">
        <v>45844</v>
      </c>
      <c r="C58" s="2"/>
      <c r="D58" s="2"/>
      <c r="E58" s="2"/>
      <c r="F58" s="2"/>
      <c r="G58" s="2"/>
    </row>
    <row r="59" spans="2:7" x14ac:dyDescent="0.25">
      <c r="B59" s="4">
        <v>45855</v>
      </c>
      <c r="C59" s="2" t="s">
        <v>4612</v>
      </c>
      <c r="D59" s="2"/>
      <c r="E59" s="2"/>
      <c r="F59" s="2"/>
      <c r="G59" s="2"/>
    </row>
    <row r="60" spans="2:7" x14ac:dyDescent="0.25">
      <c r="B60" s="4">
        <v>45856</v>
      </c>
      <c r="C60" s="2" t="s">
        <v>4622</v>
      </c>
      <c r="D60" s="2"/>
      <c r="E60" s="2"/>
      <c r="F60" s="2"/>
      <c r="G60" s="2"/>
    </row>
    <row r="61" spans="2:7" x14ac:dyDescent="0.25">
      <c r="B61" s="4">
        <v>45857</v>
      </c>
      <c r="C61" s="2" t="s">
        <v>4634</v>
      </c>
      <c r="D61" s="2"/>
      <c r="E61" s="2"/>
      <c r="F61" s="2"/>
      <c r="G61" s="2"/>
    </row>
    <row r="62" spans="2:7" x14ac:dyDescent="0.25">
      <c r="B62" s="4">
        <v>45858</v>
      </c>
      <c r="C62" s="2" t="s">
        <v>4635</v>
      </c>
      <c r="D62" s="2" t="s">
        <v>4673</v>
      </c>
      <c r="E62" s="2"/>
      <c r="F62" s="2"/>
      <c r="G62" s="2"/>
    </row>
    <row r="63" spans="2:7" x14ac:dyDescent="0.25">
      <c r="B63" s="4">
        <v>45859</v>
      </c>
      <c r="C63" s="2"/>
      <c r="D63" s="2"/>
      <c r="E63" s="2"/>
      <c r="F63" s="2"/>
      <c r="G63" s="2"/>
    </row>
    <row r="64" spans="2:7" x14ac:dyDescent="0.25">
      <c r="B64" s="4">
        <v>45860</v>
      </c>
      <c r="C64" s="2"/>
      <c r="D64" s="2"/>
      <c r="E64" s="2"/>
      <c r="F64" s="2"/>
      <c r="G64" s="2"/>
    </row>
    <row r="65" spans="2:7" x14ac:dyDescent="0.25">
      <c r="B65" s="4">
        <v>45861</v>
      </c>
      <c r="C65" s="2"/>
      <c r="D65" s="2"/>
      <c r="E65" s="2"/>
      <c r="F65" s="2"/>
      <c r="G65" s="2"/>
    </row>
    <row r="66" spans="2:7" x14ac:dyDescent="0.25">
      <c r="B66" s="4">
        <v>45862</v>
      </c>
      <c r="C66" s="2"/>
      <c r="D66" s="2"/>
      <c r="E66" s="2"/>
      <c r="F66" s="2"/>
      <c r="G66" s="2"/>
    </row>
    <row r="67" spans="2:7" x14ac:dyDescent="0.25">
      <c r="B67" s="4">
        <v>45863</v>
      </c>
      <c r="C67" s="2"/>
      <c r="D67" s="2"/>
      <c r="E67" s="2"/>
      <c r="F67" s="2"/>
      <c r="G67" s="2"/>
    </row>
    <row r="68" spans="2:7" x14ac:dyDescent="0.25">
      <c r="B68" s="4">
        <v>45864</v>
      </c>
      <c r="C68" s="2"/>
      <c r="D68" s="2"/>
      <c r="E68" s="2"/>
      <c r="F68" s="2"/>
      <c r="G68" s="2"/>
    </row>
    <row r="69" spans="2:7" x14ac:dyDescent="0.25">
      <c r="B69" s="4">
        <v>45865</v>
      </c>
      <c r="C69" s="2"/>
      <c r="D69" s="2"/>
      <c r="E69" s="2"/>
      <c r="F69" s="2"/>
      <c r="G69" s="2"/>
    </row>
    <row r="70" spans="2:7" x14ac:dyDescent="0.25">
      <c r="B70" s="4">
        <v>45866</v>
      </c>
      <c r="C70" s="2"/>
      <c r="D70" s="2"/>
      <c r="E70" s="2"/>
      <c r="F70" s="2"/>
      <c r="G70" s="2"/>
    </row>
    <row r="71" spans="2:7" x14ac:dyDescent="0.25">
      <c r="B71" s="4">
        <v>45867</v>
      </c>
      <c r="C71" s="2"/>
      <c r="D71" s="2"/>
      <c r="E71" s="2"/>
      <c r="F71" s="2"/>
      <c r="G71" s="2"/>
    </row>
    <row r="72" spans="2:7" x14ac:dyDescent="0.25">
      <c r="B72" s="2"/>
      <c r="C72" s="2"/>
      <c r="D72" s="2"/>
      <c r="E72" s="2"/>
      <c r="F72" s="2"/>
      <c r="G72" s="2"/>
    </row>
    <row r="73" spans="2:7" x14ac:dyDescent="0.25">
      <c r="B73" s="2"/>
      <c r="C73" s="2"/>
      <c r="D73" s="2"/>
      <c r="E73" s="2"/>
      <c r="F73" s="2"/>
      <c r="G73" s="2"/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tabColor rgb="FF7030A0"/>
  </sheetPr>
  <dimension ref="A3:F420"/>
  <sheetViews>
    <sheetView showGridLines="0" zoomScaleNormal="100" workbookViewId="0">
      <pane ySplit="4" topLeftCell="A398" activePane="bottomLeft" state="frozen"/>
      <selection pane="bottomLeft" activeCell="B411" sqref="B411"/>
    </sheetView>
  </sheetViews>
  <sheetFormatPr defaultRowHeight="15" x14ac:dyDescent="0.25"/>
  <cols>
    <col min="1" max="1" width="20.85546875" bestFit="1" customWidth="1"/>
    <col min="2" max="2" width="72" bestFit="1" customWidth="1"/>
    <col min="3" max="3" width="48.28515625" customWidth="1"/>
    <col min="4" max="4" width="16.5703125" bestFit="1" customWidth="1"/>
    <col min="5" max="5" width="12.85546875" bestFit="1" customWidth="1"/>
    <col min="6" max="6" width="15.42578125" bestFit="1" customWidth="1"/>
  </cols>
  <sheetData>
    <row r="3" spans="1:6" x14ac:dyDescent="0.25">
      <c r="A3" s="53" t="s">
        <v>4963</v>
      </c>
    </row>
    <row r="4" spans="1:6" ht="15.75" x14ac:dyDescent="0.25">
      <c r="A4" s="10" t="s">
        <v>0</v>
      </c>
      <c r="B4" s="11" t="s">
        <v>1</v>
      </c>
      <c r="C4" s="11" t="s">
        <v>2</v>
      </c>
      <c r="D4" s="11" t="s">
        <v>934</v>
      </c>
      <c r="E4" s="11" t="s">
        <v>1095</v>
      </c>
      <c r="F4" s="11" t="s">
        <v>1507</v>
      </c>
    </row>
    <row r="5" spans="1:6" x14ac:dyDescent="0.25">
      <c r="A5" s="4">
        <v>45523</v>
      </c>
      <c r="B5" s="2" t="s">
        <v>1528</v>
      </c>
      <c r="C5" s="2"/>
      <c r="D5" s="23"/>
      <c r="E5" s="2"/>
      <c r="F5" s="2"/>
    </row>
    <row r="6" spans="1:6" x14ac:dyDescent="0.25">
      <c r="A6" s="4">
        <v>45523</v>
      </c>
      <c r="B6" s="2" t="s">
        <v>1545</v>
      </c>
      <c r="C6" s="2"/>
      <c r="D6" s="23"/>
      <c r="E6" s="2"/>
      <c r="F6" s="2"/>
    </row>
    <row r="7" spans="1:6" x14ac:dyDescent="0.25">
      <c r="A7" s="4">
        <v>45524</v>
      </c>
      <c r="B7" s="2" t="s">
        <v>622</v>
      </c>
      <c r="C7" s="2"/>
      <c r="D7" s="23">
        <v>0</v>
      </c>
      <c r="E7" s="2"/>
      <c r="F7" s="2"/>
    </row>
    <row r="8" spans="1:6" x14ac:dyDescent="0.25">
      <c r="A8" s="4">
        <v>45525</v>
      </c>
      <c r="B8" s="2" t="s">
        <v>1565</v>
      </c>
      <c r="C8" s="2"/>
      <c r="D8" s="23">
        <v>7</v>
      </c>
      <c r="E8" s="2">
        <f>D8-D7</f>
        <v>7</v>
      </c>
      <c r="F8" s="2"/>
    </row>
    <row r="9" spans="1:6" x14ac:dyDescent="0.25">
      <c r="A9" s="4">
        <v>45526</v>
      </c>
      <c r="B9" s="2" t="s">
        <v>1566</v>
      </c>
      <c r="C9" s="2"/>
      <c r="D9" s="23">
        <v>10</v>
      </c>
      <c r="E9" s="2">
        <f t="shared" ref="E9:E72" si="0">D9-D8</f>
        <v>3</v>
      </c>
      <c r="F9" s="2"/>
    </row>
    <row r="10" spans="1:6" x14ac:dyDescent="0.25">
      <c r="A10" s="4">
        <v>45527</v>
      </c>
      <c r="B10" s="2" t="s">
        <v>1588</v>
      </c>
      <c r="C10" s="2"/>
      <c r="D10" s="23">
        <v>15</v>
      </c>
      <c r="E10" s="2">
        <f t="shared" si="0"/>
        <v>5</v>
      </c>
      <c r="F10" s="2"/>
    </row>
    <row r="11" spans="1:6" x14ac:dyDescent="0.25">
      <c r="A11" s="4">
        <v>45528</v>
      </c>
      <c r="B11" s="2" t="s">
        <v>1611</v>
      </c>
      <c r="C11" s="2"/>
      <c r="D11" s="23">
        <v>18</v>
      </c>
      <c r="E11" s="2">
        <f t="shared" si="0"/>
        <v>3</v>
      </c>
      <c r="F11" s="2"/>
    </row>
    <row r="12" spans="1:6" x14ac:dyDescent="0.25">
      <c r="A12" s="4">
        <v>45529</v>
      </c>
      <c r="B12" s="2" t="s">
        <v>1612</v>
      </c>
      <c r="C12" s="2"/>
      <c r="D12" s="23">
        <v>18.5</v>
      </c>
      <c r="E12" s="2">
        <f t="shared" si="0"/>
        <v>0.5</v>
      </c>
      <c r="F12" s="2"/>
    </row>
    <row r="13" spans="1:6" x14ac:dyDescent="0.25">
      <c r="A13" s="4">
        <v>45530</v>
      </c>
      <c r="B13" s="2" t="s">
        <v>1616</v>
      </c>
      <c r="C13" s="2" t="s">
        <v>1617</v>
      </c>
      <c r="D13" s="23">
        <v>18.7</v>
      </c>
      <c r="E13" s="2">
        <f t="shared" si="0"/>
        <v>0.19999999999999929</v>
      </c>
      <c r="F13" s="2"/>
    </row>
    <row r="14" spans="1:6" x14ac:dyDescent="0.25">
      <c r="A14" s="4">
        <v>45531</v>
      </c>
      <c r="B14" s="2" t="s">
        <v>1632</v>
      </c>
      <c r="C14" s="2"/>
      <c r="D14" s="23">
        <v>19.2</v>
      </c>
      <c r="E14" s="2">
        <f t="shared" si="0"/>
        <v>0.5</v>
      </c>
      <c r="F14" s="2"/>
    </row>
    <row r="15" spans="1:6" x14ac:dyDescent="0.25">
      <c r="A15" s="4">
        <v>45532</v>
      </c>
      <c r="B15" s="2" t="s">
        <v>1643</v>
      </c>
      <c r="C15" s="2"/>
      <c r="D15" s="23">
        <v>19.2</v>
      </c>
      <c r="E15" s="2">
        <f t="shared" si="0"/>
        <v>0</v>
      </c>
      <c r="F15" s="2"/>
    </row>
    <row r="16" spans="1:6" x14ac:dyDescent="0.25">
      <c r="A16" s="4">
        <v>45533</v>
      </c>
      <c r="B16" s="2" t="s">
        <v>1656</v>
      </c>
      <c r="C16" s="2" t="s">
        <v>1665</v>
      </c>
      <c r="D16" s="23">
        <v>19.399999999999999</v>
      </c>
      <c r="E16" s="2">
        <f t="shared" si="0"/>
        <v>0.19999999999999929</v>
      </c>
      <c r="F16" s="2"/>
    </row>
    <row r="17" spans="1:6" x14ac:dyDescent="0.25">
      <c r="A17" s="4">
        <v>45534</v>
      </c>
      <c r="B17" s="2" t="s">
        <v>1671</v>
      </c>
      <c r="C17" s="2"/>
      <c r="D17" s="23">
        <v>19.7</v>
      </c>
      <c r="E17" s="2">
        <f t="shared" si="0"/>
        <v>0.30000000000000071</v>
      </c>
      <c r="F17" s="2"/>
    </row>
    <row r="18" spans="1:6" x14ac:dyDescent="0.25">
      <c r="A18" s="4">
        <v>45535</v>
      </c>
      <c r="B18" s="2" t="s">
        <v>1702</v>
      </c>
      <c r="C18" s="2"/>
      <c r="D18" s="23">
        <v>19.899999999999999</v>
      </c>
      <c r="E18" s="2">
        <f t="shared" si="0"/>
        <v>0.19999999999999929</v>
      </c>
      <c r="F18" s="2"/>
    </row>
    <row r="19" spans="1:6" x14ac:dyDescent="0.25">
      <c r="A19" s="4">
        <v>45536</v>
      </c>
      <c r="B19" s="2" t="s">
        <v>1703</v>
      </c>
      <c r="C19" s="2" t="s">
        <v>1706</v>
      </c>
      <c r="D19" s="23">
        <v>21</v>
      </c>
      <c r="E19" s="2">
        <f t="shared" si="0"/>
        <v>1.1000000000000014</v>
      </c>
      <c r="F19" s="2"/>
    </row>
    <row r="20" spans="1:6" x14ac:dyDescent="0.25">
      <c r="A20" s="4">
        <v>45537</v>
      </c>
      <c r="B20" s="2" t="s">
        <v>1708</v>
      </c>
      <c r="C20" s="2"/>
      <c r="D20" s="23">
        <v>29.5</v>
      </c>
      <c r="E20" s="2">
        <f t="shared" si="0"/>
        <v>8.5</v>
      </c>
      <c r="F20" s="2"/>
    </row>
    <row r="21" spans="1:6" x14ac:dyDescent="0.25">
      <c r="A21" s="4">
        <v>45538</v>
      </c>
      <c r="B21" s="2" t="s">
        <v>1728</v>
      </c>
      <c r="C21" s="2"/>
      <c r="D21" s="23">
        <v>30.9</v>
      </c>
      <c r="E21" s="2">
        <f t="shared" si="0"/>
        <v>1.3999999999999986</v>
      </c>
      <c r="F21" s="2"/>
    </row>
    <row r="22" spans="1:6" x14ac:dyDescent="0.25">
      <c r="A22" s="4">
        <v>45539</v>
      </c>
      <c r="B22" s="2" t="s">
        <v>1740</v>
      </c>
      <c r="C22" s="2" t="s">
        <v>1747</v>
      </c>
      <c r="D22" s="23">
        <v>30.9</v>
      </c>
      <c r="E22" s="2">
        <f t="shared" si="0"/>
        <v>0</v>
      </c>
      <c r="F22" s="2"/>
    </row>
    <row r="23" spans="1:6" x14ac:dyDescent="0.25">
      <c r="A23" s="4">
        <v>45540</v>
      </c>
      <c r="B23" s="2" t="s">
        <v>1779</v>
      </c>
      <c r="C23" s="2"/>
      <c r="D23" s="23">
        <v>21</v>
      </c>
      <c r="E23" s="2">
        <f t="shared" si="0"/>
        <v>-9.8999999999999986</v>
      </c>
      <c r="F23" s="2"/>
    </row>
    <row r="24" spans="1:6" x14ac:dyDescent="0.25">
      <c r="A24" s="4">
        <v>45541</v>
      </c>
      <c r="B24" s="2" t="s">
        <v>1783</v>
      </c>
      <c r="C24" s="2" t="s">
        <v>1791</v>
      </c>
      <c r="D24" s="23">
        <v>32.200000000000003</v>
      </c>
      <c r="E24" s="2">
        <f t="shared" si="0"/>
        <v>11.200000000000003</v>
      </c>
      <c r="F24" s="2"/>
    </row>
    <row r="25" spans="1:6" x14ac:dyDescent="0.25">
      <c r="A25" s="4">
        <v>45542</v>
      </c>
      <c r="B25" s="2" t="s">
        <v>1783</v>
      </c>
      <c r="C25" s="2" t="s">
        <v>1791</v>
      </c>
      <c r="D25" s="23">
        <v>32.200000000000003</v>
      </c>
      <c r="E25" s="2">
        <f t="shared" si="0"/>
        <v>0</v>
      </c>
      <c r="F25" s="2"/>
    </row>
    <row r="26" spans="1:6" x14ac:dyDescent="0.25">
      <c r="A26" s="4">
        <v>45543</v>
      </c>
      <c r="B26" s="2" t="s">
        <v>1783</v>
      </c>
      <c r="C26" s="2" t="s">
        <v>1823</v>
      </c>
      <c r="D26" s="23">
        <v>32.200000000000003</v>
      </c>
      <c r="E26" s="2">
        <f t="shared" si="0"/>
        <v>0</v>
      </c>
      <c r="F26" s="2"/>
    </row>
    <row r="27" spans="1:6" x14ac:dyDescent="0.25">
      <c r="A27" s="4">
        <v>45544</v>
      </c>
      <c r="B27" s="2" t="s">
        <v>1844</v>
      </c>
      <c r="C27" s="2"/>
      <c r="D27" s="23">
        <v>32.200000000000003</v>
      </c>
      <c r="E27" s="2">
        <f t="shared" si="0"/>
        <v>0</v>
      </c>
      <c r="F27" s="2"/>
    </row>
    <row r="28" spans="1:6" x14ac:dyDescent="0.25">
      <c r="A28" s="4">
        <v>45545</v>
      </c>
      <c r="B28" s="2" t="s">
        <v>1844</v>
      </c>
      <c r="C28" s="2"/>
      <c r="D28" s="23">
        <v>32.200000000000003</v>
      </c>
      <c r="E28" s="2">
        <f t="shared" si="0"/>
        <v>0</v>
      </c>
      <c r="F28" s="2"/>
    </row>
    <row r="29" spans="1:6" x14ac:dyDescent="0.25">
      <c r="A29" s="4">
        <v>45546</v>
      </c>
      <c r="B29" s="2" t="s">
        <v>1844</v>
      </c>
      <c r="C29" s="2"/>
      <c r="D29" s="23">
        <v>32.200000000000003</v>
      </c>
      <c r="E29" s="2">
        <f t="shared" si="0"/>
        <v>0</v>
      </c>
      <c r="F29" s="2"/>
    </row>
    <row r="30" spans="1:6" x14ac:dyDescent="0.25">
      <c r="A30" s="4">
        <v>45547</v>
      </c>
      <c r="B30" s="2" t="s">
        <v>1848</v>
      </c>
      <c r="C30" s="2"/>
      <c r="D30" s="23">
        <v>32.200000000000003</v>
      </c>
      <c r="E30" s="2">
        <f t="shared" si="0"/>
        <v>0</v>
      </c>
      <c r="F30" s="2"/>
    </row>
    <row r="31" spans="1:6" x14ac:dyDescent="0.25">
      <c r="A31" s="4">
        <v>45548</v>
      </c>
      <c r="B31" s="2" t="s">
        <v>1868</v>
      </c>
      <c r="C31" s="2" t="s">
        <v>1869</v>
      </c>
      <c r="D31" s="23">
        <v>32.200000000000003</v>
      </c>
      <c r="E31" s="2">
        <f t="shared" si="0"/>
        <v>0</v>
      </c>
      <c r="F31" s="2"/>
    </row>
    <row r="32" spans="1:6" x14ac:dyDescent="0.25">
      <c r="A32" s="4">
        <v>45549</v>
      </c>
      <c r="B32" s="2" t="s">
        <v>1900</v>
      </c>
      <c r="C32" s="2"/>
      <c r="D32" s="23">
        <v>32.200000000000003</v>
      </c>
      <c r="E32" s="2">
        <f t="shared" si="0"/>
        <v>0</v>
      </c>
      <c r="F32" s="2"/>
    </row>
    <row r="33" spans="1:6" x14ac:dyDescent="0.25">
      <c r="A33" s="4">
        <v>45550</v>
      </c>
      <c r="B33" s="2" t="s">
        <v>1899</v>
      </c>
      <c r="C33" s="2"/>
      <c r="D33" s="23">
        <v>32.200000000000003</v>
      </c>
      <c r="E33" s="2">
        <f t="shared" si="0"/>
        <v>0</v>
      </c>
      <c r="F33" s="2"/>
    </row>
    <row r="34" spans="1:6" x14ac:dyDescent="0.25">
      <c r="A34" s="4">
        <v>45551</v>
      </c>
      <c r="B34" s="2" t="s">
        <v>1901</v>
      </c>
      <c r="C34" s="2"/>
      <c r="D34" s="23">
        <v>33.200000000000003</v>
      </c>
      <c r="E34" s="2">
        <f t="shared" si="0"/>
        <v>1</v>
      </c>
      <c r="F34" s="2"/>
    </row>
    <row r="35" spans="1:6" x14ac:dyDescent="0.25">
      <c r="A35" s="4">
        <v>45552</v>
      </c>
      <c r="B35" s="2" t="s">
        <v>1915</v>
      </c>
      <c r="C35" s="2"/>
      <c r="D35" s="23">
        <v>33.5</v>
      </c>
      <c r="E35" s="2">
        <f t="shared" si="0"/>
        <v>0.29999999999999716</v>
      </c>
      <c r="F35" s="2"/>
    </row>
    <row r="36" spans="1:6" x14ac:dyDescent="0.25">
      <c r="A36" s="4">
        <v>45553</v>
      </c>
      <c r="B36" s="2" t="s">
        <v>1915</v>
      </c>
      <c r="C36" s="2" t="s">
        <v>1923</v>
      </c>
      <c r="D36" s="23">
        <v>33.5</v>
      </c>
      <c r="E36" s="2">
        <f t="shared" si="0"/>
        <v>0</v>
      </c>
      <c r="F36" s="2"/>
    </row>
    <row r="37" spans="1:6" x14ac:dyDescent="0.25">
      <c r="A37" s="4">
        <v>45554</v>
      </c>
      <c r="B37" s="2" t="s">
        <v>1935</v>
      </c>
      <c r="C37" s="2" t="s">
        <v>1945</v>
      </c>
      <c r="D37" s="23">
        <v>33.700000000000003</v>
      </c>
      <c r="E37" s="2">
        <f t="shared" si="0"/>
        <v>0.20000000000000284</v>
      </c>
      <c r="F37" s="2"/>
    </row>
    <row r="38" spans="1:6" x14ac:dyDescent="0.25">
      <c r="A38" s="4">
        <v>45555</v>
      </c>
      <c r="B38" s="2" t="s">
        <v>1956</v>
      </c>
      <c r="C38" s="2"/>
      <c r="D38" s="23">
        <v>35</v>
      </c>
      <c r="E38" s="2">
        <f t="shared" si="0"/>
        <v>1.2999999999999972</v>
      </c>
      <c r="F38" s="2"/>
    </row>
    <row r="39" spans="1:6" x14ac:dyDescent="0.25">
      <c r="A39" s="4">
        <v>45556</v>
      </c>
      <c r="B39" s="2" t="s">
        <v>1969</v>
      </c>
      <c r="C39" s="2"/>
      <c r="D39" s="23">
        <v>35</v>
      </c>
      <c r="E39" s="2">
        <f t="shared" si="0"/>
        <v>0</v>
      </c>
      <c r="F39" s="2"/>
    </row>
    <row r="40" spans="1:6" x14ac:dyDescent="0.25">
      <c r="A40" s="4">
        <v>45557</v>
      </c>
      <c r="B40" s="2" t="s">
        <v>1968</v>
      </c>
      <c r="C40" s="2"/>
      <c r="D40" s="33">
        <v>35</v>
      </c>
      <c r="E40" s="2">
        <f t="shared" si="0"/>
        <v>0</v>
      </c>
      <c r="F40" s="2"/>
    </row>
    <row r="41" spans="1:6" x14ac:dyDescent="0.25">
      <c r="A41" s="4">
        <v>45558</v>
      </c>
      <c r="B41" s="2" t="s">
        <v>480</v>
      </c>
      <c r="C41" s="2"/>
      <c r="D41" s="23">
        <v>0</v>
      </c>
      <c r="E41" s="2">
        <f t="shared" si="0"/>
        <v>-35</v>
      </c>
      <c r="F41" s="2"/>
    </row>
    <row r="42" spans="1:6" x14ac:dyDescent="0.25">
      <c r="A42" s="4">
        <v>45559</v>
      </c>
      <c r="B42" s="2" t="s">
        <v>1983</v>
      </c>
      <c r="C42" s="2"/>
      <c r="D42" s="23">
        <v>15.5</v>
      </c>
      <c r="E42" s="2">
        <f t="shared" si="0"/>
        <v>15.5</v>
      </c>
      <c r="F42" s="2"/>
    </row>
    <row r="43" spans="1:6" x14ac:dyDescent="0.25">
      <c r="A43" s="4">
        <v>45560</v>
      </c>
      <c r="B43" s="2" t="s">
        <v>1983</v>
      </c>
      <c r="C43" s="2"/>
      <c r="D43" s="23">
        <v>24</v>
      </c>
      <c r="E43" s="2">
        <f t="shared" si="0"/>
        <v>8.5</v>
      </c>
      <c r="F43" s="2"/>
    </row>
    <row r="44" spans="1:6" x14ac:dyDescent="0.25">
      <c r="A44" s="4">
        <v>45561</v>
      </c>
      <c r="B44" s="2" t="s">
        <v>1983</v>
      </c>
      <c r="C44" s="2"/>
      <c r="D44" s="23">
        <v>31</v>
      </c>
      <c r="E44" s="2">
        <f t="shared" si="0"/>
        <v>7</v>
      </c>
      <c r="F44" s="2"/>
    </row>
    <row r="45" spans="1:6" x14ac:dyDescent="0.25">
      <c r="A45" s="4">
        <v>45562</v>
      </c>
      <c r="B45" s="2" t="s">
        <v>1983</v>
      </c>
      <c r="C45" s="2"/>
      <c r="D45" s="23">
        <v>35</v>
      </c>
      <c r="E45" s="2">
        <f t="shared" si="0"/>
        <v>4</v>
      </c>
      <c r="F45" s="2"/>
    </row>
    <row r="46" spans="1:6" x14ac:dyDescent="0.25">
      <c r="A46" s="4">
        <v>45563</v>
      </c>
      <c r="B46" s="2" t="s">
        <v>2030</v>
      </c>
      <c r="C46" s="2"/>
      <c r="D46" s="23">
        <v>35.5</v>
      </c>
      <c r="E46" s="2">
        <f t="shared" si="0"/>
        <v>0.5</v>
      </c>
      <c r="F46" s="2"/>
    </row>
    <row r="47" spans="1:6" x14ac:dyDescent="0.25">
      <c r="A47" s="4">
        <v>45564</v>
      </c>
      <c r="B47" s="2" t="s">
        <v>2031</v>
      </c>
      <c r="C47" s="2"/>
      <c r="D47" s="23">
        <v>35.5</v>
      </c>
      <c r="E47" s="2">
        <f t="shared" si="0"/>
        <v>0</v>
      </c>
      <c r="F47" s="2"/>
    </row>
    <row r="48" spans="1:6" x14ac:dyDescent="0.25">
      <c r="A48" s="4">
        <v>45565</v>
      </c>
      <c r="B48" s="2" t="s">
        <v>2048</v>
      </c>
      <c r="C48" s="2"/>
      <c r="D48" s="23">
        <v>35.700000000000003</v>
      </c>
      <c r="E48" s="2">
        <f t="shared" si="0"/>
        <v>0.20000000000000284</v>
      </c>
      <c r="F48" s="2"/>
    </row>
    <row r="49" spans="1:6" x14ac:dyDescent="0.25">
      <c r="A49" s="4">
        <v>45566</v>
      </c>
      <c r="B49" s="2" t="s">
        <v>2057</v>
      </c>
      <c r="C49" s="2"/>
      <c r="D49" s="23">
        <v>36.1</v>
      </c>
      <c r="E49" s="2">
        <f t="shared" si="0"/>
        <v>0.39999999999999858</v>
      </c>
      <c r="F49" s="2"/>
    </row>
    <row r="50" spans="1:6" x14ac:dyDescent="0.25">
      <c r="A50" s="4">
        <v>45567</v>
      </c>
      <c r="B50" s="2" t="s">
        <v>2057</v>
      </c>
      <c r="C50" s="2" t="s">
        <v>2075</v>
      </c>
      <c r="D50" s="23">
        <v>36.1</v>
      </c>
      <c r="E50" s="2">
        <f t="shared" si="0"/>
        <v>0</v>
      </c>
      <c r="F50" s="2"/>
    </row>
    <row r="51" spans="1:6" x14ac:dyDescent="0.25">
      <c r="A51" s="4">
        <v>45568</v>
      </c>
      <c r="B51" s="2" t="s">
        <v>2088</v>
      </c>
      <c r="C51" s="2"/>
      <c r="D51" s="23">
        <v>36.4</v>
      </c>
      <c r="E51" s="2">
        <f t="shared" si="0"/>
        <v>0.29999999999999716</v>
      </c>
      <c r="F51" s="2"/>
    </row>
    <row r="52" spans="1:6" x14ac:dyDescent="0.25">
      <c r="A52" s="4">
        <v>45569</v>
      </c>
      <c r="B52" s="2" t="s">
        <v>1844</v>
      </c>
      <c r="C52" s="2"/>
      <c r="D52" s="23">
        <v>36.4</v>
      </c>
      <c r="E52" s="2">
        <f t="shared" si="0"/>
        <v>0</v>
      </c>
      <c r="F52" s="2"/>
    </row>
    <row r="53" spans="1:6" x14ac:dyDescent="0.25">
      <c r="A53" s="4">
        <v>45570</v>
      </c>
      <c r="B53" s="2" t="s">
        <v>1844</v>
      </c>
      <c r="C53" s="2"/>
      <c r="D53" s="23">
        <v>36.4</v>
      </c>
      <c r="E53" s="2">
        <f t="shared" si="0"/>
        <v>0</v>
      </c>
      <c r="F53" s="2"/>
    </row>
    <row r="54" spans="1:6" x14ac:dyDescent="0.25">
      <c r="A54" s="4">
        <v>45571</v>
      </c>
      <c r="B54" s="2" t="s">
        <v>1844</v>
      </c>
      <c r="C54" s="2"/>
      <c r="D54" s="23">
        <v>36.4</v>
      </c>
      <c r="E54" s="2">
        <f t="shared" si="0"/>
        <v>0</v>
      </c>
      <c r="F54" s="2"/>
    </row>
    <row r="55" spans="1:6" x14ac:dyDescent="0.25">
      <c r="A55" s="4">
        <v>45572</v>
      </c>
      <c r="B55" s="2" t="s">
        <v>2134</v>
      </c>
      <c r="C55" s="2"/>
      <c r="D55" s="23">
        <v>37.25</v>
      </c>
      <c r="E55" s="2">
        <f t="shared" si="0"/>
        <v>0.85000000000000142</v>
      </c>
      <c r="F55" s="2"/>
    </row>
    <row r="56" spans="1:6" x14ac:dyDescent="0.25">
      <c r="A56" s="4">
        <v>45573</v>
      </c>
      <c r="B56" s="2" t="s">
        <v>2145</v>
      </c>
      <c r="C56" s="2"/>
      <c r="D56" s="23">
        <v>38</v>
      </c>
      <c r="E56" s="2">
        <f t="shared" si="0"/>
        <v>0.75</v>
      </c>
      <c r="F56" s="2"/>
    </row>
    <row r="57" spans="1:6" x14ac:dyDescent="0.25">
      <c r="A57" s="4">
        <v>45574</v>
      </c>
      <c r="B57" s="2" t="s">
        <v>2158</v>
      </c>
      <c r="C57" s="2"/>
      <c r="D57" s="23">
        <v>39</v>
      </c>
      <c r="E57" s="2">
        <f t="shared" si="0"/>
        <v>1</v>
      </c>
      <c r="F57" s="2"/>
    </row>
    <row r="58" spans="1:6" x14ac:dyDescent="0.25">
      <c r="A58" s="4">
        <v>45575</v>
      </c>
      <c r="B58" s="2" t="s">
        <v>2169</v>
      </c>
      <c r="C58" s="2"/>
      <c r="D58" s="23">
        <v>39.700000000000003</v>
      </c>
      <c r="E58" s="2">
        <f t="shared" si="0"/>
        <v>0.70000000000000284</v>
      </c>
      <c r="F58" s="2"/>
    </row>
    <row r="59" spans="1:6" x14ac:dyDescent="0.25">
      <c r="A59" s="4">
        <v>45576</v>
      </c>
      <c r="B59" s="2" t="s">
        <v>2171</v>
      </c>
      <c r="C59" s="2"/>
      <c r="D59" s="23">
        <v>40.200000000000003</v>
      </c>
      <c r="E59" s="2">
        <f t="shared" si="0"/>
        <v>0.5</v>
      </c>
      <c r="F59" s="2"/>
    </row>
    <row r="60" spans="1:6" x14ac:dyDescent="0.25">
      <c r="A60" s="4">
        <v>45577</v>
      </c>
      <c r="B60" s="16" t="s">
        <v>480</v>
      </c>
      <c r="C60" s="2"/>
      <c r="D60" s="23">
        <v>40.200000000000003</v>
      </c>
      <c r="E60" s="2">
        <f t="shared" si="0"/>
        <v>0</v>
      </c>
      <c r="F60" s="2"/>
    </row>
    <row r="61" spans="1:6" x14ac:dyDescent="0.25">
      <c r="A61" s="4">
        <v>45578</v>
      </c>
      <c r="B61" s="2" t="s">
        <v>2197</v>
      </c>
      <c r="C61" s="2"/>
      <c r="D61" s="23">
        <v>40.5</v>
      </c>
      <c r="E61" s="2">
        <f t="shared" si="0"/>
        <v>0.29999999999999716</v>
      </c>
      <c r="F61" s="2"/>
    </row>
    <row r="62" spans="1:6" x14ac:dyDescent="0.25">
      <c r="A62" s="4">
        <v>45579</v>
      </c>
      <c r="B62" s="2" t="s">
        <v>2198</v>
      </c>
      <c r="C62" s="2"/>
      <c r="D62" s="23">
        <v>41.2</v>
      </c>
      <c r="E62" s="2">
        <f t="shared" si="0"/>
        <v>0.70000000000000284</v>
      </c>
      <c r="F62" s="2"/>
    </row>
    <row r="63" spans="1:6" x14ac:dyDescent="0.25">
      <c r="A63" s="4">
        <v>45580</v>
      </c>
      <c r="B63" s="2" t="s">
        <v>2203</v>
      </c>
      <c r="C63" s="2"/>
      <c r="D63" s="23">
        <v>41.5</v>
      </c>
      <c r="E63" s="2">
        <f t="shared" si="0"/>
        <v>0.29999999999999716</v>
      </c>
      <c r="F63" s="2"/>
    </row>
    <row r="64" spans="1:6" x14ac:dyDescent="0.25">
      <c r="A64" s="4">
        <v>45581</v>
      </c>
      <c r="B64" s="2" t="s">
        <v>1844</v>
      </c>
      <c r="C64" s="2"/>
      <c r="D64" s="23">
        <v>41.5</v>
      </c>
      <c r="E64" s="2">
        <f t="shared" si="0"/>
        <v>0</v>
      </c>
      <c r="F64" s="2"/>
    </row>
    <row r="65" spans="1:6" x14ac:dyDescent="0.25">
      <c r="A65" s="4">
        <v>45582</v>
      </c>
      <c r="B65" s="2" t="s">
        <v>2220</v>
      </c>
      <c r="C65" s="2"/>
      <c r="D65" s="23">
        <v>42</v>
      </c>
      <c r="E65" s="2">
        <f t="shared" si="0"/>
        <v>0.5</v>
      </c>
      <c r="F65" s="2"/>
    </row>
    <row r="66" spans="1:6" x14ac:dyDescent="0.25">
      <c r="A66" s="4">
        <v>45583</v>
      </c>
      <c r="B66" s="2" t="s">
        <v>2233</v>
      </c>
      <c r="C66" s="2"/>
      <c r="D66" s="23">
        <v>42</v>
      </c>
      <c r="E66" s="2">
        <f t="shared" si="0"/>
        <v>0</v>
      </c>
      <c r="F66" s="2"/>
    </row>
    <row r="67" spans="1:6" x14ac:dyDescent="0.25">
      <c r="A67" s="4">
        <v>45584</v>
      </c>
      <c r="B67" s="2" t="s">
        <v>2252</v>
      </c>
      <c r="C67" s="2"/>
      <c r="D67" s="23">
        <v>42.2</v>
      </c>
      <c r="E67" s="2">
        <f t="shared" si="0"/>
        <v>0.20000000000000284</v>
      </c>
      <c r="F67" s="2"/>
    </row>
    <row r="68" spans="1:6" x14ac:dyDescent="0.25">
      <c r="A68" s="4">
        <v>45585</v>
      </c>
      <c r="B68" s="2" t="s">
        <v>2253</v>
      </c>
      <c r="C68" s="2"/>
      <c r="D68" s="23">
        <v>42.4</v>
      </c>
      <c r="E68" s="2">
        <f t="shared" si="0"/>
        <v>0.19999999999999574</v>
      </c>
      <c r="F68" s="2"/>
    </row>
    <row r="69" spans="1:6" x14ac:dyDescent="0.25">
      <c r="A69" s="4">
        <v>45586</v>
      </c>
      <c r="B69" s="2" t="s">
        <v>2260</v>
      </c>
      <c r="C69" s="2" t="s">
        <v>2262</v>
      </c>
      <c r="D69" s="23">
        <v>42.4</v>
      </c>
      <c r="E69" s="2">
        <f t="shared" si="0"/>
        <v>0</v>
      </c>
      <c r="F69" s="2"/>
    </row>
    <row r="70" spans="1:6" x14ac:dyDescent="0.25">
      <c r="A70" s="4">
        <v>45587</v>
      </c>
      <c r="B70" s="2" t="s">
        <v>1844</v>
      </c>
      <c r="C70" s="2" t="s">
        <v>2275</v>
      </c>
      <c r="D70" s="23">
        <v>42.4</v>
      </c>
      <c r="E70" s="2">
        <f t="shared" si="0"/>
        <v>0</v>
      </c>
      <c r="F70" s="2"/>
    </row>
    <row r="71" spans="1:6" x14ac:dyDescent="0.25">
      <c r="A71" s="4">
        <v>45588</v>
      </c>
      <c r="B71" s="2" t="s">
        <v>1844</v>
      </c>
      <c r="C71" s="2"/>
      <c r="D71" s="23">
        <v>42.4</v>
      </c>
      <c r="E71" s="2">
        <f t="shared" si="0"/>
        <v>0</v>
      </c>
      <c r="F71" s="2"/>
    </row>
    <row r="72" spans="1:6" x14ac:dyDescent="0.25">
      <c r="A72" s="4">
        <v>45589</v>
      </c>
      <c r="B72" s="2" t="s">
        <v>2293</v>
      </c>
      <c r="C72" s="2"/>
      <c r="D72" s="23">
        <v>42.4</v>
      </c>
      <c r="E72" s="2">
        <f t="shared" si="0"/>
        <v>0</v>
      </c>
      <c r="F72" s="2"/>
    </row>
    <row r="73" spans="1:6" x14ac:dyDescent="0.25">
      <c r="A73" s="4">
        <v>45590</v>
      </c>
      <c r="B73" s="2" t="s">
        <v>1844</v>
      </c>
      <c r="C73" s="2" t="s">
        <v>2312</v>
      </c>
      <c r="D73" s="23">
        <v>42.4</v>
      </c>
      <c r="E73" s="2">
        <f t="shared" ref="E73:E118" si="1">D73-D72</f>
        <v>0</v>
      </c>
      <c r="F73" s="2"/>
    </row>
    <row r="74" spans="1:6" x14ac:dyDescent="0.25">
      <c r="A74" s="4">
        <v>45591</v>
      </c>
      <c r="B74" s="2" t="s">
        <v>1844</v>
      </c>
      <c r="C74" s="2"/>
      <c r="D74" s="23">
        <v>42.4</v>
      </c>
      <c r="E74" s="2">
        <f t="shared" si="1"/>
        <v>0</v>
      </c>
      <c r="F74" s="2"/>
    </row>
    <row r="75" spans="1:6" x14ac:dyDescent="0.25">
      <c r="A75" s="4">
        <v>45592</v>
      </c>
      <c r="B75" s="2" t="s">
        <v>480</v>
      </c>
      <c r="C75" s="2"/>
      <c r="D75" s="33">
        <v>42.4</v>
      </c>
      <c r="E75" s="2">
        <f t="shared" si="1"/>
        <v>0</v>
      </c>
      <c r="F75" s="2"/>
    </row>
    <row r="76" spans="1:6" x14ac:dyDescent="0.25">
      <c r="A76" s="4">
        <v>45593</v>
      </c>
      <c r="B76" s="2" t="s">
        <v>2341</v>
      </c>
      <c r="C76" s="2" t="s">
        <v>2344</v>
      </c>
      <c r="D76" s="23">
        <v>38.5</v>
      </c>
      <c r="E76" s="2">
        <f t="shared" si="1"/>
        <v>-3.8999999999999986</v>
      </c>
      <c r="F76" s="2"/>
    </row>
    <row r="77" spans="1:6" x14ac:dyDescent="0.25">
      <c r="A77" s="4">
        <v>45594</v>
      </c>
      <c r="B77" s="2" t="s">
        <v>2341</v>
      </c>
      <c r="C77" s="2"/>
      <c r="D77" s="23">
        <v>38.5</v>
      </c>
      <c r="E77" s="2">
        <f t="shared" si="1"/>
        <v>0</v>
      </c>
      <c r="F77" s="2"/>
    </row>
    <row r="78" spans="1:6" x14ac:dyDescent="0.25">
      <c r="A78" s="4">
        <v>45595</v>
      </c>
      <c r="B78" s="2" t="s">
        <v>480</v>
      </c>
      <c r="C78" s="2"/>
      <c r="D78" s="23">
        <v>38.5</v>
      </c>
      <c r="E78" s="2">
        <f t="shared" si="1"/>
        <v>0</v>
      </c>
      <c r="F78" s="2"/>
    </row>
    <row r="79" spans="1:6" x14ac:dyDescent="0.25">
      <c r="A79" s="4">
        <v>45596</v>
      </c>
      <c r="B79" s="2" t="s">
        <v>480</v>
      </c>
      <c r="C79" s="2"/>
      <c r="D79" s="23">
        <v>38.5</v>
      </c>
      <c r="E79" s="2">
        <f t="shared" si="1"/>
        <v>0</v>
      </c>
      <c r="F79" s="2"/>
    </row>
    <row r="80" spans="1:6" x14ac:dyDescent="0.25">
      <c r="A80" s="4">
        <v>45597</v>
      </c>
      <c r="B80" s="2" t="s">
        <v>480</v>
      </c>
      <c r="C80" s="2"/>
      <c r="D80" s="23">
        <v>38.5</v>
      </c>
      <c r="E80" s="2">
        <f t="shared" si="1"/>
        <v>0</v>
      </c>
      <c r="F80" s="2"/>
    </row>
    <row r="81" spans="1:6" x14ac:dyDescent="0.25">
      <c r="A81" s="4">
        <v>45598</v>
      </c>
      <c r="B81" s="2" t="s">
        <v>480</v>
      </c>
      <c r="C81" s="2"/>
      <c r="D81" s="23">
        <v>38.5</v>
      </c>
      <c r="E81" s="2">
        <f t="shared" si="1"/>
        <v>0</v>
      </c>
      <c r="F81" s="2"/>
    </row>
    <row r="82" spans="1:6" x14ac:dyDescent="0.25">
      <c r="A82" s="4">
        <v>45599</v>
      </c>
      <c r="B82" s="2" t="s">
        <v>480</v>
      </c>
      <c r="C82" s="2"/>
      <c r="D82" s="23">
        <v>38.5</v>
      </c>
      <c r="E82" s="2">
        <f t="shared" si="1"/>
        <v>0</v>
      </c>
      <c r="F82" s="2"/>
    </row>
    <row r="83" spans="1:6" x14ac:dyDescent="0.25">
      <c r="A83" s="4">
        <v>45600</v>
      </c>
      <c r="B83" s="2" t="s">
        <v>2398</v>
      </c>
      <c r="C83" s="2" t="s">
        <v>2396</v>
      </c>
      <c r="D83" s="23">
        <v>38.5</v>
      </c>
      <c r="E83" s="2">
        <f t="shared" si="1"/>
        <v>0</v>
      </c>
      <c r="F83" s="2"/>
    </row>
    <row r="84" spans="1:6" x14ac:dyDescent="0.25">
      <c r="A84" s="4">
        <v>45601</v>
      </c>
      <c r="B84" s="2"/>
      <c r="C84" s="2"/>
      <c r="D84" s="33">
        <v>38.5</v>
      </c>
      <c r="E84" s="2">
        <f t="shared" si="1"/>
        <v>0</v>
      </c>
      <c r="F84" s="2"/>
    </row>
    <row r="85" spans="1:6" x14ac:dyDescent="0.25">
      <c r="A85" s="4">
        <v>45602</v>
      </c>
      <c r="B85" s="2" t="s">
        <v>2422</v>
      </c>
      <c r="C85" s="2"/>
      <c r="D85" s="23">
        <v>15</v>
      </c>
      <c r="E85" s="2">
        <f t="shared" si="1"/>
        <v>-23.5</v>
      </c>
      <c r="F85" s="2"/>
    </row>
    <row r="86" spans="1:6" x14ac:dyDescent="0.25">
      <c r="A86" s="4">
        <v>45603</v>
      </c>
      <c r="B86" s="2" t="s">
        <v>2423</v>
      </c>
      <c r="C86" s="2" t="s">
        <v>2430</v>
      </c>
      <c r="D86" s="23">
        <v>29</v>
      </c>
      <c r="E86" s="2">
        <f t="shared" si="1"/>
        <v>14</v>
      </c>
      <c r="F86" s="2"/>
    </row>
    <row r="87" spans="1:6" x14ac:dyDescent="0.25">
      <c r="A87" s="4">
        <v>45604</v>
      </c>
      <c r="B87" s="2" t="s">
        <v>2436</v>
      </c>
      <c r="C87" s="2"/>
      <c r="D87" s="23">
        <v>29</v>
      </c>
      <c r="E87" s="2">
        <f t="shared" si="1"/>
        <v>0</v>
      </c>
      <c r="F87" s="2"/>
    </row>
    <row r="88" spans="1:6" x14ac:dyDescent="0.25">
      <c r="A88" s="4">
        <v>45605</v>
      </c>
      <c r="B88" s="2"/>
      <c r="C88" s="2"/>
      <c r="D88" s="23">
        <v>29</v>
      </c>
      <c r="E88" s="2">
        <f t="shared" si="1"/>
        <v>0</v>
      </c>
      <c r="F88" s="2"/>
    </row>
    <row r="89" spans="1:6" x14ac:dyDescent="0.25">
      <c r="A89" s="4">
        <v>45606</v>
      </c>
      <c r="B89" s="2"/>
      <c r="C89" s="2" t="s">
        <v>2458</v>
      </c>
      <c r="D89" s="23">
        <v>29</v>
      </c>
      <c r="E89" s="2">
        <f t="shared" si="1"/>
        <v>0</v>
      </c>
      <c r="F89" s="2"/>
    </row>
    <row r="90" spans="1:6" x14ac:dyDescent="0.25">
      <c r="A90" s="4">
        <v>45607</v>
      </c>
      <c r="B90" s="2" t="s">
        <v>2465</v>
      </c>
      <c r="C90" s="2"/>
      <c r="D90" s="23">
        <v>9</v>
      </c>
      <c r="E90" s="2">
        <f t="shared" si="1"/>
        <v>-20</v>
      </c>
      <c r="F90" s="2"/>
    </row>
    <row r="91" spans="1:6" x14ac:dyDescent="0.25">
      <c r="A91" s="4">
        <v>45608</v>
      </c>
      <c r="B91" s="2" t="s">
        <v>2480</v>
      </c>
      <c r="C91" s="2"/>
      <c r="D91" s="23">
        <v>15</v>
      </c>
      <c r="E91" s="2">
        <f t="shared" si="1"/>
        <v>6</v>
      </c>
      <c r="F91" s="2"/>
    </row>
    <row r="92" spans="1:6" x14ac:dyDescent="0.25">
      <c r="A92" s="4">
        <v>45609</v>
      </c>
      <c r="B92" s="2" t="s">
        <v>2497</v>
      </c>
      <c r="C92" s="2"/>
      <c r="D92" s="23">
        <v>17</v>
      </c>
      <c r="E92" s="2">
        <f t="shared" si="1"/>
        <v>2</v>
      </c>
      <c r="F92" s="2"/>
    </row>
    <row r="93" spans="1:6" x14ac:dyDescent="0.25">
      <c r="A93" s="4">
        <v>45610</v>
      </c>
      <c r="B93" s="2" t="s">
        <v>2509</v>
      </c>
      <c r="C93" s="2"/>
      <c r="D93" s="23">
        <v>19</v>
      </c>
      <c r="E93" s="2">
        <f t="shared" si="1"/>
        <v>2</v>
      </c>
      <c r="F93" s="2"/>
    </row>
    <row r="94" spans="1:6" x14ac:dyDescent="0.25">
      <c r="A94" s="4">
        <v>45611</v>
      </c>
      <c r="B94" s="2" t="s">
        <v>2518</v>
      </c>
      <c r="C94" s="2" t="s">
        <v>2526</v>
      </c>
      <c r="D94" s="23">
        <v>20.100000000000001</v>
      </c>
      <c r="E94" s="2">
        <f t="shared" si="1"/>
        <v>1.1000000000000014</v>
      </c>
      <c r="F94" s="2"/>
    </row>
    <row r="95" spans="1:6" x14ac:dyDescent="0.25">
      <c r="A95" s="4">
        <v>45612</v>
      </c>
      <c r="B95" s="2" t="s">
        <v>2533</v>
      </c>
      <c r="C95" s="2"/>
      <c r="D95" s="23">
        <v>21.5</v>
      </c>
      <c r="E95" s="2">
        <f t="shared" si="1"/>
        <v>1.3999999999999986</v>
      </c>
      <c r="F95" s="2"/>
    </row>
    <row r="96" spans="1:6" x14ac:dyDescent="0.25">
      <c r="A96" s="4">
        <v>45613</v>
      </c>
      <c r="B96" s="2" t="s">
        <v>480</v>
      </c>
      <c r="C96" s="2"/>
      <c r="D96" s="23">
        <v>21.5</v>
      </c>
      <c r="E96" s="2">
        <f>D96-D95</f>
        <v>0</v>
      </c>
      <c r="F96" s="2"/>
    </row>
    <row r="97" spans="1:6" x14ac:dyDescent="0.25">
      <c r="A97" s="4">
        <v>45614</v>
      </c>
      <c r="B97" s="2" t="s">
        <v>2546</v>
      </c>
      <c r="C97" s="2"/>
      <c r="D97" s="23">
        <v>23</v>
      </c>
      <c r="E97" s="2">
        <f>D97-D96</f>
        <v>1.5</v>
      </c>
      <c r="F97" s="2"/>
    </row>
    <row r="98" spans="1:6" x14ac:dyDescent="0.25">
      <c r="A98" s="4">
        <v>45615</v>
      </c>
      <c r="B98" s="2" t="s">
        <v>2555</v>
      </c>
      <c r="C98" s="2"/>
      <c r="D98" s="23">
        <v>27</v>
      </c>
      <c r="E98" s="2">
        <f t="shared" si="1"/>
        <v>4</v>
      </c>
      <c r="F98" s="2"/>
    </row>
    <row r="99" spans="1:6" x14ac:dyDescent="0.25">
      <c r="A99" s="4">
        <v>45616</v>
      </c>
      <c r="B99" s="2" t="s">
        <v>2555</v>
      </c>
      <c r="C99" s="2" t="s">
        <v>2570</v>
      </c>
      <c r="D99" s="23">
        <v>27</v>
      </c>
      <c r="E99" s="2">
        <f t="shared" si="1"/>
        <v>0</v>
      </c>
      <c r="F99" s="2"/>
    </row>
    <row r="100" spans="1:6" x14ac:dyDescent="0.25">
      <c r="A100" s="4">
        <v>45617</v>
      </c>
      <c r="B100" s="2" t="s">
        <v>2579</v>
      </c>
      <c r="C100" s="2"/>
      <c r="D100" s="23">
        <v>27</v>
      </c>
      <c r="E100" s="2">
        <f t="shared" si="1"/>
        <v>0</v>
      </c>
      <c r="F100" s="2"/>
    </row>
    <row r="101" spans="1:6" x14ac:dyDescent="0.25">
      <c r="A101" s="4">
        <v>45618</v>
      </c>
      <c r="B101" s="2" t="s">
        <v>2591</v>
      </c>
      <c r="C101" s="2"/>
      <c r="D101" s="23">
        <v>27</v>
      </c>
      <c r="E101" s="2">
        <f t="shared" si="1"/>
        <v>0</v>
      </c>
      <c r="F101" s="2"/>
    </row>
    <row r="102" spans="1:6" x14ac:dyDescent="0.25">
      <c r="A102" s="4">
        <v>45619</v>
      </c>
      <c r="B102" s="2"/>
      <c r="C102" s="2"/>
      <c r="D102" s="23">
        <v>27</v>
      </c>
      <c r="E102" s="2">
        <f t="shared" si="1"/>
        <v>0</v>
      </c>
      <c r="F102" s="2"/>
    </row>
    <row r="103" spans="1:6" x14ac:dyDescent="0.25">
      <c r="A103" s="4">
        <v>45620</v>
      </c>
      <c r="B103" s="2" t="s">
        <v>2602</v>
      </c>
      <c r="C103" s="2"/>
      <c r="D103" s="23">
        <v>27</v>
      </c>
      <c r="E103" s="2">
        <f t="shared" si="1"/>
        <v>0</v>
      </c>
      <c r="F103" s="2"/>
    </row>
    <row r="104" spans="1:6" x14ac:dyDescent="0.25">
      <c r="A104" s="4">
        <v>45621</v>
      </c>
      <c r="B104" s="2" t="s">
        <v>2613</v>
      </c>
      <c r="C104" s="2"/>
      <c r="D104" s="23">
        <v>27</v>
      </c>
      <c r="E104" s="2">
        <f t="shared" si="1"/>
        <v>0</v>
      </c>
      <c r="F104" s="2"/>
    </row>
    <row r="105" spans="1:6" x14ac:dyDescent="0.25">
      <c r="A105" s="4">
        <v>45622</v>
      </c>
      <c r="B105" s="2"/>
      <c r="C105" s="2"/>
      <c r="D105" s="23">
        <v>27</v>
      </c>
      <c r="E105" s="2">
        <f t="shared" si="1"/>
        <v>0</v>
      </c>
      <c r="F105" s="2"/>
    </row>
    <row r="106" spans="1:6" x14ac:dyDescent="0.25">
      <c r="A106" s="4">
        <v>45623</v>
      </c>
      <c r="B106" s="2" t="s">
        <v>2625</v>
      </c>
      <c r="C106" s="2" t="s">
        <v>2628</v>
      </c>
      <c r="D106" s="23">
        <v>27</v>
      </c>
      <c r="E106" s="2">
        <f t="shared" si="1"/>
        <v>0</v>
      </c>
      <c r="F106" s="2"/>
    </row>
    <row r="107" spans="1:6" x14ac:dyDescent="0.25">
      <c r="A107" s="4">
        <v>45624</v>
      </c>
      <c r="B107" s="2" t="s">
        <v>2637</v>
      </c>
      <c r="C107" s="2"/>
      <c r="D107" s="23">
        <v>27</v>
      </c>
      <c r="E107" s="2">
        <f t="shared" si="1"/>
        <v>0</v>
      </c>
      <c r="F107" s="2"/>
    </row>
    <row r="108" spans="1:6" x14ac:dyDescent="0.25">
      <c r="A108" s="4">
        <v>45625</v>
      </c>
      <c r="B108" s="2" t="s">
        <v>2646</v>
      </c>
      <c r="C108" s="2" t="s">
        <v>2647</v>
      </c>
      <c r="D108" s="23">
        <v>27</v>
      </c>
      <c r="E108" s="2">
        <f t="shared" si="1"/>
        <v>0</v>
      </c>
      <c r="F108" s="2"/>
    </row>
    <row r="109" spans="1:6" x14ac:dyDescent="0.25">
      <c r="A109" s="4">
        <v>45626</v>
      </c>
      <c r="B109" s="2"/>
      <c r="C109" s="2"/>
      <c r="D109" s="23">
        <v>27</v>
      </c>
      <c r="E109" s="2">
        <f t="shared" si="1"/>
        <v>0</v>
      </c>
      <c r="F109" s="2"/>
    </row>
    <row r="110" spans="1:6" x14ac:dyDescent="0.25">
      <c r="A110" s="4">
        <v>45627</v>
      </c>
      <c r="B110" s="2"/>
      <c r="C110" s="2"/>
      <c r="D110" s="23">
        <v>27</v>
      </c>
      <c r="E110" s="2">
        <f t="shared" si="1"/>
        <v>0</v>
      </c>
      <c r="F110" s="2"/>
    </row>
    <row r="111" spans="1:6" x14ac:dyDescent="0.25">
      <c r="A111" s="4">
        <v>45628</v>
      </c>
      <c r="B111" s="2"/>
      <c r="C111" s="2"/>
      <c r="D111" s="23">
        <v>27</v>
      </c>
      <c r="E111" s="2">
        <f t="shared" si="1"/>
        <v>0</v>
      </c>
      <c r="F111" s="2"/>
    </row>
    <row r="112" spans="1:6" x14ac:dyDescent="0.25">
      <c r="A112" s="4">
        <v>45629</v>
      </c>
      <c r="B112" s="2" t="s">
        <v>2676</v>
      </c>
      <c r="C112" s="2"/>
      <c r="D112" s="23">
        <v>27</v>
      </c>
      <c r="E112" s="2">
        <f t="shared" si="1"/>
        <v>0</v>
      </c>
      <c r="F112" s="2"/>
    </row>
    <row r="113" spans="1:6" x14ac:dyDescent="0.25">
      <c r="A113" s="4">
        <v>45630</v>
      </c>
      <c r="B113" s="2" t="s">
        <v>2691</v>
      </c>
      <c r="C113" s="2" t="s">
        <v>2693</v>
      </c>
      <c r="D113" s="23">
        <v>27</v>
      </c>
      <c r="E113" s="2">
        <f t="shared" si="1"/>
        <v>0</v>
      </c>
      <c r="F113" s="2"/>
    </row>
    <row r="114" spans="1:6" x14ac:dyDescent="0.25">
      <c r="A114" s="4">
        <v>45631</v>
      </c>
      <c r="B114" s="2" t="s">
        <v>2722</v>
      </c>
      <c r="C114" s="2"/>
      <c r="D114" s="23">
        <v>30</v>
      </c>
      <c r="E114" s="2">
        <f t="shared" si="1"/>
        <v>3</v>
      </c>
      <c r="F114" s="2"/>
    </row>
    <row r="115" spans="1:6" x14ac:dyDescent="0.25">
      <c r="A115" s="4">
        <v>45632</v>
      </c>
      <c r="B115" s="2" t="s">
        <v>2721</v>
      </c>
      <c r="C115" s="2" t="s">
        <v>2707</v>
      </c>
      <c r="D115" s="23">
        <v>30</v>
      </c>
      <c r="E115" s="2">
        <f t="shared" si="1"/>
        <v>0</v>
      </c>
      <c r="F115" s="2"/>
    </row>
    <row r="116" spans="1:6" x14ac:dyDescent="0.25">
      <c r="A116" s="4">
        <v>45633</v>
      </c>
      <c r="B116" s="2" t="s">
        <v>2721</v>
      </c>
      <c r="C116" s="2"/>
      <c r="D116" s="23">
        <v>30</v>
      </c>
      <c r="E116" s="2">
        <f t="shared" si="1"/>
        <v>0</v>
      </c>
      <c r="F116" s="2"/>
    </row>
    <row r="117" spans="1:6" x14ac:dyDescent="0.25">
      <c r="A117" s="4">
        <v>45634</v>
      </c>
      <c r="B117" s="2" t="s">
        <v>2720</v>
      </c>
      <c r="C117" s="2"/>
      <c r="D117" s="23">
        <v>30</v>
      </c>
      <c r="E117" s="2">
        <f t="shared" si="1"/>
        <v>0</v>
      </c>
      <c r="F117" s="2"/>
    </row>
    <row r="118" spans="1:6" x14ac:dyDescent="0.25">
      <c r="A118" s="4">
        <v>45635</v>
      </c>
      <c r="B118" s="2" t="s">
        <v>2748</v>
      </c>
      <c r="C118" s="2"/>
      <c r="D118" s="23">
        <v>33</v>
      </c>
      <c r="E118" s="2">
        <f t="shared" si="1"/>
        <v>3</v>
      </c>
      <c r="F118" s="2"/>
    </row>
    <row r="119" spans="1:6" x14ac:dyDescent="0.25">
      <c r="A119" s="4">
        <v>45636</v>
      </c>
      <c r="B119" s="2" t="s">
        <v>480</v>
      </c>
      <c r="C119" s="2"/>
      <c r="D119" s="23">
        <v>33</v>
      </c>
      <c r="E119" s="2">
        <f>D119-D118</f>
        <v>0</v>
      </c>
      <c r="F119" s="2"/>
    </row>
    <row r="120" spans="1:6" x14ac:dyDescent="0.25">
      <c r="A120" s="4">
        <v>45637</v>
      </c>
      <c r="B120" s="2" t="s">
        <v>480</v>
      </c>
      <c r="C120" s="2"/>
      <c r="D120" s="23">
        <v>33</v>
      </c>
      <c r="E120" s="2">
        <f>D120-D119</f>
        <v>0</v>
      </c>
      <c r="F120" s="2"/>
    </row>
    <row r="121" spans="1:6" x14ac:dyDescent="0.25">
      <c r="A121" s="4">
        <v>45638</v>
      </c>
      <c r="B121" s="2" t="s">
        <v>480</v>
      </c>
      <c r="C121" s="2"/>
      <c r="D121" s="23">
        <v>33</v>
      </c>
      <c r="E121" s="2">
        <f t="shared" ref="E121:E138" si="2">D121-D120</f>
        <v>0</v>
      </c>
      <c r="F121" s="2"/>
    </row>
    <row r="122" spans="1:6" x14ac:dyDescent="0.25">
      <c r="A122" s="4">
        <v>45639</v>
      </c>
      <c r="B122" s="2" t="s">
        <v>480</v>
      </c>
      <c r="C122" s="2"/>
      <c r="D122" s="23">
        <v>33</v>
      </c>
      <c r="E122" s="2">
        <f t="shared" si="2"/>
        <v>0</v>
      </c>
      <c r="F122" s="2"/>
    </row>
    <row r="123" spans="1:6" x14ac:dyDescent="0.25">
      <c r="A123" s="4">
        <v>45640</v>
      </c>
      <c r="B123" s="2" t="s">
        <v>480</v>
      </c>
      <c r="C123" s="2"/>
      <c r="D123" s="23">
        <v>33</v>
      </c>
      <c r="E123" s="2">
        <f t="shared" si="2"/>
        <v>0</v>
      </c>
      <c r="F123" s="2"/>
    </row>
    <row r="124" spans="1:6" x14ac:dyDescent="0.25">
      <c r="A124" s="4">
        <v>45641</v>
      </c>
      <c r="B124" s="2" t="s">
        <v>480</v>
      </c>
      <c r="C124" s="2"/>
      <c r="D124" s="23">
        <v>33</v>
      </c>
      <c r="E124" s="2">
        <f t="shared" si="2"/>
        <v>0</v>
      </c>
      <c r="F124" s="2"/>
    </row>
    <row r="125" spans="1:6" x14ac:dyDescent="0.25">
      <c r="A125" s="4">
        <v>45642</v>
      </c>
      <c r="B125" s="2" t="s">
        <v>480</v>
      </c>
      <c r="C125" s="2"/>
      <c r="D125" s="23">
        <v>33</v>
      </c>
      <c r="E125" s="2">
        <f t="shared" si="2"/>
        <v>0</v>
      </c>
      <c r="F125" s="2"/>
    </row>
    <row r="126" spans="1:6" x14ac:dyDescent="0.25">
      <c r="A126" s="4">
        <v>45643</v>
      </c>
      <c r="B126" s="2"/>
      <c r="C126" s="2"/>
      <c r="D126" s="23">
        <v>33</v>
      </c>
      <c r="E126" s="2">
        <f t="shared" si="2"/>
        <v>0</v>
      </c>
      <c r="F126" s="2"/>
    </row>
    <row r="127" spans="1:6" x14ac:dyDescent="0.25">
      <c r="A127" s="4">
        <v>45644</v>
      </c>
      <c r="B127" s="2" t="s">
        <v>2815</v>
      </c>
      <c r="C127" s="2"/>
      <c r="D127" s="23">
        <v>33</v>
      </c>
      <c r="E127" s="2">
        <f t="shared" si="2"/>
        <v>0</v>
      </c>
      <c r="F127" s="2"/>
    </row>
    <row r="128" spans="1:6" x14ac:dyDescent="0.25">
      <c r="A128" s="4">
        <v>45645</v>
      </c>
      <c r="B128" s="2" t="s">
        <v>2828</v>
      </c>
      <c r="C128" s="2"/>
      <c r="D128" s="23">
        <v>33</v>
      </c>
      <c r="E128" s="2">
        <f t="shared" si="2"/>
        <v>0</v>
      </c>
      <c r="F128" s="2"/>
    </row>
    <row r="129" spans="1:6" x14ac:dyDescent="0.25">
      <c r="A129" s="4">
        <v>45646</v>
      </c>
      <c r="B129" s="2" t="s">
        <v>2835</v>
      </c>
      <c r="C129" s="2" t="s">
        <v>2839</v>
      </c>
      <c r="D129" s="23">
        <v>33.200000000000003</v>
      </c>
      <c r="E129" s="2">
        <f t="shared" si="2"/>
        <v>0.20000000000000284</v>
      </c>
      <c r="F129" s="2"/>
    </row>
    <row r="130" spans="1:6" x14ac:dyDescent="0.25">
      <c r="A130" s="4">
        <v>45647</v>
      </c>
      <c r="B130" s="2" t="s">
        <v>2849</v>
      </c>
      <c r="C130" s="2"/>
      <c r="D130" s="23">
        <v>33.200000000000003</v>
      </c>
      <c r="E130" s="2">
        <f t="shared" si="2"/>
        <v>0</v>
      </c>
      <c r="F130" s="2"/>
    </row>
    <row r="131" spans="1:6" x14ac:dyDescent="0.25">
      <c r="A131" s="4">
        <v>45648</v>
      </c>
      <c r="B131" s="2" t="s">
        <v>2850</v>
      </c>
      <c r="C131" s="2"/>
      <c r="D131" s="23">
        <v>33.200000000000003</v>
      </c>
      <c r="E131" s="2">
        <f t="shared" si="2"/>
        <v>0</v>
      </c>
      <c r="F131" s="2"/>
    </row>
    <row r="132" spans="1:6" x14ac:dyDescent="0.25">
      <c r="A132" s="4">
        <v>45649</v>
      </c>
      <c r="B132" s="2" t="s">
        <v>2878</v>
      </c>
      <c r="C132" s="2"/>
      <c r="D132" s="23">
        <v>40</v>
      </c>
      <c r="E132" s="2">
        <f t="shared" si="2"/>
        <v>6.7999999999999972</v>
      </c>
      <c r="F132" s="2"/>
    </row>
    <row r="133" spans="1:6" x14ac:dyDescent="0.25">
      <c r="A133" s="4">
        <v>45650</v>
      </c>
      <c r="B133" s="2" t="s">
        <v>2899</v>
      </c>
      <c r="C133" s="2"/>
      <c r="D133" s="23">
        <v>40</v>
      </c>
      <c r="E133" s="2">
        <f t="shared" si="2"/>
        <v>0</v>
      </c>
      <c r="F133" s="2"/>
    </row>
    <row r="134" spans="1:6" x14ac:dyDescent="0.25">
      <c r="A134" s="4">
        <v>45651</v>
      </c>
      <c r="B134" s="2" t="s">
        <v>2908</v>
      </c>
      <c r="C134" s="2"/>
      <c r="D134" s="23">
        <v>36</v>
      </c>
      <c r="E134" s="2">
        <f t="shared" si="2"/>
        <v>-4</v>
      </c>
      <c r="F134" s="2"/>
    </row>
    <row r="135" spans="1:6" x14ac:dyDescent="0.25">
      <c r="A135" s="4">
        <v>45652</v>
      </c>
      <c r="B135" s="2" t="s">
        <v>2916</v>
      </c>
      <c r="C135" s="2"/>
      <c r="D135" s="23">
        <v>42.15</v>
      </c>
      <c r="E135" s="2">
        <f t="shared" si="2"/>
        <v>6.1499999999999986</v>
      </c>
      <c r="F135" s="2"/>
    </row>
    <row r="136" spans="1:6" x14ac:dyDescent="0.25">
      <c r="A136" s="4">
        <v>45653</v>
      </c>
      <c r="B136" s="2" t="s">
        <v>2948</v>
      </c>
      <c r="C136" s="2"/>
      <c r="D136" s="23">
        <v>42.15</v>
      </c>
      <c r="E136" s="2">
        <f t="shared" si="2"/>
        <v>0</v>
      </c>
      <c r="F136" s="2"/>
    </row>
    <row r="137" spans="1:6" x14ac:dyDescent="0.25">
      <c r="A137" s="4">
        <v>45654</v>
      </c>
      <c r="B137" s="2" t="s">
        <v>2947</v>
      </c>
      <c r="C137" s="2"/>
      <c r="D137" s="23">
        <v>43.5</v>
      </c>
      <c r="E137" s="2">
        <f t="shared" si="2"/>
        <v>1.3500000000000014</v>
      </c>
      <c r="F137" s="2"/>
    </row>
    <row r="138" spans="1:6" x14ac:dyDescent="0.25">
      <c r="A138" s="4">
        <v>45655</v>
      </c>
      <c r="B138" s="2" t="s">
        <v>2958</v>
      </c>
      <c r="C138" s="2" t="s">
        <v>2959</v>
      </c>
      <c r="D138" s="23">
        <v>43.7</v>
      </c>
      <c r="E138" s="2">
        <f t="shared" si="2"/>
        <v>0.20000000000000284</v>
      </c>
      <c r="F138" s="2"/>
    </row>
    <row r="139" spans="1:6" x14ac:dyDescent="0.25">
      <c r="A139" s="4">
        <v>45656</v>
      </c>
      <c r="B139" s="2" t="s">
        <v>2960</v>
      </c>
      <c r="C139" s="2" t="s">
        <v>2961</v>
      </c>
      <c r="D139" s="23">
        <v>44.5</v>
      </c>
      <c r="E139" s="2">
        <f>D139-D138</f>
        <v>0.79999999999999716</v>
      </c>
      <c r="F139" s="2"/>
    </row>
    <row r="140" spans="1:6" x14ac:dyDescent="0.25">
      <c r="A140" s="4">
        <v>45657</v>
      </c>
      <c r="B140" s="2"/>
      <c r="C140" s="2"/>
      <c r="D140" s="23">
        <v>44.5</v>
      </c>
      <c r="E140" s="2">
        <f t="shared" ref="E140:E203" si="3">D140-D139</f>
        <v>0</v>
      </c>
      <c r="F140" s="2"/>
    </row>
    <row r="141" spans="1:6" x14ac:dyDescent="0.25">
      <c r="A141" s="4">
        <v>45658</v>
      </c>
      <c r="B141" s="2"/>
      <c r="C141" s="2"/>
      <c r="D141" s="23">
        <v>44.5</v>
      </c>
      <c r="E141" s="2">
        <f t="shared" si="3"/>
        <v>0</v>
      </c>
      <c r="F141" s="2"/>
    </row>
    <row r="142" spans="1:6" x14ac:dyDescent="0.25">
      <c r="A142" s="4">
        <v>45659</v>
      </c>
      <c r="B142" s="2" t="s">
        <v>2993</v>
      </c>
      <c r="C142" s="2"/>
      <c r="D142" s="33">
        <v>45.3</v>
      </c>
      <c r="E142" s="2">
        <f t="shared" si="3"/>
        <v>0.79999999999999716</v>
      </c>
      <c r="F142" s="2"/>
    </row>
    <row r="143" spans="1:6" x14ac:dyDescent="0.25">
      <c r="A143" s="4">
        <v>45660</v>
      </c>
      <c r="B143" s="2" t="s">
        <v>2996</v>
      </c>
      <c r="C143" s="2" t="s">
        <v>2997</v>
      </c>
      <c r="D143" s="33">
        <v>45.3</v>
      </c>
      <c r="E143" s="2">
        <f t="shared" si="3"/>
        <v>0</v>
      </c>
      <c r="F143" s="2"/>
    </row>
    <row r="144" spans="1:6" x14ac:dyDescent="0.25">
      <c r="A144" s="4">
        <v>45661</v>
      </c>
      <c r="B144" s="2"/>
      <c r="C144" s="2"/>
      <c r="D144" s="33">
        <v>45.3</v>
      </c>
      <c r="E144" s="2">
        <f t="shared" si="3"/>
        <v>0</v>
      </c>
      <c r="F144" s="2"/>
    </row>
    <row r="145" spans="1:6" x14ac:dyDescent="0.25">
      <c r="A145" s="4">
        <v>45662</v>
      </c>
      <c r="B145" s="53" t="s">
        <v>3058</v>
      </c>
      <c r="C145" s="2"/>
      <c r="D145" s="23">
        <v>30</v>
      </c>
      <c r="E145" s="2">
        <f t="shared" si="3"/>
        <v>-15.299999999999997</v>
      </c>
      <c r="F145" s="2"/>
    </row>
    <row r="146" spans="1:6" x14ac:dyDescent="0.25">
      <c r="A146" s="4">
        <v>45663</v>
      </c>
      <c r="B146" s="53" t="s">
        <v>3059</v>
      </c>
      <c r="C146" s="2"/>
      <c r="D146" s="23">
        <v>30.15</v>
      </c>
      <c r="E146" s="2">
        <f t="shared" si="3"/>
        <v>0.14999999999999858</v>
      </c>
      <c r="F146" s="2"/>
    </row>
    <row r="147" spans="1:6" x14ac:dyDescent="0.25">
      <c r="A147" s="4">
        <v>45664</v>
      </c>
      <c r="B147" s="2" t="s">
        <v>3066</v>
      </c>
      <c r="C147" s="2"/>
      <c r="D147" s="23">
        <v>34</v>
      </c>
      <c r="E147" s="2">
        <f t="shared" si="3"/>
        <v>3.8500000000000014</v>
      </c>
      <c r="F147" s="2"/>
    </row>
    <row r="148" spans="1:6" x14ac:dyDescent="0.25">
      <c r="A148" s="4">
        <v>45665</v>
      </c>
      <c r="B148" s="2"/>
      <c r="C148" s="2"/>
      <c r="D148" s="23">
        <v>34</v>
      </c>
      <c r="E148" s="2">
        <f t="shared" si="3"/>
        <v>0</v>
      </c>
      <c r="F148" s="2"/>
    </row>
    <row r="149" spans="1:6" x14ac:dyDescent="0.25">
      <c r="A149" s="4">
        <v>45666</v>
      </c>
      <c r="B149" s="2" t="s">
        <v>3086</v>
      </c>
      <c r="C149" s="2"/>
      <c r="D149" s="23">
        <v>34</v>
      </c>
      <c r="E149" s="2">
        <f t="shared" si="3"/>
        <v>0</v>
      </c>
      <c r="F149" s="2"/>
    </row>
    <row r="150" spans="1:6" x14ac:dyDescent="0.25">
      <c r="A150" s="4">
        <v>45667</v>
      </c>
      <c r="B150" s="2"/>
      <c r="C150" s="2"/>
      <c r="D150" s="23">
        <v>34</v>
      </c>
      <c r="E150" s="2">
        <f t="shared" si="3"/>
        <v>0</v>
      </c>
      <c r="F150" s="2"/>
    </row>
    <row r="151" spans="1:6" x14ac:dyDescent="0.25">
      <c r="A151" s="4">
        <v>45668</v>
      </c>
      <c r="B151" s="2"/>
      <c r="C151" s="2"/>
      <c r="D151" s="23">
        <v>34</v>
      </c>
      <c r="E151" s="2">
        <f t="shared" si="3"/>
        <v>0</v>
      </c>
      <c r="F151" s="2"/>
    </row>
    <row r="152" spans="1:6" x14ac:dyDescent="0.25">
      <c r="A152" s="4">
        <v>45669</v>
      </c>
      <c r="B152" s="2"/>
      <c r="C152" s="2"/>
      <c r="D152" s="23">
        <v>34</v>
      </c>
      <c r="E152" s="2">
        <f t="shared" si="3"/>
        <v>0</v>
      </c>
      <c r="F152" s="2"/>
    </row>
    <row r="153" spans="1:6" x14ac:dyDescent="0.25">
      <c r="A153" s="4">
        <v>45670</v>
      </c>
      <c r="B153" s="2" t="s">
        <v>3125</v>
      </c>
      <c r="C153" s="2" t="s">
        <v>3126</v>
      </c>
      <c r="D153" s="23">
        <v>35</v>
      </c>
      <c r="E153" s="2">
        <f t="shared" si="3"/>
        <v>1</v>
      </c>
      <c r="F153" s="2"/>
    </row>
    <row r="154" spans="1:6" x14ac:dyDescent="0.25">
      <c r="A154" s="4">
        <v>45671</v>
      </c>
      <c r="B154" s="2" t="s">
        <v>3133</v>
      </c>
      <c r="C154" s="2"/>
      <c r="D154" s="33">
        <v>48</v>
      </c>
      <c r="E154" s="2">
        <f t="shared" si="3"/>
        <v>13</v>
      </c>
      <c r="F154" s="2"/>
    </row>
    <row r="155" spans="1:6" x14ac:dyDescent="0.25">
      <c r="A155" s="4">
        <v>45672</v>
      </c>
      <c r="B155" s="2" t="s">
        <v>3144</v>
      </c>
      <c r="C155" s="2" t="s">
        <v>3145</v>
      </c>
      <c r="D155" s="23">
        <v>45</v>
      </c>
      <c r="E155" s="2">
        <f t="shared" si="3"/>
        <v>-3</v>
      </c>
      <c r="F155" s="2"/>
    </row>
    <row r="156" spans="1:6" x14ac:dyDescent="0.25">
      <c r="A156" s="4">
        <v>45673</v>
      </c>
      <c r="B156" s="2" t="s">
        <v>3156</v>
      </c>
      <c r="C156" s="2" t="s">
        <v>3157</v>
      </c>
      <c r="D156" s="23">
        <v>45</v>
      </c>
      <c r="E156" s="2">
        <f t="shared" si="3"/>
        <v>0</v>
      </c>
      <c r="F156" s="2"/>
    </row>
    <row r="157" spans="1:6" x14ac:dyDescent="0.25">
      <c r="A157" s="4">
        <v>45674</v>
      </c>
      <c r="B157" s="2" t="s">
        <v>3178</v>
      </c>
      <c r="C157" s="2"/>
      <c r="D157" s="23">
        <v>45</v>
      </c>
      <c r="E157" s="2">
        <f t="shared" si="3"/>
        <v>0</v>
      </c>
      <c r="F157" s="2"/>
    </row>
    <row r="158" spans="1:6" x14ac:dyDescent="0.25">
      <c r="A158" s="4">
        <v>45675</v>
      </c>
      <c r="B158" s="2" t="s">
        <v>3178</v>
      </c>
      <c r="C158" s="2"/>
      <c r="D158" s="23">
        <v>45</v>
      </c>
      <c r="E158" s="2">
        <f t="shared" si="3"/>
        <v>0</v>
      </c>
      <c r="F158" s="2"/>
    </row>
    <row r="159" spans="1:6" x14ac:dyDescent="0.25">
      <c r="A159" s="4">
        <v>45676</v>
      </c>
      <c r="B159" s="2" t="s">
        <v>3184</v>
      </c>
      <c r="C159" s="2"/>
      <c r="D159" s="23">
        <v>46</v>
      </c>
      <c r="E159" s="2">
        <f t="shared" si="3"/>
        <v>1</v>
      </c>
      <c r="F159" s="2"/>
    </row>
    <row r="160" spans="1:6" x14ac:dyDescent="0.25">
      <c r="A160" s="4">
        <v>45677</v>
      </c>
      <c r="B160" s="2" t="s">
        <v>3182</v>
      </c>
      <c r="C160" s="2"/>
      <c r="D160" s="23">
        <v>46.5</v>
      </c>
      <c r="E160" s="2">
        <f t="shared" si="3"/>
        <v>0.5</v>
      </c>
      <c r="F160" s="2"/>
    </row>
    <row r="161" spans="1:6" x14ac:dyDescent="0.25">
      <c r="A161" s="4">
        <v>45678</v>
      </c>
      <c r="B161" s="2" t="s">
        <v>3188</v>
      </c>
      <c r="C161" s="2"/>
      <c r="D161" s="23">
        <v>46.7</v>
      </c>
      <c r="E161" s="2">
        <f t="shared" si="3"/>
        <v>0.20000000000000284</v>
      </c>
      <c r="F161" s="2"/>
    </row>
    <row r="162" spans="1:6" x14ac:dyDescent="0.25">
      <c r="A162" s="4">
        <v>45679</v>
      </c>
      <c r="B162" s="2" t="s">
        <v>3225</v>
      </c>
      <c r="C162" s="2" t="s">
        <v>3226</v>
      </c>
      <c r="D162" s="23">
        <v>46.7</v>
      </c>
      <c r="E162" s="2">
        <f t="shared" si="3"/>
        <v>0</v>
      </c>
      <c r="F162" s="2"/>
    </row>
    <row r="163" spans="1:6" x14ac:dyDescent="0.25">
      <c r="A163" s="4">
        <v>45680</v>
      </c>
      <c r="B163" s="2" t="s">
        <v>3228</v>
      </c>
      <c r="C163" s="2"/>
      <c r="D163" s="23">
        <f>46.8+0.1</f>
        <v>46.9</v>
      </c>
      <c r="E163" s="2">
        <f t="shared" si="3"/>
        <v>0.19999999999999574</v>
      </c>
      <c r="F163" s="2"/>
    </row>
    <row r="164" spans="1:6" x14ac:dyDescent="0.25">
      <c r="A164" s="4">
        <v>45681</v>
      </c>
      <c r="B164" s="2" t="s">
        <v>3227</v>
      </c>
      <c r="C164" s="2"/>
      <c r="D164" s="23">
        <v>46.9</v>
      </c>
      <c r="E164" s="2">
        <f t="shared" si="3"/>
        <v>0</v>
      </c>
      <c r="F164" s="2"/>
    </row>
    <row r="165" spans="1:6" x14ac:dyDescent="0.25">
      <c r="A165" s="4">
        <v>45682</v>
      </c>
      <c r="B165" s="2" t="s">
        <v>3227</v>
      </c>
      <c r="C165" s="2"/>
      <c r="D165" s="23">
        <v>46.9</v>
      </c>
      <c r="E165" s="2">
        <f t="shared" si="3"/>
        <v>0</v>
      </c>
      <c r="F165" s="2"/>
    </row>
    <row r="166" spans="1:6" x14ac:dyDescent="0.25">
      <c r="A166" s="4">
        <v>45683</v>
      </c>
      <c r="B166" s="2" t="s">
        <v>3227</v>
      </c>
      <c r="C166" s="2"/>
      <c r="D166" s="23">
        <v>46.9</v>
      </c>
      <c r="E166" s="2">
        <f t="shared" si="3"/>
        <v>0</v>
      </c>
      <c r="F166" s="2"/>
    </row>
    <row r="167" spans="1:6" x14ac:dyDescent="0.25">
      <c r="A167" s="4">
        <v>45684</v>
      </c>
      <c r="B167" s="2" t="s">
        <v>3227</v>
      </c>
      <c r="C167" s="2"/>
      <c r="D167" s="23">
        <v>46.9</v>
      </c>
      <c r="E167" s="2">
        <f t="shared" si="3"/>
        <v>0</v>
      </c>
      <c r="F167" s="2"/>
    </row>
    <row r="168" spans="1:6" x14ac:dyDescent="0.25">
      <c r="A168" s="4">
        <v>45685</v>
      </c>
      <c r="B168" s="2" t="s">
        <v>1166</v>
      </c>
      <c r="C168" s="2"/>
      <c r="D168" s="23">
        <v>46.9</v>
      </c>
      <c r="E168" s="2">
        <f t="shared" si="3"/>
        <v>0</v>
      </c>
      <c r="F168" s="2"/>
    </row>
    <row r="169" spans="1:6" x14ac:dyDescent="0.25">
      <c r="A169" s="4">
        <v>45686</v>
      </c>
      <c r="B169" s="2" t="s">
        <v>3254</v>
      </c>
      <c r="C169" s="2"/>
      <c r="D169" s="23">
        <v>46.9</v>
      </c>
      <c r="E169" s="2">
        <f t="shared" si="3"/>
        <v>0</v>
      </c>
      <c r="F169" s="2"/>
    </row>
    <row r="170" spans="1:6" x14ac:dyDescent="0.25">
      <c r="A170" s="4">
        <v>45687</v>
      </c>
      <c r="B170" s="2" t="s">
        <v>3263</v>
      </c>
      <c r="C170" s="2"/>
      <c r="D170" s="23">
        <v>46.9</v>
      </c>
      <c r="E170" s="2">
        <f t="shared" si="3"/>
        <v>0</v>
      </c>
      <c r="F170" s="2"/>
    </row>
    <row r="171" spans="1:6" x14ac:dyDescent="0.25">
      <c r="A171" s="4">
        <v>45688</v>
      </c>
      <c r="B171" s="2" t="s">
        <v>3262</v>
      </c>
      <c r="C171" s="2"/>
      <c r="D171" s="23">
        <v>46.9</v>
      </c>
      <c r="E171" s="2">
        <f t="shared" si="3"/>
        <v>0</v>
      </c>
      <c r="F171" s="2"/>
    </row>
    <row r="172" spans="1:6" x14ac:dyDescent="0.25">
      <c r="A172" s="4">
        <v>45689</v>
      </c>
      <c r="B172" s="2" t="s">
        <v>3277</v>
      </c>
      <c r="C172" s="2"/>
      <c r="D172" s="23">
        <v>46.9</v>
      </c>
      <c r="E172" s="2">
        <f t="shared" si="3"/>
        <v>0</v>
      </c>
      <c r="F172" s="2"/>
    </row>
    <row r="173" spans="1:6" x14ac:dyDescent="0.25">
      <c r="A173" s="4">
        <v>45690</v>
      </c>
      <c r="B173" s="2" t="s">
        <v>480</v>
      </c>
      <c r="C173" s="2"/>
      <c r="D173" s="23">
        <v>46.9</v>
      </c>
      <c r="E173" s="2">
        <f t="shared" si="3"/>
        <v>0</v>
      </c>
      <c r="F173" s="2"/>
    </row>
    <row r="174" spans="1:6" x14ac:dyDescent="0.25">
      <c r="A174" s="4">
        <v>45691</v>
      </c>
      <c r="B174" s="2" t="s">
        <v>480</v>
      </c>
      <c r="C174" s="2"/>
      <c r="D174" s="23">
        <v>46.9</v>
      </c>
      <c r="E174" s="2">
        <f t="shared" si="3"/>
        <v>0</v>
      </c>
      <c r="F174" s="2"/>
    </row>
    <row r="175" spans="1:6" x14ac:dyDescent="0.25">
      <c r="A175" s="4">
        <v>45692</v>
      </c>
      <c r="B175" s="2" t="s">
        <v>3302</v>
      </c>
      <c r="C175" s="2"/>
      <c r="D175" s="23">
        <v>46.9</v>
      </c>
      <c r="E175" s="2">
        <f t="shared" si="3"/>
        <v>0</v>
      </c>
      <c r="F175" s="2"/>
    </row>
    <row r="176" spans="1:6" x14ac:dyDescent="0.25">
      <c r="A176" s="4">
        <v>45693</v>
      </c>
      <c r="B176" s="2" t="s">
        <v>3298</v>
      </c>
      <c r="C176" s="2"/>
      <c r="D176" s="23">
        <v>32</v>
      </c>
      <c r="E176" s="2">
        <f t="shared" si="3"/>
        <v>-14.899999999999999</v>
      </c>
      <c r="F176" s="2"/>
    </row>
    <row r="177" spans="1:6" x14ac:dyDescent="0.25">
      <c r="A177" s="4">
        <v>45694</v>
      </c>
      <c r="B177" s="2" t="s">
        <v>3309</v>
      </c>
      <c r="C177" s="2"/>
      <c r="D177" s="23">
        <v>43</v>
      </c>
      <c r="E177" s="2">
        <f t="shared" si="3"/>
        <v>11</v>
      </c>
      <c r="F177" s="2"/>
    </row>
    <row r="178" spans="1:6" x14ac:dyDescent="0.25">
      <c r="A178" s="4">
        <v>45695</v>
      </c>
      <c r="B178" s="2" t="s">
        <v>3314</v>
      </c>
      <c r="C178" s="2"/>
      <c r="D178" s="23">
        <v>44</v>
      </c>
      <c r="E178" s="2">
        <f t="shared" si="3"/>
        <v>1</v>
      </c>
      <c r="F178" s="2"/>
    </row>
    <row r="179" spans="1:6" x14ac:dyDescent="0.25">
      <c r="A179" s="4">
        <v>45696</v>
      </c>
      <c r="B179" s="2" t="s">
        <v>480</v>
      </c>
      <c r="C179" s="2"/>
      <c r="D179" s="23">
        <v>44</v>
      </c>
      <c r="E179" s="2">
        <f t="shared" si="3"/>
        <v>0</v>
      </c>
      <c r="F179" s="2"/>
    </row>
    <row r="180" spans="1:6" x14ac:dyDescent="0.25">
      <c r="A180" s="4">
        <v>45697</v>
      </c>
      <c r="B180" s="2"/>
      <c r="C180" s="2"/>
      <c r="D180" s="23">
        <v>44</v>
      </c>
      <c r="E180" s="2">
        <f t="shared" si="3"/>
        <v>0</v>
      </c>
      <c r="F180" s="2"/>
    </row>
    <row r="181" spans="1:6" x14ac:dyDescent="0.25">
      <c r="A181" s="4">
        <v>45698</v>
      </c>
      <c r="B181" s="2" t="s">
        <v>480</v>
      </c>
      <c r="C181" s="2"/>
      <c r="D181" s="23">
        <v>44</v>
      </c>
      <c r="E181" s="2">
        <f t="shared" si="3"/>
        <v>0</v>
      </c>
      <c r="F181" s="2"/>
    </row>
    <row r="182" spans="1:6" x14ac:dyDescent="0.25">
      <c r="A182" s="4">
        <v>45699</v>
      </c>
      <c r="B182" s="2"/>
      <c r="C182" s="2"/>
      <c r="D182" s="23">
        <v>44</v>
      </c>
      <c r="E182" s="2">
        <f t="shared" si="3"/>
        <v>0</v>
      </c>
      <c r="F182" s="2"/>
    </row>
    <row r="183" spans="1:6" x14ac:dyDescent="0.25">
      <c r="A183" s="4">
        <v>45700</v>
      </c>
      <c r="B183" s="2" t="s">
        <v>3338</v>
      </c>
      <c r="C183" s="2"/>
      <c r="D183" s="23">
        <v>44</v>
      </c>
      <c r="E183" s="2">
        <f t="shared" si="3"/>
        <v>0</v>
      </c>
      <c r="F183" s="2"/>
    </row>
    <row r="184" spans="1:6" x14ac:dyDescent="0.25">
      <c r="A184" s="4">
        <v>45701</v>
      </c>
      <c r="B184" s="2" t="s">
        <v>3347</v>
      </c>
      <c r="C184" s="2"/>
      <c r="D184" s="23">
        <v>49</v>
      </c>
      <c r="E184" s="2">
        <f t="shared" si="3"/>
        <v>5</v>
      </c>
      <c r="F184" s="2"/>
    </row>
    <row r="185" spans="1:6" x14ac:dyDescent="0.25">
      <c r="A185" s="4">
        <v>45702</v>
      </c>
      <c r="B185" s="2" t="s">
        <v>3348</v>
      </c>
      <c r="C185" s="2" t="s">
        <v>3349</v>
      </c>
      <c r="D185" s="23">
        <v>54</v>
      </c>
      <c r="E185" s="2">
        <f t="shared" si="3"/>
        <v>5</v>
      </c>
      <c r="F185" s="2"/>
    </row>
    <row r="186" spans="1:6" x14ac:dyDescent="0.25">
      <c r="A186" s="4">
        <v>45703</v>
      </c>
      <c r="B186" s="2"/>
      <c r="C186" s="2"/>
      <c r="D186" s="23">
        <v>54</v>
      </c>
      <c r="E186" s="2">
        <f t="shared" si="3"/>
        <v>0</v>
      </c>
      <c r="F186" s="2"/>
    </row>
    <row r="187" spans="1:6" x14ac:dyDescent="0.25">
      <c r="A187" s="4">
        <v>45704</v>
      </c>
      <c r="B187" s="2"/>
      <c r="C187" s="2"/>
      <c r="D187" s="23">
        <v>54</v>
      </c>
      <c r="E187" s="2">
        <f t="shared" si="3"/>
        <v>0</v>
      </c>
      <c r="F187" s="2"/>
    </row>
    <row r="188" spans="1:6" x14ac:dyDescent="0.25">
      <c r="A188" s="4">
        <v>45705</v>
      </c>
      <c r="B188" s="2"/>
      <c r="C188" s="2"/>
      <c r="D188" s="23">
        <v>54</v>
      </c>
      <c r="E188" s="2">
        <f t="shared" si="3"/>
        <v>0</v>
      </c>
      <c r="F188" s="2"/>
    </row>
    <row r="189" spans="1:6" x14ac:dyDescent="0.25">
      <c r="A189" s="4">
        <v>45706</v>
      </c>
      <c r="B189" s="2"/>
      <c r="C189" s="2"/>
      <c r="D189" s="23">
        <v>54</v>
      </c>
      <c r="E189" s="2">
        <f t="shared" si="3"/>
        <v>0</v>
      </c>
      <c r="F189" s="2"/>
    </row>
    <row r="190" spans="1:6" x14ac:dyDescent="0.25">
      <c r="A190" s="4">
        <v>45707</v>
      </c>
      <c r="B190" s="2" t="s">
        <v>149</v>
      </c>
      <c r="C190" s="2"/>
      <c r="D190" s="23">
        <v>54</v>
      </c>
      <c r="E190" s="2">
        <f t="shared" si="3"/>
        <v>0</v>
      </c>
      <c r="F190" s="2"/>
    </row>
    <row r="191" spans="1:6" x14ac:dyDescent="0.25">
      <c r="A191" s="4">
        <v>45708</v>
      </c>
      <c r="B191" s="2" t="s">
        <v>3367</v>
      </c>
      <c r="C191" s="2"/>
      <c r="D191" s="23">
        <v>54</v>
      </c>
      <c r="E191" s="2">
        <f t="shared" si="3"/>
        <v>0</v>
      </c>
      <c r="F191" s="2"/>
    </row>
    <row r="192" spans="1:6" x14ac:dyDescent="0.25">
      <c r="A192" s="4">
        <v>45709</v>
      </c>
      <c r="B192" s="2" t="s">
        <v>3367</v>
      </c>
      <c r="C192" s="2"/>
      <c r="D192" s="23">
        <v>54</v>
      </c>
      <c r="E192" s="2">
        <f t="shared" si="3"/>
        <v>0</v>
      </c>
      <c r="F192" s="2"/>
    </row>
    <row r="193" spans="1:6" x14ac:dyDescent="0.25">
      <c r="A193" s="4">
        <v>45710</v>
      </c>
      <c r="B193" s="2" t="s">
        <v>3380</v>
      </c>
      <c r="C193" s="2"/>
      <c r="D193" s="23">
        <v>54</v>
      </c>
      <c r="E193" s="2">
        <f t="shared" si="3"/>
        <v>0</v>
      </c>
      <c r="F193" s="2"/>
    </row>
    <row r="194" spans="1:6" x14ac:dyDescent="0.25">
      <c r="A194" s="4">
        <v>45711</v>
      </c>
      <c r="B194" s="2" t="s">
        <v>480</v>
      </c>
      <c r="C194" s="2"/>
      <c r="D194" s="23">
        <v>54</v>
      </c>
      <c r="E194" s="2">
        <f t="shared" si="3"/>
        <v>0</v>
      </c>
      <c r="F194" s="2"/>
    </row>
    <row r="195" spans="1:6" x14ac:dyDescent="0.25">
      <c r="A195" s="4">
        <v>45712</v>
      </c>
      <c r="B195" s="2" t="s">
        <v>3386</v>
      </c>
      <c r="C195" s="2"/>
      <c r="D195" s="23">
        <v>54</v>
      </c>
      <c r="E195" s="2">
        <f t="shared" si="3"/>
        <v>0</v>
      </c>
      <c r="F195" s="2"/>
    </row>
    <row r="196" spans="1:6" x14ac:dyDescent="0.25">
      <c r="A196" s="4">
        <v>45713</v>
      </c>
      <c r="B196" s="2" t="s">
        <v>3392</v>
      </c>
      <c r="C196" s="2"/>
      <c r="D196" s="23">
        <v>54</v>
      </c>
      <c r="E196" s="2">
        <f t="shared" si="3"/>
        <v>0</v>
      </c>
      <c r="F196" s="2"/>
    </row>
    <row r="197" spans="1:6" x14ac:dyDescent="0.25">
      <c r="A197" s="4">
        <v>45714</v>
      </c>
      <c r="B197" s="2" t="s">
        <v>3397</v>
      </c>
      <c r="C197" s="2"/>
      <c r="D197" s="23">
        <v>54</v>
      </c>
      <c r="E197" s="2">
        <f t="shared" si="3"/>
        <v>0</v>
      </c>
      <c r="F197" s="2"/>
    </row>
    <row r="198" spans="1:6" x14ac:dyDescent="0.25">
      <c r="A198" s="4">
        <v>45715</v>
      </c>
      <c r="B198" s="2" t="s">
        <v>1800</v>
      </c>
      <c r="C198" s="2"/>
      <c r="D198" s="23">
        <v>54</v>
      </c>
      <c r="E198" s="2">
        <f t="shared" si="3"/>
        <v>0</v>
      </c>
      <c r="F198" s="2"/>
    </row>
    <row r="199" spans="1:6" x14ac:dyDescent="0.25">
      <c r="A199" s="4">
        <v>45716</v>
      </c>
      <c r="B199" s="2" t="s">
        <v>1800</v>
      </c>
      <c r="C199" s="2"/>
      <c r="D199" s="23">
        <v>54</v>
      </c>
      <c r="E199" s="2">
        <f t="shared" si="3"/>
        <v>0</v>
      </c>
      <c r="F199" s="2"/>
    </row>
    <row r="200" spans="1:6" x14ac:dyDescent="0.25">
      <c r="A200" s="4">
        <v>45717</v>
      </c>
      <c r="B200" s="2" t="s">
        <v>3413</v>
      </c>
      <c r="C200" s="2"/>
      <c r="D200" s="23">
        <v>54</v>
      </c>
      <c r="E200" s="2">
        <f t="shared" si="3"/>
        <v>0</v>
      </c>
      <c r="F200" s="2"/>
    </row>
    <row r="201" spans="1:6" x14ac:dyDescent="0.25">
      <c r="A201" s="4">
        <v>45718</v>
      </c>
      <c r="B201" s="2" t="s">
        <v>3413</v>
      </c>
      <c r="C201" s="2"/>
      <c r="D201" s="23">
        <v>54</v>
      </c>
      <c r="E201" s="2">
        <f t="shared" si="3"/>
        <v>0</v>
      </c>
      <c r="F201" s="2"/>
    </row>
    <row r="202" spans="1:6" x14ac:dyDescent="0.25">
      <c r="A202" s="4">
        <v>45719</v>
      </c>
      <c r="B202" s="2" t="s">
        <v>3413</v>
      </c>
      <c r="C202" s="2" t="s">
        <v>3431</v>
      </c>
      <c r="D202" s="23">
        <v>54</v>
      </c>
      <c r="E202" s="2">
        <f t="shared" si="3"/>
        <v>0</v>
      </c>
      <c r="F202" s="2"/>
    </row>
    <row r="203" spans="1:6" x14ac:dyDescent="0.25">
      <c r="A203" s="4">
        <v>45720</v>
      </c>
      <c r="B203" s="2" t="s">
        <v>3437</v>
      </c>
      <c r="C203" s="2"/>
      <c r="D203" s="23">
        <v>54</v>
      </c>
      <c r="E203" s="2">
        <f t="shared" si="3"/>
        <v>0</v>
      </c>
      <c r="F203" s="2"/>
    </row>
    <row r="204" spans="1:6" x14ac:dyDescent="0.25">
      <c r="A204" s="4">
        <v>45721</v>
      </c>
      <c r="B204" s="2"/>
      <c r="C204" s="2"/>
      <c r="D204" s="23">
        <v>54</v>
      </c>
      <c r="E204" s="2">
        <f t="shared" ref="E204:E255" si="4">D204-D203</f>
        <v>0</v>
      </c>
      <c r="F204" s="2"/>
    </row>
    <row r="205" spans="1:6" x14ac:dyDescent="0.25">
      <c r="A205" s="4">
        <v>45722</v>
      </c>
      <c r="B205" s="2"/>
      <c r="C205" s="2"/>
      <c r="D205" s="23">
        <v>54</v>
      </c>
      <c r="E205" s="2">
        <f t="shared" si="4"/>
        <v>0</v>
      </c>
      <c r="F205" s="2"/>
    </row>
    <row r="206" spans="1:6" x14ac:dyDescent="0.25">
      <c r="A206" s="4">
        <v>45723</v>
      </c>
      <c r="B206" s="2" t="s">
        <v>3465</v>
      </c>
      <c r="C206" s="2"/>
      <c r="D206" s="23">
        <v>54</v>
      </c>
      <c r="E206" s="2">
        <f t="shared" si="4"/>
        <v>0</v>
      </c>
      <c r="F206" s="2"/>
    </row>
    <row r="207" spans="1:6" x14ac:dyDescent="0.25">
      <c r="A207" s="4">
        <v>45724</v>
      </c>
      <c r="B207" s="2" t="s">
        <v>3479</v>
      </c>
      <c r="C207" s="2" t="s">
        <v>3480</v>
      </c>
      <c r="D207" s="23">
        <v>54</v>
      </c>
      <c r="E207" s="2">
        <f t="shared" si="4"/>
        <v>0</v>
      </c>
      <c r="F207" s="2"/>
    </row>
    <row r="208" spans="1:6" x14ac:dyDescent="0.25">
      <c r="A208" s="4">
        <v>45725</v>
      </c>
      <c r="B208" s="2"/>
      <c r="C208" s="2"/>
      <c r="D208" s="23">
        <v>54</v>
      </c>
      <c r="E208" s="2">
        <f t="shared" si="4"/>
        <v>0</v>
      </c>
      <c r="F208" s="2"/>
    </row>
    <row r="209" spans="1:6" x14ac:dyDescent="0.25">
      <c r="A209" s="4">
        <v>45726</v>
      </c>
      <c r="B209" s="2"/>
      <c r="C209" s="2"/>
      <c r="D209" s="23">
        <v>54</v>
      </c>
      <c r="E209" s="2">
        <f t="shared" si="4"/>
        <v>0</v>
      </c>
      <c r="F209" s="2"/>
    </row>
    <row r="210" spans="1:6" x14ac:dyDescent="0.25">
      <c r="A210" s="4">
        <v>45727</v>
      </c>
      <c r="B210" s="2" t="s">
        <v>3494</v>
      </c>
      <c r="C210" s="2"/>
      <c r="D210" s="23">
        <v>54</v>
      </c>
      <c r="E210" s="2">
        <f t="shared" si="4"/>
        <v>0</v>
      </c>
      <c r="F210" s="2"/>
    </row>
    <row r="211" spans="1:6" x14ac:dyDescent="0.25">
      <c r="A211" s="4">
        <v>45728</v>
      </c>
      <c r="B211" s="2" t="s">
        <v>3500</v>
      </c>
      <c r="C211" s="2"/>
      <c r="D211" s="23">
        <v>54</v>
      </c>
      <c r="E211" s="2">
        <f t="shared" si="4"/>
        <v>0</v>
      </c>
      <c r="F211" s="2"/>
    </row>
    <row r="212" spans="1:6" x14ac:dyDescent="0.25">
      <c r="A212" s="4">
        <v>45729</v>
      </c>
      <c r="B212" s="2" t="s">
        <v>3510</v>
      </c>
      <c r="C212" s="2"/>
      <c r="D212" s="23">
        <v>54</v>
      </c>
      <c r="E212" s="2">
        <f t="shared" si="4"/>
        <v>0</v>
      </c>
      <c r="F212" s="2"/>
    </row>
    <row r="213" spans="1:6" x14ac:dyDescent="0.25">
      <c r="A213" s="4">
        <v>45730</v>
      </c>
      <c r="B213" s="2" t="s">
        <v>3517</v>
      </c>
      <c r="C213" s="2"/>
      <c r="D213" s="23">
        <v>54</v>
      </c>
      <c r="E213" s="2">
        <f t="shared" si="4"/>
        <v>0</v>
      </c>
      <c r="F213" s="2"/>
    </row>
    <row r="214" spans="1:6" x14ac:dyDescent="0.25">
      <c r="A214" s="4">
        <v>45731</v>
      </c>
      <c r="B214" s="2" t="s">
        <v>3517</v>
      </c>
      <c r="C214" s="2"/>
      <c r="D214" s="23">
        <v>54</v>
      </c>
      <c r="E214" s="2">
        <f t="shared" si="4"/>
        <v>0</v>
      </c>
      <c r="F214" s="2"/>
    </row>
    <row r="215" spans="1:6" x14ac:dyDescent="0.25">
      <c r="A215" s="4">
        <v>45732</v>
      </c>
      <c r="B215" s="2" t="s">
        <v>3517</v>
      </c>
      <c r="C215" s="2"/>
      <c r="D215" s="23">
        <v>54</v>
      </c>
      <c r="E215" s="2">
        <f t="shared" si="4"/>
        <v>0</v>
      </c>
      <c r="F215" s="2"/>
    </row>
    <row r="216" spans="1:6" x14ac:dyDescent="0.25">
      <c r="A216" s="4">
        <v>45733</v>
      </c>
      <c r="B216" s="2" t="s">
        <v>3517</v>
      </c>
      <c r="C216" s="2"/>
      <c r="D216" s="23">
        <v>54</v>
      </c>
      <c r="E216" s="2">
        <f t="shared" si="4"/>
        <v>0</v>
      </c>
      <c r="F216" s="2"/>
    </row>
    <row r="217" spans="1:6" x14ac:dyDescent="0.25">
      <c r="A217" s="4">
        <v>45734</v>
      </c>
      <c r="B217" s="2" t="s">
        <v>3517</v>
      </c>
      <c r="C217" s="2"/>
      <c r="D217" s="23">
        <v>54</v>
      </c>
      <c r="E217" s="2">
        <f t="shared" si="4"/>
        <v>0</v>
      </c>
      <c r="F217" s="2"/>
    </row>
    <row r="218" spans="1:6" x14ac:dyDescent="0.25">
      <c r="A218" s="4">
        <v>45735</v>
      </c>
      <c r="B218" s="2" t="s">
        <v>3517</v>
      </c>
      <c r="C218" s="2"/>
      <c r="D218" s="23">
        <v>54</v>
      </c>
      <c r="E218" s="2">
        <f t="shared" si="4"/>
        <v>0</v>
      </c>
      <c r="F218" s="2"/>
    </row>
    <row r="219" spans="1:6" x14ac:dyDescent="0.25">
      <c r="A219" s="4">
        <v>45736</v>
      </c>
      <c r="B219" s="2" t="s">
        <v>3550</v>
      </c>
      <c r="C219" s="2"/>
      <c r="D219" s="23">
        <v>54</v>
      </c>
      <c r="E219" s="2">
        <f t="shared" si="4"/>
        <v>0</v>
      </c>
      <c r="F219" s="2"/>
    </row>
    <row r="220" spans="1:6" x14ac:dyDescent="0.25">
      <c r="A220" s="4">
        <v>45737</v>
      </c>
      <c r="B220" s="2" t="s">
        <v>1672</v>
      </c>
      <c r="C220" s="2"/>
      <c r="D220" s="23">
        <v>54</v>
      </c>
      <c r="E220" s="2">
        <f t="shared" si="4"/>
        <v>0</v>
      </c>
      <c r="F220" s="2"/>
    </row>
    <row r="221" spans="1:6" x14ac:dyDescent="0.25">
      <c r="A221" s="4">
        <v>45738</v>
      </c>
      <c r="B221" s="2" t="s">
        <v>1672</v>
      </c>
      <c r="C221" s="2"/>
      <c r="D221" s="23">
        <v>54</v>
      </c>
      <c r="E221" s="2">
        <f t="shared" si="4"/>
        <v>0</v>
      </c>
      <c r="F221" s="2"/>
    </row>
    <row r="222" spans="1:6" x14ac:dyDescent="0.25">
      <c r="A222" s="4">
        <v>45739</v>
      </c>
      <c r="B222" s="2" t="s">
        <v>1672</v>
      </c>
      <c r="C222" s="2"/>
      <c r="D222" s="23">
        <v>54</v>
      </c>
      <c r="E222" s="2">
        <f t="shared" si="4"/>
        <v>0</v>
      </c>
      <c r="F222" s="2"/>
    </row>
    <row r="223" spans="1:6" x14ac:dyDescent="0.25">
      <c r="A223" s="4">
        <v>45740</v>
      </c>
      <c r="B223" s="2" t="s">
        <v>1672</v>
      </c>
      <c r="C223" s="2"/>
      <c r="D223" s="23">
        <v>54</v>
      </c>
      <c r="E223" s="2">
        <f t="shared" si="4"/>
        <v>0</v>
      </c>
      <c r="F223" s="2"/>
    </row>
    <row r="224" spans="1:6" x14ac:dyDescent="0.25">
      <c r="A224" s="4">
        <v>45741</v>
      </c>
      <c r="B224" s="2" t="s">
        <v>1672</v>
      </c>
      <c r="C224" s="2"/>
      <c r="D224" s="23">
        <v>54</v>
      </c>
      <c r="E224" s="2">
        <f t="shared" si="4"/>
        <v>0</v>
      </c>
      <c r="F224" s="2"/>
    </row>
    <row r="225" spans="1:6" x14ac:dyDescent="0.25">
      <c r="A225" s="4">
        <v>45742</v>
      </c>
      <c r="B225" s="2"/>
      <c r="C225" s="2"/>
      <c r="D225" s="23">
        <v>54</v>
      </c>
      <c r="E225" s="2">
        <f t="shared" si="4"/>
        <v>0</v>
      </c>
      <c r="F225" s="2"/>
    </row>
    <row r="226" spans="1:6" x14ac:dyDescent="0.25">
      <c r="A226" s="4">
        <v>45743</v>
      </c>
      <c r="B226" s="2"/>
      <c r="C226" s="2"/>
      <c r="D226" s="23">
        <v>54</v>
      </c>
      <c r="E226" s="2">
        <f t="shared" si="4"/>
        <v>0</v>
      </c>
      <c r="F226" s="2"/>
    </row>
    <row r="227" spans="1:6" x14ac:dyDescent="0.25">
      <c r="A227" s="4">
        <v>45744</v>
      </c>
      <c r="B227" s="2"/>
      <c r="C227" s="2"/>
      <c r="D227" s="23">
        <v>54</v>
      </c>
      <c r="E227" s="2">
        <f t="shared" si="4"/>
        <v>0</v>
      </c>
      <c r="F227" s="2"/>
    </row>
    <row r="228" spans="1:6" x14ac:dyDescent="0.25">
      <c r="A228" s="4">
        <v>45745</v>
      </c>
      <c r="B228" s="2"/>
      <c r="C228" s="2"/>
      <c r="D228" s="23">
        <v>54</v>
      </c>
      <c r="E228" s="2">
        <f t="shared" si="4"/>
        <v>0</v>
      </c>
      <c r="F228" s="2"/>
    </row>
    <row r="229" spans="1:6" x14ac:dyDescent="0.25">
      <c r="A229" s="4">
        <v>45746</v>
      </c>
      <c r="B229" s="2"/>
      <c r="C229" s="2"/>
      <c r="D229" s="23">
        <v>54</v>
      </c>
      <c r="E229" s="2">
        <f t="shared" si="4"/>
        <v>0</v>
      </c>
      <c r="F229" s="2"/>
    </row>
    <row r="230" spans="1:6" x14ac:dyDescent="0.25">
      <c r="A230" s="4">
        <v>45747</v>
      </c>
      <c r="B230" s="2"/>
      <c r="C230" s="2"/>
      <c r="D230" s="23">
        <v>54</v>
      </c>
      <c r="E230" s="2">
        <f t="shared" si="4"/>
        <v>0</v>
      </c>
      <c r="F230" s="2"/>
    </row>
    <row r="231" spans="1:6" x14ac:dyDescent="0.25">
      <c r="A231" s="4">
        <v>45748</v>
      </c>
      <c r="B231" s="2"/>
      <c r="C231" s="2"/>
      <c r="D231" s="23">
        <v>54</v>
      </c>
      <c r="E231" s="2">
        <f t="shared" si="4"/>
        <v>0</v>
      </c>
      <c r="F231" s="2"/>
    </row>
    <row r="232" spans="1:6" x14ac:dyDescent="0.25">
      <c r="A232" s="4">
        <v>45749</v>
      </c>
      <c r="B232" s="2"/>
      <c r="C232" s="2"/>
      <c r="D232" s="23">
        <v>54</v>
      </c>
      <c r="E232" s="2">
        <f t="shared" si="4"/>
        <v>0</v>
      </c>
      <c r="F232" s="2"/>
    </row>
    <row r="233" spans="1:6" x14ac:dyDescent="0.25">
      <c r="A233" s="4">
        <v>45750</v>
      </c>
      <c r="B233" s="2"/>
      <c r="C233" s="2"/>
      <c r="D233" s="23">
        <v>54</v>
      </c>
      <c r="E233" s="2">
        <f t="shared" si="4"/>
        <v>0</v>
      </c>
      <c r="F233" s="2"/>
    </row>
    <row r="234" spans="1:6" x14ac:dyDescent="0.25">
      <c r="A234" s="4">
        <v>45751</v>
      </c>
      <c r="B234" s="2"/>
      <c r="C234" s="2"/>
      <c r="D234" s="23">
        <v>54</v>
      </c>
      <c r="E234" s="2">
        <f t="shared" si="4"/>
        <v>0</v>
      </c>
      <c r="F234" s="2"/>
    </row>
    <row r="235" spans="1:6" x14ac:dyDescent="0.25">
      <c r="A235" s="4">
        <v>45752</v>
      </c>
      <c r="B235" s="2"/>
      <c r="C235" s="2"/>
      <c r="D235" s="23">
        <v>54</v>
      </c>
      <c r="E235" s="2">
        <f t="shared" si="4"/>
        <v>0</v>
      </c>
      <c r="F235" s="2"/>
    </row>
    <row r="236" spans="1:6" x14ac:dyDescent="0.25">
      <c r="A236" s="4">
        <v>45753</v>
      </c>
      <c r="B236" s="2"/>
      <c r="C236" s="2"/>
      <c r="D236" s="23">
        <v>54</v>
      </c>
      <c r="E236" s="2">
        <f t="shared" si="4"/>
        <v>0</v>
      </c>
      <c r="F236" s="2"/>
    </row>
    <row r="237" spans="1:6" x14ac:dyDescent="0.25">
      <c r="A237" s="4">
        <v>45754</v>
      </c>
      <c r="B237" s="2" t="s">
        <v>3635</v>
      </c>
      <c r="C237" s="2" t="s">
        <v>3637</v>
      </c>
      <c r="D237" s="23">
        <v>54</v>
      </c>
      <c r="E237" s="2">
        <f t="shared" si="4"/>
        <v>0</v>
      </c>
      <c r="F237" s="2"/>
    </row>
    <row r="238" spans="1:6" x14ac:dyDescent="0.25">
      <c r="A238" s="4">
        <v>45755</v>
      </c>
      <c r="B238" s="2" t="s">
        <v>3648</v>
      </c>
      <c r="C238" s="2"/>
      <c r="D238" s="23">
        <v>54</v>
      </c>
      <c r="E238" s="2">
        <f t="shared" si="4"/>
        <v>0</v>
      </c>
      <c r="F238" s="2"/>
    </row>
    <row r="239" spans="1:6" x14ac:dyDescent="0.25">
      <c r="A239" s="4">
        <v>45756</v>
      </c>
      <c r="B239" s="2" t="s">
        <v>3652</v>
      </c>
      <c r="C239" s="2"/>
      <c r="D239" s="23">
        <v>50</v>
      </c>
      <c r="E239" s="2">
        <f t="shared" si="4"/>
        <v>-4</v>
      </c>
      <c r="F239" s="2"/>
    </row>
    <row r="240" spans="1:6" x14ac:dyDescent="0.25">
      <c r="A240" s="4">
        <v>45757</v>
      </c>
      <c r="B240" s="2" t="s">
        <v>3659</v>
      </c>
      <c r="C240" s="2"/>
      <c r="D240" s="23">
        <v>50</v>
      </c>
      <c r="E240" s="2">
        <f t="shared" si="4"/>
        <v>0</v>
      </c>
      <c r="F240" s="2"/>
    </row>
    <row r="241" spans="1:6" x14ac:dyDescent="0.25">
      <c r="A241" s="4">
        <v>45758</v>
      </c>
      <c r="B241" s="2" t="s">
        <v>3659</v>
      </c>
      <c r="C241" s="2"/>
      <c r="D241" s="23">
        <v>50</v>
      </c>
      <c r="E241" s="2">
        <f t="shared" si="4"/>
        <v>0</v>
      </c>
      <c r="F241" s="2"/>
    </row>
    <row r="242" spans="1:6" x14ac:dyDescent="0.25">
      <c r="A242" s="4">
        <v>45759</v>
      </c>
      <c r="B242" s="2"/>
      <c r="C242" s="2"/>
      <c r="D242" s="23">
        <v>50</v>
      </c>
      <c r="E242" s="2">
        <f t="shared" si="4"/>
        <v>0</v>
      </c>
      <c r="F242" s="2"/>
    </row>
    <row r="243" spans="1:6" x14ac:dyDescent="0.25">
      <c r="A243" s="4">
        <v>45760</v>
      </c>
      <c r="B243" s="2"/>
      <c r="C243" s="2"/>
      <c r="D243" s="23">
        <v>50</v>
      </c>
      <c r="E243" s="2">
        <f t="shared" si="4"/>
        <v>0</v>
      </c>
      <c r="F243" s="2"/>
    </row>
    <row r="244" spans="1:6" x14ac:dyDescent="0.25">
      <c r="A244" s="4">
        <v>45761</v>
      </c>
      <c r="B244" s="2" t="s">
        <v>3677</v>
      </c>
      <c r="C244" s="2"/>
      <c r="D244" s="23">
        <v>50</v>
      </c>
      <c r="E244" s="2">
        <f t="shared" si="4"/>
        <v>0</v>
      </c>
      <c r="F244" s="2"/>
    </row>
    <row r="245" spans="1:6" x14ac:dyDescent="0.25">
      <c r="A245" s="4">
        <v>45762</v>
      </c>
      <c r="B245" s="2"/>
      <c r="C245" s="2"/>
      <c r="D245" s="23">
        <v>50</v>
      </c>
      <c r="E245" s="2">
        <f t="shared" si="4"/>
        <v>0</v>
      </c>
      <c r="F245" s="2"/>
    </row>
    <row r="246" spans="1:6" x14ac:dyDescent="0.25">
      <c r="A246" s="4">
        <v>45763</v>
      </c>
      <c r="B246" s="2" t="s">
        <v>3704</v>
      </c>
      <c r="C246" s="2" t="s">
        <v>3686</v>
      </c>
      <c r="D246" s="23">
        <v>50</v>
      </c>
      <c r="E246" s="2">
        <f t="shared" si="4"/>
        <v>0</v>
      </c>
      <c r="F246" s="2"/>
    </row>
    <row r="247" spans="1:6" x14ac:dyDescent="0.25">
      <c r="A247" s="4">
        <v>45764</v>
      </c>
      <c r="B247" s="2" t="s">
        <v>3709</v>
      </c>
      <c r="C247" s="2"/>
      <c r="D247" s="23">
        <v>50</v>
      </c>
      <c r="E247" s="2">
        <f t="shared" si="4"/>
        <v>0</v>
      </c>
      <c r="F247" s="2"/>
    </row>
    <row r="248" spans="1:6" x14ac:dyDescent="0.25">
      <c r="A248" s="4">
        <v>45765</v>
      </c>
      <c r="B248" s="2" t="s">
        <v>3722</v>
      </c>
      <c r="C248" s="2"/>
      <c r="D248" s="23">
        <v>51.5</v>
      </c>
      <c r="E248" s="2">
        <f t="shared" si="4"/>
        <v>1.5</v>
      </c>
      <c r="F248" s="2"/>
    </row>
    <row r="249" spans="1:6" x14ac:dyDescent="0.25">
      <c r="A249" s="4">
        <v>45766</v>
      </c>
      <c r="B249" s="2" t="s">
        <v>3732</v>
      </c>
      <c r="C249" s="2"/>
      <c r="D249" s="23">
        <v>51.5</v>
      </c>
      <c r="E249" s="2">
        <f t="shared" si="4"/>
        <v>0</v>
      </c>
      <c r="F249" s="2"/>
    </row>
    <row r="250" spans="1:6" x14ac:dyDescent="0.25">
      <c r="A250" s="4">
        <v>45767</v>
      </c>
      <c r="B250" s="2" t="s">
        <v>3733</v>
      </c>
      <c r="C250" s="2"/>
      <c r="D250" s="23">
        <v>52</v>
      </c>
      <c r="E250" s="2">
        <f t="shared" si="4"/>
        <v>0.5</v>
      </c>
      <c r="F250" s="2"/>
    </row>
    <row r="251" spans="1:6" x14ac:dyDescent="0.25">
      <c r="A251" s="4">
        <v>45768</v>
      </c>
      <c r="B251" s="2" t="s">
        <v>3751</v>
      </c>
      <c r="C251" s="2"/>
      <c r="D251" s="23"/>
      <c r="E251" s="2">
        <f t="shared" si="4"/>
        <v>-52</v>
      </c>
      <c r="F251" s="2"/>
    </row>
    <row r="252" spans="1:6" x14ac:dyDescent="0.25">
      <c r="A252" s="4">
        <v>45769</v>
      </c>
      <c r="B252" s="2" t="s">
        <v>3761</v>
      </c>
      <c r="C252" s="2"/>
      <c r="D252" s="33">
        <v>54</v>
      </c>
      <c r="E252" s="2">
        <f t="shared" si="4"/>
        <v>54</v>
      </c>
      <c r="F252" s="2"/>
    </row>
    <row r="253" spans="1:6" x14ac:dyDescent="0.25">
      <c r="A253" s="4">
        <v>45770</v>
      </c>
      <c r="B253" s="2" t="s">
        <v>3769</v>
      </c>
      <c r="C253" s="2" t="s">
        <v>3767</v>
      </c>
      <c r="D253" s="23"/>
      <c r="E253" s="2">
        <f t="shared" si="4"/>
        <v>-54</v>
      </c>
      <c r="F253" s="2"/>
    </row>
    <row r="254" spans="1:6" x14ac:dyDescent="0.25">
      <c r="A254" s="4">
        <v>45771</v>
      </c>
      <c r="B254" s="2" t="s">
        <v>3780</v>
      </c>
      <c r="C254" s="2"/>
      <c r="D254" s="23">
        <v>54</v>
      </c>
      <c r="E254" s="2">
        <f t="shared" si="4"/>
        <v>54</v>
      </c>
      <c r="F254" s="2"/>
    </row>
    <row r="255" spans="1:6" x14ac:dyDescent="0.25">
      <c r="A255" s="4">
        <v>45772</v>
      </c>
      <c r="B255" s="2" t="s">
        <v>3791</v>
      </c>
      <c r="C255" s="2" t="s">
        <v>3797</v>
      </c>
      <c r="D255" s="23">
        <v>54.5</v>
      </c>
      <c r="E255" s="2">
        <f t="shared" si="4"/>
        <v>0.5</v>
      </c>
      <c r="F255" s="2"/>
    </row>
    <row r="256" spans="1:6" x14ac:dyDescent="0.25">
      <c r="A256" s="4">
        <v>45773</v>
      </c>
      <c r="B256" s="2" t="s">
        <v>3804</v>
      </c>
      <c r="C256" s="2" t="s">
        <v>3805</v>
      </c>
      <c r="D256" s="23">
        <v>54.7</v>
      </c>
      <c r="E256" s="21" t="s">
        <v>3806</v>
      </c>
      <c r="F256" s="2"/>
    </row>
    <row r="257" spans="1:6" x14ac:dyDescent="0.25">
      <c r="A257" s="4">
        <v>45774</v>
      </c>
      <c r="B257" s="2" t="s">
        <v>3807</v>
      </c>
      <c r="C257" s="2" t="s">
        <v>3693</v>
      </c>
      <c r="D257" s="23">
        <v>55</v>
      </c>
      <c r="E257" s="21" t="s">
        <v>3827</v>
      </c>
      <c r="F257" s="2"/>
    </row>
    <row r="258" spans="1:6" x14ac:dyDescent="0.25">
      <c r="A258" s="4">
        <v>45775</v>
      </c>
      <c r="B258" s="2" t="s">
        <v>3819</v>
      </c>
      <c r="C258" s="2" t="s">
        <v>3693</v>
      </c>
      <c r="D258" s="23">
        <v>55.2</v>
      </c>
      <c r="E258" s="21" t="s">
        <v>3828</v>
      </c>
      <c r="F258" s="2"/>
    </row>
    <row r="259" spans="1:6" x14ac:dyDescent="0.25">
      <c r="A259" s="4">
        <v>45776</v>
      </c>
      <c r="B259" s="2" t="s">
        <v>3834</v>
      </c>
      <c r="C259" s="2"/>
      <c r="D259" s="23">
        <f>D258+E259</f>
        <v>55.7</v>
      </c>
      <c r="E259" s="21">
        <v>0.5</v>
      </c>
      <c r="F259" s="2"/>
    </row>
    <row r="260" spans="1:6" x14ac:dyDescent="0.25">
      <c r="A260" s="4">
        <v>45777</v>
      </c>
      <c r="B260" s="2"/>
      <c r="C260" s="2"/>
      <c r="D260" s="23">
        <f>D259+E260</f>
        <v>56.300000000000004</v>
      </c>
      <c r="E260" s="21">
        <v>0.6</v>
      </c>
      <c r="F260" s="2"/>
    </row>
    <row r="261" spans="1:6" x14ac:dyDescent="0.25">
      <c r="A261" s="4">
        <v>45778</v>
      </c>
      <c r="B261" s="2" t="s">
        <v>3835</v>
      </c>
      <c r="C261" s="2" t="s">
        <v>3836</v>
      </c>
      <c r="D261" s="23">
        <v>58.2</v>
      </c>
      <c r="E261" s="2">
        <v>0.25</v>
      </c>
      <c r="F261" s="2"/>
    </row>
    <row r="262" spans="1:6" x14ac:dyDescent="0.25">
      <c r="A262" s="4">
        <v>45779</v>
      </c>
      <c r="B262" s="2" t="s">
        <v>3850</v>
      </c>
      <c r="C262" s="2" t="s">
        <v>3857</v>
      </c>
      <c r="D262" s="23">
        <v>60.2</v>
      </c>
      <c r="E262" s="2">
        <f>D262-D261</f>
        <v>2</v>
      </c>
      <c r="F262" s="2"/>
    </row>
    <row r="263" spans="1:6" x14ac:dyDescent="0.25">
      <c r="A263" s="4">
        <v>45780</v>
      </c>
      <c r="B263" s="2"/>
      <c r="C263" s="2"/>
      <c r="D263" s="23">
        <v>60.2</v>
      </c>
      <c r="E263" s="2">
        <f t="shared" ref="E263:E309" si="5">D263-D262</f>
        <v>0</v>
      </c>
      <c r="F263" s="2"/>
    </row>
    <row r="264" spans="1:6" x14ac:dyDescent="0.25">
      <c r="A264" s="4">
        <v>45781</v>
      </c>
      <c r="B264" s="2"/>
      <c r="C264" s="2"/>
      <c r="D264" s="23">
        <v>60.2</v>
      </c>
      <c r="E264" s="2">
        <f t="shared" si="5"/>
        <v>0</v>
      </c>
      <c r="F264" s="2"/>
    </row>
    <row r="265" spans="1:6" x14ac:dyDescent="0.25">
      <c r="A265" s="4">
        <v>45782</v>
      </c>
      <c r="B265" s="2"/>
      <c r="C265" s="2"/>
      <c r="D265" s="23">
        <v>60.2</v>
      </c>
      <c r="E265" s="2">
        <f t="shared" si="5"/>
        <v>0</v>
      </c>
      <c r="F265" s="2"/>
    </row>
    <row r="266" spans="1:6" x14ac:dyDescent="0.25">
      <c r="A266" s="4">
        <v>45783</v>
      </c>
      <c r="B266" s="2"/>
      <c r="C266" s="2"/>
      <c r="D266" s="23">
        <v>60.2</v>
      </c>
      <c r="E266" s="2">
        <f t="shared" si="5"/>
        <v>0</v>
      </c>
      <c r="F266" s="2"/>
    </row>
    <row r="267" spans="1:6" x14ac:dyDescent="0.25">
      <c r="A267" s="4">
        <v>45784</v>
      </c>
      <c r="B267" s="2" t="s">
        <v>522</v>
      </c>
      <c r="C267" s="2"/>
      <c r="D267" s="23">
        <v>60.2</v>
      </c>
      <c r="E267" s="2">
        <f t="shared" si="5"/>
        <v>0</v>
      </c>
      <c r="F267" s="2"/>
    </row>
    <row r="268" spans="1:6" x14ac:dyDescent="0.25">
      <c r="A268" s="4">
        <v>45785</v>
      </c>
      <c r="B268" s="2" t="s">
        <v>3878</v>
      </c>
      <c r="C268" s="2"/>
      <c r="D268" s="23">
        <v>60.2</v>
      </c>
      <c r="E268" s="2">
        <f t="shared" si="5"/>
        <v>0</v>
      </c>
      <c r="F268" s="2"/>
    </row>
    <row r="269" spans="1:6" x14ac:dyDescent="0.25">
      <c r="A269" s="4">
        <v>45786</v>
      </c>
      <c r="B269" s="2" t="s">
        <v>3879</v>
      </c>
      <c r="C269" s="2" t="s">
        <v>3884</v>
      </c>
      <c r="D269" s="23">
        <v>60.4</v>
      </c>
      <c r="E269" s="2">
        <f t="shared" si="5"/>
        <v>0.19999999999999574</v>
      </c>
      <c r="F269" s="2"/>
    </row>
    <row r="270" spans="1:6" x14ac:dyDescent="0.25">
      <c r="A270" s="4">
        <v>45787</v>
      </c>
      <c r="B270" s="2" t="s">
        <v>3899</v>
      </c>
      <c r="C270" s="2"/>
      <c r="D270" s="23">
        <v>60.4</v>
      </c>
      <c r="E270" s="2">
        <f t="shared" si="5"/>
        <v>0</v>
      </c>
      <c r="F270" s="2"/>
    </row>
    <row r="271" spans="1:6" x14ac:dyDescent="0.25">
      <c r="A271" s="4">
        <v>45788</v>
      </c>
      <c r="B271" s="2" t="s">
        <v>3899</v>
      </c>
      <c r="C271" s="2"/>
      <c r="D271" s="23">
        <v>60.4</v>
      </c>
      <c r="E271" s="2">
        <f t="shared" si="5"/>
        <v>0</v>
      </c>
      <c r="F271" s="2"/>
    </row>
    <row r="272" spans="1:6" x14ac:dyDescent="0.25">
      <c r="A272" s="4">
        <v>45789</v>
      </c>
      <c r="B272" s="2" t="s">
        <v>3899</v>
      </c>
      <c r="C272" s="2" t="s">
        <v>3900</v>
      </c>
      <c r="D272" s="23">
        <v>60.5</v>
      </c>
      <c r="E272" s="2">
        <f t="shared" si="5"/>
        <v>0.10000000000000142</v>
      </c>
      <c r="F272" s="2"/>
    </row>
    <row r="273" spans="1:6" x14ac:dyDescent="0.25">
      <c r="A273" s="4">
        <v>45790</v>
      </c>
      <c r="B273" s="2" t="s">
        <v>3908</v>
      </c>
      <c r="C273" s="2" t="s">
        <v>3914</v>
      </c>
      <c r="D273" s="23">
        <v>60.5</v>
      </c>
      <c r="E273" s="2">
        <f t="shared" si="5"/>
        <v>0</v>
      </c>
      <c r="F273" s="2"/>
    </row>
    <row r="274" spans="1:6" x14ac:dyDescent="0.25">
      <c r="A274" s="4">
        <v>45791</v>
      </c>
      <c r="B274" s="2" t="s">
        <v>3919</v>
      </c>
      <c r="C274" s="2"/>
      <c r="D274" s="23">
        <v>60.5</v>
      </c>
      <c r="E274" s="2">
        <f t="shared" si="5"/>
        <v>0</v>
      </c>
      <c r="F274" s="2"/>
    </row>
    <row r="275" spans="1:6" x14ac:dyDescent="0.25">
      <c r="A275" s="4">
        <v>45792</v>
      </c>
      <c r="B275" s="2" t="s">
        <v>3928</v>
      </c>
      <c r="C275" s="2"/>
      <c r="D275" s="23">
        <v>60.65</v>
      </c>
      <c r="E275" s="2">
        <f t="shared" si="5"/>
        <v>0.14999999999999858</v>
      </c>
      <c r="F275" s="2"/>
    </row>
    <row r="276" spans="1:6" x14ac:dyDescent="0.25">
      <c r="A276" s="4">
        <v>45793</v>
      </c>
      <c r="B276" s="2" t="s">
        <v>3946</v>
      </c>
      <c r="C276" s="2"/>
      <c r="D276" s="23">
        <v>60.65</v>
      </c>
      <c r="E276" s="2">
        <f t="shared" si="5"/>
        <v>0</v>
      </c>
      <c r="F276" s="2"/>
    </row>
    <row r="277" spans="1:6" x14ac:dyDescent="0.25">
      <c r="A277" s="4">
        <v>45794</v>
      </c>
      <c r="B277" s="2" t="s">
        <v>3956</v>
      </c>
      <c r="C277" s="2"/>
      <c r="D277" s="23">
        <v>60.65</v>
      </c>
      <c r="E277" s="2">
        <f t="shared" si="5"/>
        <v>0</v>
      </c>
      <c r="F277" s="2"/>
    </row>
    <row r="278" spans="1:6" x14ac:dyDescent="0.25">
      <c r="A278" s="4">
        <v>45795</v>
      </c>
      <c r="B278" s="2" t="s">
        <v>480</v>
      </c>
      <c r="C278" s="2"/>
      <c r="D278" s="23">
        <v>60.65</v>
      </c>
      <c r="E278" s="2">
        <f t="shared" si="5"/>
        <v>0</v>
      </c>
      <c r="F278" s="2"/>
    </row>
    <row r="279" spans="1:6" x14ac:dyDescent="0.25">
      <c r="A279" s="4">
        <v>45796</v>
      </c>
      <c r="B279" s="2" t="s">
        <v>3992</v>
      </c>
      <c r="C279" s="2"/>
      <c r="D279" s="23">
        <v>60.65</v>
      </c>
      <c r="E279" s="2">
        <f t="shared" si="5"/>
        <v>0</v>
      </c>
      <c r="F279" s="2"/>
    </row>
    <row r="280" spans="1:6" x14ac:dyDescent="0.25">
      <c r="A280" s="4">
        <v>45797</v>
      </c>
      <c r="B280" s="2" t="s">
        <v>3999</v>
      </c>
      <c r="C280" s="2"/>
      <c r="D280" s="23">
        <v>60.78</v>
      </c>
      <c r="E280" s="2">
        <f t="shared" si="5"/>
        <v>0.13000000000000256</v>
      </c>
      <c r="F280" s="2"/>
    </row>
    <row r="281" spans="1:6" x14ac:dyDescent="0.25">
      <c r="A281" s="4">
        <v>45798</v>
      </c>
      <c r="B281" s="2" t="s">
        <v>4003</v>
      </c>
      <c r="C281" s="2"/>
      <c r="D281" s="23">
        <v>60.88</v>
      </c>
      <c r="E281" s="2">
        <f t="shared" si="5"/>
        <v>0.10000000000000142</v>
      </c>
      <c r="F281" s="2"/>
    </row>
    <row r="282" spans="1:6" x14ac:dyDescent="0.25">
      <c r="A282" s="4">
        <v>45799</v>
      </c>
      <c r="B282" s="2" t="s">
        <v>1696</v>
      </c>
      <c r="C282" s="2"/>
      <c r="D282" s="23">
        <v>60.88</v>
      </c>
      <c r="E282" s="2">
        <f t="shared" si="5"/>
        <v>0</v>
      </c>
      <c r="F282" s="2"/>
    </row>
    <row r="283" spans="1:6" x14ac:dyDescent="0.25">
      <c r="A283" s="4">
        <v>45800</v>
      </c>
      <c r="B283" s="2" t="s">
        <v>4021</v>
      </c>
      <c r="C283" s="2"/>
      <c r="D283" s="23">
        <v>60.88</v>
      </c>
      <c r="E283" s="2">
        <f t="shared" si="5"/>
        <v>0</v>
      </c>
      <c r="F283" s="2"/>
    </row>
    <row r="284" spans="1:6" x14ac:dyDescent="0.25">
      <c r="A284" s="4">
        <v>45801</v>
      </c>
      <c r="B284" s="2" t="s">
        <v>4032</v>
      </c>
      <c r="C284" s="2"/>
      <c r="D284" s="23">
        <v>60.88</v>
      </c>
      <c r="E284" s="2">
        <f t="shared" si="5"/>
        <v>0</v>
      </c>
      <c r="F284" s="2"/>
    </row>
    <row r="285" spans="1:6" x14ac:dyDescent="0.25">
      <c r="A285" s="4">
        <v>45802</v>
      </c>
      <c r="B285" s="2" t="s">
        <v>4033</v>
      </c>
      <c r="C285" s="2"/>
      <c r="D285" s="23">
        <v>61.06</v>
      </c>
      <c r="E285" s="2">
        <f t="shared" si="5"/>
        <v>0.17999999999999972</v>
      </c>
      <c r="F285" s="2"/>
    </row>
    <row r="286" spans="1:6" x14ac:dyDescent="0.25">
      <c r="A286" s="4">
        <v>45803</v>
      </c>
      <c r="B286" s="2" t="s">
        <v>4040</v>
      </c>
      <c r="C286" s="2"/>
      <c r="D286" s="23">
        <v>61.16</v>
      </c>
      <c r="E286" s="2">
        <f t="shared" si="5"/>
        <v>9.9999999999994316E-2</v>
      </c>
      <c r="F286" s="2"/>
    </row>
    <row r="287" spans="1:6" x14ac:dyDescent="0.25">
      <c r="A287" s="4">
        <v>45804</v>
      </c>
      <c r="B287" s="2" t="s">
        <v>4045</v>
      </c>
      <c r="C287" s="2" t="s">
        <v>4046</v>
      </c>
      <c r="D287" s="23">
        <v>61.16</v>
      </c>
      <c r="E287" s="2">
        <f t="shared" si="5"/>
        <v>0</v>
      </c>
      <c r="F287" s="2"/>
    </row>
    <row r="288" spans="1:6" x14ac:dyDescent="0.25">
      <c r="A288" s="4">
        <v>45805</v>
      </c>
      <c r="B288" s="2" t="s">
        <v>4070</v>
      </c>
      <c r="C288" s="2"/>
      <c r="D288" s="23">
        <v>61.16</v>
      </c>
      <c r="E288" s="2">
        <f t="shared" si="5"/>
        <v>0</v>
      </c>
      <c r="F288" s="2"/>
    </row>
    <row r="289" spans="1:6" x14ac:dyDescent="0.25">
      <c r="A289" s="4">
        <v>45806</v>
      </c>
      <c r="B289" s="2" t="s">
        <v>4073</v>
      </c>
      <c r="C289" s="2" t="s">
        <v>4074</v>
      </c>
      <c r="D289" s="23">
        <v>61.31</v>
      </c>
      <c r="E289" s="2">
        <f t="shared" si="5"/>
        <v>0.15000000000000568</v>
      </c>
      <c r="F289" s="2"/>
    </row>
    <row r="290" spans="1:6" x14ac:dyDescent="0.25">
      <c r="A290" s="4">
        <v>45807</v>
      </c>
      <c r="B290" s="2" t="s">
        <v>1844</v>
      </c>
      <c r="C290" s="2"/>
      <c r="D290" s="23">
        <v>61.31</v>
      </c>
      <c r="E290" s="2">
        <f t="shared" si="5"/>
        <v>0</v>
      </c>
      <c r="F290" s="2"/>
    </row>
    <row r="291" spans="1:6" x14ac:dyDescent="0.25">
      <c r="A291" s="4">
        <v>45808</v>
      </c>
      <c r="B291" s="2" t="s">
        <v>4090</v>
      </c>
      <c r="C291" s="2"/>
      <c r="D291" s="23">
        <v>61.43</v>
      </c>
      <c r="E291" s="2">
        <f t="shared" si="5"/>
        <v>0.11999999999999744</v>
      </c>
      <c r="F291" s="2"/>
    </row>
    <row r="292" spans="1:6" x14ac:dyDescent="0.25">
      <c r="A292" s="4">
        <v>45809</v>
      </c>
      <c r="B292" s="2" t="s">
        <v>480</v>
      </c>
      <c r="C292" s="2" t="s">
        <v>4111</v>
      </c>
      <c r="D292" s="23">
        <v>61.43</v>
      </c>
      <c r="E292" s="2">
        <f t="shared" si="5"/>
        <v>0</v>
      </c>
      <c r="F292" s="2"/>
    </row>
    <row r="293" spans="1:6" x14ac:dyDescent="0.25">
      <c r="A293" s="4">
        <v>45810</v>
      </c>
      <c r="B293" s="2" t="s">
        <v>4040</v>
      </c>
      <c r="C293" s="2"/>
      <c r="D293" s="23">
        <v>61.53</v>
      </c>
      <c r="E293" s="2">
        <f t="shared" si="5"/>
        <v>0.10000000000000142</v>
      </c>
      <c r="F293" s="2"/>
    </row>
    <row r="294" spans="1:6" x14ac:dyDescent="0.25">
      <c r="A294" s="4">
        <v>45811</v>
      </c>
      <c r="B294" s="2" t="s">
        <v>4134</v>
      </c>
      <c r="C294" s="2"/>
      <c r="D294" s="23">
        <v>61.61</v>
      </c>
      <c r="E294" s="2">
        <f t="shared" si="5"/>
        <v>7.9999999999998295E-2</v>
      </c>
      <c r="F294" s="2"/>
    </row>
    <row r="295" spans="1:6" x14ac:dyDescent="0.25">
      <c r="A295" s="4">
        <v>45812</v>
      </c>
      <c r="B295" s="2" t="s">
        <v>4146</v>
      </c>
      <c r="C295" s="2"/>
      <c r="D295" s="23">
        <v>61.61</v>
      </c>
      <c r="E295" s="2">
        <f t="shared" si="5"/>
        <v>0</v>
      </c>
      <c r="F295" s="2"/>
    </row>
    <row r="296" spans="1:6" x14ac:dyDescent="0.25">
      <c r="A296" s="4">
        <v>45813</v>
      </c>
      <c r="B296" s="2" t="s">
        <v>4177</v>
      </c>
      <c r="C296" s="2"/>
      <c r="D296" s="23">
        <v>61.75</v>
      </c>
      <c r="E296" s="2">
        <f t="shared" si="5"/>
        <v>0.14000000000000057</v>
      </c>
      <c r="F296" s="2"/>
    </row>
    <row r="297" spans="1:6" x14ac:dyDescent="0.25">
      <c r="A297" s="4">
        <v>45814</v>
      </c>
      <c r="B297" s="2" t="s">
        <v>480</v>
      </c>
      <c r="C297" s="2"/>
      <c r="D297" s="23">
        <v>61.75</v>
      </c>
      <c r="E297" s="2">
        <f t="shared" si="5"/>
        <v>0</v>
      </c>
      <c r="F297" s="2"/>
    </row>
    <row r="298" spans="1:6" x14ac:dyDescent="0.25">
      <c r="A298" s="4">
        <v>45815</v>
      </c>
      <c r="B298" s="2" t="s">
        <v>4090</v>
      </c>
      <c r="C298" s="2"/>
      <c r="D298" s="23">
        <v>61.87</v>
      </c>
      <c r="E298" s="2">
        <f t="shared" si="5"/>
        <v>0.11999999999999744</v>
      </c>
      <c r="F298" s="2"/>
    </row>
    <row r="299" spans="1:6" x14ac:dyDescent="0.25">
      <c r="A299" s="4">
        <v>45816</v>
      </c>
      <c r="B299" s="2" t="s">
        <v>4175</v>
      </c>
      <c r="C299" s="2" t="s">
        <v>4176</v>
      </c>
      <c r="D299" s="23">
        <v>61.93</v>
      </c>
      <c r="E299" s="2">
        <f t="shared" si="5"/>
        <v>6.0000000000002274E-2</v>
      </c>
      <c r="F299" s="2"/>
    </row>
    <row r="300" spans="1:6" x14ac:dyDescent="0.25">
      <c r="A300" s="4">
        <v>45817</v>
      </c>
      <c r="B300" s="2" t="s">
        <v>4234</v>
      </c>
      <c r="C300" s="2"/>
      <c r="D300" s="23"/>
      <c r="E300" s="2">
        <f t="shared" si="5"/>
        <v>-61.93</v>
      </c>
      <c r="F300" s="2"/>
    </row>
    <row r="301" spans="1:6" x14ac:dyDescent="0.25">
      <c r="A301" s="4">
        <v>45818</v>
      </c>
      <c r="B301" s="2"/>
      <c r="C301" s="2"/>
      <c r="D301" s="23"/>
      <c r="E301" s="2">
        <f t="shared" si="5"/>
        <v>0</v>
      </c>
      <c r="F301" s="2"/>
    </row>
    <row r="302" spans="1:6" x14ac:dyDescent="0.25">
      <c r="A302" s="4">
        <v>45819</v>
      </c>
      <c r="B302" s="2"/>
      <c r="C302" s="2"/>
      <c r="D302" s="23"/>
      <c r="E302" s="2">
        <f t="shared" si="5"/>
        <v>0</v>
      </c>
      <c r="F302" s="2"/>
    </row>
    <row r="303" spans="1:6" x14ac:dyDescent="0.25">
      <c r="A303" s="4">
        <v>45820</v>
      </c>
      <c r="B303" s="2"/>
      <c r="C303" s="2"/>
      <c r="D303" s="23"/>
      <c r="E303" s="2">
        <f t="shared" si="5"/>
        <v>0</v>
      </c>
      <c r="F303" s="2"/>
    </row>
    <row r="304" spans="1:6" x14ac:dyDescent="0.25">
      <c r="A304" s="4">
        <v>45821</v>
      </c>
      <c r="B304" s="2"/>
      <c r="C304" s="2"/>
      <c r="D304" s="23"/>
      <c r="E304" s="2">
        <f t="shared" si="5"/>
        <v>0</v>
      </c>
      <c r="F304" s="2"/>
    </row>
    <row r="305" spans="1:6" x14ac:dyDescent="0.25">
      <c r="A305" s="4">
        <v>45822</v>
      </c>
      <c r="B305" s="2"/>
      <c r="C305" s="2"/>
      <c r="D305" s="2"/>
      <c r="E305" s="2">
        <f t="shared" si="5"/>
        <v>0</v>
      </c>
      <c r="F305" s="2"/>
    </row>
    <row r="306" spans="1:6" x14ac:dyDescent="0.25">
      <c r="A306" s="4">
        <v>45823</v>
      </c>
      <c r="B306" s="2"/>
      <c r="C306" s="2"/>
      <c r="D306" s="2"/>
      <c r="E306" s="2">
        <f t="shared" si="5"/>
        <v>0</v>
      </c>
      <c r="F306" s="2"/>
    </row>
    <row r="307" spans="1:6" x14ac:dyDescent="0.25">
      <c r="A307" s="4">
        <v>45824</v>
      </c>
      <c r="B307" s="2"/>
      <c r="C307" s="2"/>
      <c r="D307" s="2"/>
      <c r="E307" s="2">
        <f t="shared" si="5"/>
        <v>0</v>
      </c>
      <c r="F307" s="2"/>
    </row>
    <row r="308" spans="1:6" x14ac:dyDescent="0.25">
      <c r="A308" s="4">
        <v>45825</v>
      </c>
      <c r="B308" s="2"/>
      <c r="C308" s="2"/>
      <c r="D308" s="2"/>
      <c r="E308" s="2">
        <f t="shared" si="5"/>
        <v>0</v>
      </c>
      <c r="F308" s="2"/>
    </row>
    <row r="309" spans="1:6" x14ac:dyDescent="0.25">
      <c r="A309" s="4">
        <v>45826</v>
      </c>
      <c r="B309" s="2"/>
      <c r="C309" s="2"/>
      <c r="D309" s="2"/>
      <c r="E309" s="2">
        <f t="shared" si="5"/>
        <v>0</v>
      </c>
      <c r="F309" s="2"/>
    </row>
    <row r="310" spans="1:6" x14ac:dyDescent="0.25">
      <c r="A310" s="4">
        <v>45827</v>
      </c>
      <c r="B310" s="2"/>
      <c r="C310" s="2"/>
      <c r="D310" s="2"/>
      <c r="E310" s="2"/>
      <c r="F310" s="2"/>
    </row>
    <row r="311" spans="1:6" x14ac:dyDescent="0.25">
      <c r="A311" s="4">
        <v>45828</v>
      </c>
      <c r="B311" s="2"/>
      <c r="C311" s="2"/>
      <c r="D311" s="2"/>
      <c r="E311" s="2"/>
      <c r="F311" s="2"/>
    </row>
    <row r="312" spans="1:6" x14ac:dyDescent="0.25">
      <c r="A312" s="4">
        <v>45829</v>
      </c>
      <c r="B312" s="2"/>
      <c r="C312" s="2"/>
      <c r="D312" s="2"/>
      <c r="E312" s="2"/>
      <c r="F312" s="2"/>
    </row>
    <row r="313" spans="1:6" x14ac:dyDescent="0.25">
      <c r="A313" s="4">
        <v>45830</v>
      </c>
      <c r="B313" s="2"/>
      <c r="C313" s="2"/>
      <c r="D313" s="2"/>
      <c r="E313" s="2"/>
      <c r="F313" s="2"/>
    </row>
    <row r="314" spans="1:6" x14ac:dyDescent="0.25">
      <c r="A314" s="4">
        <v>45831</v>
      </c>
      <c r="B314" s="2"/>
      <c r="C314" s="2"/>
      <c r="D314" s="2"/>
      <c r="E314" s="2"/>
      <c r="F314" s="2"/>
    </row>
    <row r="315" spans="1:6" x14ac:dyDescent="0.25">
      <c r="A315" s="4">
        <v>45832</v>
      </c>
      <c r="B315" s="2"/>
      <c r="C315" s="2"/>
      <c r="D315" s="2"/>
      <c r="E315" s="2"/>
      <c r="F315" s="2"/>
    </row>
    <row r="316" spans="1:6" x14ac:dyDescent="0.25">
      <c r="A316" s="4">
        <v>45833</v>
      </c>
      <c r="B316" s="2"/>
      <c r="C316" s="2"/>
      <c r="D316" s="2"/>
      <c r="E316" s="2"/>
      <c r="F316" s="2"/>
    </row>
    <row r="317" spans="1:6" x14ac:dyDescent="0.25">
      <c r="A317" s="4">
        <v>45834</v>
      </c>
      <c r="B317" s="2"/>
      <c r="C317" s="2"/>
      <c r="D317" s="2"/>
      <c r="E317" s="2"/>
      <c r="F317" s="2"/>
    </row>
    <row r="318" spans="1:6" x14ac:dyDescent="0.25">
      <c r="A318" s="4">
        <v>45835</v>
      </c>
      <c r="B318" s="2"/>
      <c r="C318" s="2"/>
      <c r="D318" s="2"/>
      <c r="E318" s="2"/>
      <c r="F318" s="2"/>
    </row>
    <row r="319" spans="1:6" x14ac:dyDescent="0.25">
      <c r="A319" s="4">
        <v>45836</v>
      </c>
      <c r="B319" s="2"/>
      <c r="C319" s="2"/>
      <c r="D319" s="2"/>
      <c r="E319" s="2"/>
      <c r="F319" s="2"/>
    </row>
    <row r="320" spans="1:6" x14ac:dyDescent="0.25">
      <c r="A320" s="4">
        <v>45837</v>
      </c>
      <c r="B320" s="2"/>
      <c r="C320" s="2"/>
      <c r="D320" s="2"/>
      <c r="E320" s="2"/>
      <c r="F320" s="2"/>
    </row>
    <row r="321" spans="1:6" x14ac:dyDescent="0.25">
      <c r="A321" s="4">
        <v>45838</v>
      </c>
      <c r="B321" s="2"/>
      <c r="C321" s="2"/>
      <c r="D321" s="2"/>
      <c r="E321" s="2"/>
      <c r="F321" s="2"/>
    </row>
    <row r="322" spans="1:6" x14ac:dyDescent="0.25">
      <c r="A322" s="4">
        <v>45839</v>
      </c>
      <c r="B322" s="2"/>
      <c r="C322" s="2"/>
      <c r="D322" s="2"/>
      <c r="E322" s="2"/>
      <c r="F322" s="2"/>
    </row>
    <row r="323" spans="1:6" x14ac:dyDescent="0.25">
      <c r="A323" s="4">
        <v>45840</v>
      </c>
      <c r="B323" s="2" t="s">
        <v>5118</v>
      </c>
      <c r="C323" s="2"/>
      <c r="D323" s="2"/>
      <c r="E323" s="2"/>
      <c r="F323" s="2"/>
    </row>
    <row r="324" spans="1:6" x14ac:dyDescent="0.25">
      <c r="A324" s="4">
        <v>45841</v>
      </c>
      <c r="B324" s="2"/>
      <c r="C324" s="2"/>
      <c r="D324" s="2"/>
      <c r="E324" s="2"/>
      <c r="F324" s="2"/>
    </row>
    <row r="325" spans="1:6" x14ac:dyDescent="0.25">
      <c r="A325" s="4">
        <v>45842</v>
      </c>
      <c r="B325" s="2"/>
      <c r="C325" s="2"/>
      <c r="D325" s="2"/>
      <c r="E325" s="2"/>
      <c r="F325" s="2"/>
    </row>
    <row r="326" spans="1:6" x14ac:dyDescent="0.25">
      <c r="A326" s="4">
        <v>45843</v>
      </c>
      <c r="B326" s="2"/>
      <c r="C326" s="2"/>
      <c r="D326" s="2"/>
      <c r="E326" s="2"/>
      <c r="F326" s="2"/>
    </row>
    <row r="327" spans="1:6" x14ac:dyDescent="0.25">
      <c r="A327" s="4">
        <v>45844</v>
      </c>
      <c r="B327" s="2"/>
      <c r="C327" s="2"/>
      <c r="D327" s="2"/>
      <c r="E327" s="2"/>
      <c r="F327" s="2"/>
    </row>
    <row r="328" spans="1:6" x14ac:dyDescent="0.25">
      <c r="A328" s="4">
        <v>45845</v>
      </c>
      <c r="B328" s="2"/>
      <c r="C328" s="2"/>
      <c r="D328" s="2"/>
      <c r="E328" s="2"/>
      <c r="F328" s="2"/>
    </row>
    <row r="329" spans="1:6" x14ac:dyDescent="0.25">
      <c r="A329" s="4">
        <v>45846</v>
      </c>
      <c r="B329" s="2"/>
      <c r="C329" s="2"/>
      <c r="D329" s="2"/>
      <c r="E329" s="2"/>
      <c r="F329" s="2"/>
    </row>
    <row r="330" spans="1:6" x14ac:dyDescent="0.25">
      <c r="A330" s="4">
        <v>45847</v>
      </c>
      <c r="B330" s="2"/>
      <c r="C330" s="2"/>
      <c r="D330" s="2"/>
      <c r="E330" s="2"/>
      <c r="F330" s="2"/>
    </row>
    <row r="331" spans="1:6" x14ac:dyDescent="0.25">
      <c r="A331" s="4">
        <v>45848</v>
      </c>
      <c r="B331" s="2"/>
      <c r="C331" s="2"/>
      <c r="D331" s="2"/>
      <c r="E331" s="2"/>
      <c r="F331" s="2"/>
    </row>
    <row r="332" spans="1:6" x14ac:dyDescent="0.25">
      <c r="A332" s="4">
        <v>45849</v>
      </c>
      <c r="B332" s="2"/>
      <c r="C332" s="2"/>
      <c r="D332" s="2"/>
      <c r="E332" s="2"/>
      <c r="F332" s="2"/>
    </row>
    <row r="333" spans="1:6" x14ac:dyDescent="0.25">
      <c r="A333" s="4">
        <v>45850</v>
      </c>
      <c r="B333" s="2"/>
      <c r="C333" s="2"/>
      <c r="D333" s="2"/>
      <c r="E333" s="2"/>
      <c r="F333" s="2"/>
    </row>
    <row r="334" spans="1:6" x14ac:dyDescent="0.25">
      <c r="A334" s="4">
        <v>45851</v>
      </c>
      <c r="B334" s="2"/>
      <c r="C334" s="2"/>
      <c r="D334" s="2"/>
      <c r="E334" s="2"/>
      <c r="F334" s="2"/>
    </row>
    <row r="335" spans="1:6" x14ac:dyDescent="0.25">
      <c r="A335" s="4">
        <v>45852</v>
      </c>
      <c r="B335" s="2"/>
      <c r="C335" s="2"/>
      <c r="D335" s="2"/>
      <c r="E335" s="2"/>
      <c r="F335" s="2"/>
    </row>
    <row r="336" spans="1:6" x14ac:dyDescent="0.25">
      <c r="A336" s="4">
        <v>45853</v>
      </c>
      <c r="B336" s="2"/>
      <c r="C336" s="2"/>
      <c r="D336" s="2"/>
      <c r="E336" s="2"/>
      <c r="F336" s="2"/>
    </row>
    <row r="337" spans="1:6" x14ac:dyDescent="0.25">
      <c r="A337" s="4">
        <v>45854</v>
      </c>
      <c r="B337" s="2"/>
      <c r="C337" s="2"/>
      <c r="D337" s="2"/>
      <c r="E337" s="2"/>
      <c r="F337" s="2"/>
    </row>
    <row r="338" spans="1:6" x14ac:dyDescent="0.25">
      <c r="A338" s="4">
        <v>45855</v>
      </c>
      <c r="B338" s="2"/>
      <c r="C338" s="2"/>
      <c r="D338" s="2"/>
      <c r="E338" s="2"/>
      <c r="F338" s="2"/>
    </row>
    <row r="339" spans="1:6" x14ac:dyDescent="0.25">
      <c r="A339" s="4">
        <v>45856</v>
      </c>
      <c r="B339" s="2"/>
      <c r="C339" s="2"/>
      <c r="D339" s="2"/>
      <c r="E339" s="2"/>
      <c r="F339" s="2"/>
    </row>
    <row r="340" spans="1:6" x14ac:dyDescent="0.25">
      <c r="A340" s="4">
        <v>45857</v>
      </c>
      <c r="B340" s="2"/>
      <c r="C340" s="2"/>
      <c r="D340" s="2"/>
      <c r="E340" s="2"/>
      <c r="F340" s="2"/>
    </row>
    <row r="341" spans="1:6" x14ac:dyDescent="0.25">
      <c r="A341" s="4">
        <v>45858</v>
      </c>
      <c r="B341" s="2"/>
      <c r="C341" s="2"/>
      <c r="D341" s="2"/>
      <c r="E341" s="2"/>
      <c r="F341" s="2"/>
    </row>
    <row r="342" spans="1:6" x14ac:dyDescent="0.25">
      <c r="A342" s="4">
        <v>45859</v>
      </c>
      <c r="B342" s="2"/>
      <c r="C342" s="2"/>
      <c r="D342" s="2"/>
      <c r="E342" s="2"/>
      <c r="F342" s="2"/>
    </row>
    <row r="343" spans="1:6" x14ac:dyDescent="0.25">
      <c r="A343" s="4">
        <v>45860</v>
      </c>
      <c r="B343" s="2"/>
      <c r="C343" s="2"/>
      <c r="D343" s="2"/>
      <c r="E343" s="2"/>
      <c r="F343" s="2"/>
    </row>
    <row r="344" spans="1:6" x14ac:dyDescent="0.25">
      <c r="A344" s="4">
        <v>45861</v>
      </c>
      <c r="B344" s="2"/>
      <c r="C344" s="2"/>
      <c r="D344" s="2"/>
      <c r="E344" s="2"/>
      <c r="F344" s="2"/>
    </row>
    <row r="345" spans="1:6" x14ac:dyDescent="0.25">
      <c r="A345" s="4">
        <v>45862</v>
      </c>
      <c r="B345" s="2"/>
      <c r="C345" s="2"/>
      <c r="D345" s="2"/>
      <c r="E345" s="2"/>
      <c r="F345" s="2"/>
    </row>
    <row r="346" spans="1:6" x14ac:dyDescent="0.25">
      <c r="A346" s="4">
        <v>45863</v>
      </c>
      <c r="B346" s="2"/>
      <c r="C346" s="2"/>
      <c r="D346" s="2"/>
      <c r="E346" s="2"/>
      <c r="F346" s="2"/>
    </row>
    <row r="347" spans="1:6" x14ac:dyDescent="0.25">
      <c r="A347" s="4">
        <v>45864</v>
      </c>
      <c r="B347" s="2"/>
      <c r="C347" s="2"/>
      <c r="D347" s="2"/>
      <c r="E347" s="2"/>
      <c r="F347" s="2"/>
    </row>
    <row r="348" spans="1:6" x14ac:dyDescent="0.25">
      <c r="A348" s="4">
        <v>45865</v>
      </c>
      <c r="B348" s="2"/>
      <c r="C348" s="2"/>
      <c r="D348" s="2"/>
      <c r="E348" s="2"/>
      <c r="F348" s="2"/>
    </row>
    <row r="349" spans="1:6" x14ac:dyDescent="0.25">
      <c r="A349" s="4">
        <v>45866</v>
      </c>
      <c r="B349" s="2"/>
      <c r="C349" s="2"/>
      <c r="D349" s="2"/>
      <c r="E349" s="2"/>
      <c r="F349" s="2"/>
    </row>
    <row r="350" spans="1:6" x14ac:dyDescent="0.25">
      <c r="A350" s="4">
        <v>45867</v>
      </c>
      <c r="B350" s="2"/>
      <c r="C350" s="2"/>
      <c r="D350" s="2"/>
      <c r="E350" s="2"/>
      <c r="F350" s="2"/>
    </row>
    <row r="351" spans="1:6" x14ac:dyDescent="0.25">
      <c r="A351" s="4">
        <v>45868</v>
      </c>
      <c r="B351" s="2"/>
      <c r="C351" s="2"/>
      <c r="D351" s="2"/>
      <c r="E351" s="2"/>
      <c r="F351" s="2"/>
    </row>
    <row r="352" spans="1:6" x14ac:dyDescent="0.25">
      <c r="A352" s="4">
        <v>45869</v>
      </c>
      <c r="B352" s="2"/>
      <c r="C352" s="2"/>
      <c r="D352" s="2"/>
      <c r="E352" s="2"/>
      <c r="F352" s="2"/>
    </row>
    <row r="353" spans="1:6" x14ac:dyDescent="0.25">
      <c r="A353" s="4">
        <v>45870</v>
      </c>
      <c r="B353" s="2"/>
      <c r="C353" s="2"/>
      <c r="D353" s="2"/>
      <c r="E353" s="2"/>
      <c r="F353" s="2"/>
    </row>
    <row r="354" spans="1:6" x14ac:dyDescent="0.25">
      <c r="A354" s="4">
        <v>45871</v>
      </c>
      <c r="B354" s="2"/>
      <c r="C354" s="2"/>
      <c r="D354" s="2"/>
      <c r="E354" s="2"/>
      <c r="F354" s="2"/>
    </row>
    <row r="355" spans="1:6" x14ac:dyDescent="0.25">
      <c r="A355" s="4">
        <v>45872</v>
      </c>
      <c r="B355" s="2"/>
      <c r="C355" s="2"/>
      <c r="D355" s="2"/>
      <c r="E355" s="2"/>
      <c r="F355" s="2"/>
    </row>
    <row r="356" spans="1:6" x14ac:dyDescent="0.25">
      <c r="A356" s="4">
        <v>45873</v>
      </c>
      <c r="B356" s="2"/>
      <c r="C356" s="2"/>
      <c r="D356" s="2"/>
      <c r="E356" s="2"/>
      <c r="F356" s="2"/>
    </row>
    <row r="357" spans="1:6" x14ac:dyDescent="0.25">
      <c r="A357" s="4">
        <v>45874</v>
      </c>
      <c r="B357" s="2"/>
      <c r="C357" s="2"/>
      <c r="D357" s="2"/>
      <c r="E357" s="2"/>
      <c r="F357" s="2"/>
    </row>
    <row r="358" spans="1:6" x14ac:dyDescent="0.25">
      <c r="A358" s="4">
        <v>45875</v>
      </c>
      <c r="B358" s="2"/>
      <c r="C358" s="2"/>
      <c r="D358" s="2"/>
      <c r="E358" s="2"/>
      <c r="F358" s="2"/>
    </row>
    <row r="359" spans="1:6" x14ac:dyDescent="0.25">
      <c r="A359" s="4">
        <v>45876</v>
      </c>
      <c r="B359" s="2"/>
      <c r="C359" s="2"/>
      <c r="D359" s="2"/>
      <c r="E359" s="2"/>
      <c r="F359" s="2"/>
    </row>
    <row r="360" spans="1:6" x14ac:dyDescent="0.25">
      <c r="A360" s="4">
        <v>45877</v>
      </c>
      <c r="B360" s="2"/>
      <c r="C360" s="2"/>
      <c r="D360" s="2"/>
      <c r="E360" s="2"/>
      <c r="F360" s="2"/>
    </row>
    <row r="361" spans="1:6" x14ac:dyDescent="0.25">
      <c r="A361" s="4">
        <v>45878</v>
      </c>
      <c r="B361" s="2"/>
      <c r="C361" s="2"/>
      <c r="D361" s="2"/>
      <c r="E361" s="2"/>
      <c r="F361" s="2"/>
    </row>
    <row r="362" spans="1:6" x14ac:dyDescent="0.25">
      <c r="A362" s="4">
        <v>45879</v>
      </c>
      <c r="B362" s="2"/>
      <c r="C362" s="2"/>
      <c r="D362" s="2"/>
      <c r="E362" s="2"/>
      <c r="F362" s="2"/>
    </row>
    <row r="363" spans="1:6" x14ac:dyDescent="0.25">
      <c r="A363" s="4">
        <v>45880</v>
      </c>
      <c r="B363" s="2"/>
      <c r="C363" s="2"/>
      <c r="D363" s="2"/>
      <c r="E363" s="2"/>
      <c r="F363" s="2"/>
    </row>
    <row r="364" spans="1:6" x14ac:dyDescent="0.25">
      <c r="A364" s="4">
        <v>45881</v>
      </c>
      <c r="B364" s="2"/>
      <c r="C364" s="2"/>
      <c r="D364" s="2"/>
      <c r="E364" s="2"/>
      <c r="F364" s="2"/>
    </row>
    <row r="365" spans="1:6" x14ac:dyDescent="0.25">
      <c r="A365" s="4">
        <v>45882</v>
      </c>
      <c r="B365" s="2"/>
      <c r="C365" s="2"/>
      <c r="D365" s="2"/>
      <c r="E365" s="2"/>
      <c r="F365" s="2"/>
    </row>
    <row r="366" spans="1:6" x14ac:dyDescent="0.25">
      <c r="A366" s="4">
        <v>45883</v>
      </c>
      <c r="B366" s="2"/>
      <c r="C366" s="2"/>
      <c r="D366" s="2"/>
      <c r="E366" s="2"/>
      <c r="F366" s="2"/>
    </row>
    <row r="367" spans="1:6" x14ac:dyDescent="0.25">
      <c r="A367" s="4">
        <v>45884</v>
      </c>
      <c r="B367" s="2"/>
      <c r="C367" s="2"/>
      <c r="D367" s="2"/>
      <c r="E367" s="2"/>
      <c r="F367" s="2"/>
    </row>
    <row r="368" spans="1:6" x14ac:dyDescent="0.25">
      <c r="A368" s="4">
        <v>45885</v>
      </c>
      <c r="B368" s="2"/>
      <c r="C368" s="2"/>
      <c r="D368" s="2"/>
      <c r="E368" s="2"/>
      <c r="F368" s="2"/>
    </row>
    <row r="369" spans="1:6" x14ac:dyDescent="0.25">
      <c r="A369" s="4">
        <v>45886</v>
      </c>
      <c r="B369" s="2"/>
      <c r="C369" s="2"/>
      <c r="D369" s="2"/>
      <c r="E369" s="2"/>
      <c r="F369" s="2"/>
    </row>
    <row r="370" spans="1:6" x14ac:dyDescent="0.25">
      <c r="A370" s="4">
        <v>45887</v>
      </c>
      <c r="B370" s="2"/>
      <c r="C370" s="2"/>
      <c r="D370" s="2"/>
      <c r="E370" s="2"/>
      <c r="F370" s="2"/>
    </row>
    <row r="371" spans="1:6" x14ac:dyDescent="0.25">
      <c r="A371" s="4">
        <v>45888</v>
      </c>
      <c r="B371" s="2"/>
      <c r="C371" s="2"/>
      <c r="D371" s="2"/>
      <c r="E371" s="2"/>
      <c r="F371" s="2"/>
    </row>
    <row r="372" spans="1:6" x14ac:dyDescent="0.25">
      <c r="A372" s="4">
        <v>45889</v>
      </c>
      <c r="B372" s="2"/>
      <c r="C372" s="2"/>
      <c r="D372" s="2"/>
      <c r="E372" s="2"/>
      <c r="F372" s="2"/>
    </row>
    <row r="373" spans="1:6" x14ac:dyDescent="0.25">
      <c r="A373" s="4">
        <v>45890</v>
      </c>
      <c r="B373" s="2"/>
      <c r="C373" s="2"/>
      <c r="D373" s="2"/>
      <c r="E373" s="2"/>
      <c r="F373" s="2"/>
    </row>
    <row r="374" spans="1:6" x14ac:dyDescent="0.25">
      <c r="A374" s="4">
        <v>45891</v>
      </c>
      <c r="B374" s="2"/>
      <c r="C374" s="2"/>
      <c r="D374" s="2"/>
      <c r="E374" s="2"/>
      <c r="F374" s="2"/>
    </row>
    <row r="375" spans="1:6" x14ac:dyDescent="0.25">
      <c r="A375" s="4">
        <v>45892</v>
      </c>
      <c r="B375" s="2"/>
      <c r="C375" s="2"/>
      <c r="D375" s="2"/>
      <c r="E375" s="2"/>
      <c r="F375" s="2"/>
    </row>
    <row r="376" spans="1:6" x14ac:dyDescent="0.25">
      <c r="A376" s="4">
        <v>45893</v>
      </c>
      <c r="B376" s="2"/>
      <c r="C376" s="2"/>
      <c r="D376" s="2"/>
      <c r="E376" s="2"/>
      <c r="F376" s="2"/>
    </row>
    <row r="377" spans="1:6" x14ac:dyDescent="0.25">
      <c r="A377" s="4">
        <v>45894</v>
      </c>
      <c r="B377" s="2"/>
      <c r="C377" s="2"/>
      <c r="D377" s="2"/>
      <c r="E377" s="2"/>
      <c r="F377" s="2"/>
    </row>
    <row r="378" spans="1:6" x14ac:dyDescent="0.25">
      <c r="A378" s="4">
        <v>45895</v>
      </c>
      <c r="B378" s="2"/>
      <c r="C378" s="2"/>
      <c r="D378" s="2"/>
      <c r="E378" s="2"/>
      <c r="F378" s="2"/>
    </row>
    <row r="379" spans="1:6" x14ac:dyDescent="0.25">
      <c r="A379" s="4">
        <v>45896</v>
      </c>
      <c r="B379" s="2"/>
      <c r="C379" s="2"/>
      <c r="D379" s="2"/>
      <c r="E379" s="2"/>
      <c r="F379" s="2"/>
    </row>
    <row r="380" spans="1:6" x14ac:dyDescent="0.25">
      <c r="A380" s="4">
        <v>45897</v>
      </c>
      <c r="B380" s="2"/>
      <c r="C380" s="2"/>
      <c r="D380" s="2"/>
      <c r="E380" s="2"/>
      <c r="F380" s="2"/>
    </row>
    <row r="381" spans="1:6" x14ac:dyDescent="0.25">
      <c r="A381" s="4">
        <v>45898</v>
      </c>
      <c r="B381" s="2"/>
      <c r="C381" s="2"/>
      <c r="D381" s="2"/>
      <c r="E381" s="2"/>
      <c r="F381" s="2"/>
    </row>
    <row r="382" spans="1:6" x14ac:dyDescent="0.25">
      <c r="A382" s="4">
        <v>45899</v>
      </c>
      <c r="B382" s="2"/>
      <c r="C382" s="2"/>
      <c r="D382" s="2"/>
      <c r="E382" s="2"/>
      <c r="F382" s="2"/>
    </row>
    <row r="383" spans="1:6" x14ac:dyDescent="0.25">
      <c r="A383" s="4">
        <v>45900</v>
      </c>
      <c r="B383" s="2"/>
      <c r="C383" s="2"/>
      <c r="D383" s="2"/>
      <c r="E383" s="2"/>
      <c r="F383" s="2"/>
    </row>
    <row r="384" spans="1:6" x14ac:dyDescent="0.25">
      <c r="A384" s="4">
        <v>45901</v>
      </c>
      <c r="B384" s="2"/>
      <c r="C384" s="2"/>
      <c r="D384" s="2"/>
      <c r="E384" s="2"/>
      <c r="F384" s="2"/>
    </row>
    <row r="385" spans="1:6" x14ac:dyDescent="0.25">
      <c r="A385" s="4">
        <v>45902</v>
      </c>
      <c r="B385" s="2"/>
      <c r="C385" s="2"/>
      <c r="D385" s="2"/>
      <c r="E385" s="2"/>
      <c r="F385" s="2"/>
    </row>
    <row r="386" spans="1:6" x14ac:dyDescent="0.25">
      <c r="A386" s="4">
        <v>45903</v>
      </c>
      <c r="B386" s="2"/>
      <c r="C386" s="2"/>
      <c r="D386" s="2"/>
      <c r="E386" s="2"/>
      <c r="F386" s="2"/>
    </row>
    <row r="387" spans="1:6" x14ac:dyDescent="0.25">
      <c r="A387" s="4">
        <v>45904</v>
      </c>
      <c r="B387" s="2"/>
      <c r="C387" s="2"/>
      <c r="D387" s="2"/>
      <c r="E387" s="2"/>
      <c r="F387" s="2"/>
    </row>
    <row r="388" spans="1:6" x14ac:dyDescent="0.25">
      <c r="A388" s="4">
        <v>45905</v>
      </c>
      <c r="B388" s="2"/>
      <c r="C388" s="2"/>
      <c r="D388" s="2"/>
      <c r="E388" s="2"/>
      <c r="F388" s="2"/>
    </row>
    <row r="389" spans="1:6" x14ac:dyDescent="0.25">
      <c r="A389" s="4">
        <v>45906</v>
      </c>
      <c r="B389" s="2"/>
      <c r="C389" s="2"/>
      <c r="D389" s="2"/>
      <c r="E389" s="2"/>
      <c r="F389" s="2"/>
    </row>
    <row r="390" spans="1:6" x14ac:dyDescent="0.25">
      <c r="A390" s="4">
        <v>45907</v>
      </c>
      <c r="B390" s="2"/>
      <c r="C390" s="2"/>
      <c r="D390" s="2"/>
      <c r="E390" s="2"/>
      <c r="F390" s="2"/>
    </row>
    <row r="391" spans="1:6" x14ac:dyDescent="0.25">
      <c r="A391" s="4">
        <v>45908</v>
      </c>
      <c r="B391" s="2"/>
      <c r="C391" s="2"/>
      <c r="D391" s="2"/>
      <c r="E391" s="2"/>
      <c r="F391" s="2"/>
    </row>
    <row r="392" spans="1:6" x14ac:dyDescent="0.25">
      <c r="A392" s="4">
        <v>45909</v>
      </c>
      <c r="B392" s="2"/>
      <c r="C392" s="2"/>
      <c r="D392" s="2"/>
      <c r="E392" s="2"/>
      <c r="F392" s="2"/>
    </row>
    <row r="393" spans="1:6" x14ac:dyDescent="0.25">
      <c r="A393" s="4">
        <v>45910</v>
      </c>
      <c r="B393" s="2"/>
      <c r="C393" s="2"/>
      <c r="D393" s="2"/>
      <c r="E393" s="2"/>
      <c r="F393" s="2"/>
    </row>
    <row r="394" spans="1:6" x14ac:dyDescent="0.25">
      <c r="A394" s="4">
        <v>45911</v>
      </c>
      <c r="B394" s="2"/>
      <c r="C394" s="2"/>
      <c r="D394" s="2"/>
      <c r="E394" s="2"/>
      <c r="F394" s="2"/>
    </row>
    <row r="395" spans="1:6" x14ac:dyDescent="0.25">
      <c r="A395" s="4">
        <v>45912</v>
      </c>
      <c r="B395" s="2" t="s">
        <v>5351</v>
      </c>
      <c r="C395" s="2"/>
      <c r="D395" s="2"/>
      <c r="E395" s="2"/>
      <c r="F395" s="2"/>
    </row>
    <row r="396" spans="1:6" x14ac:dyDescent="0.25">
      <c r="A396" s="4">
        <v>45913</v>
      </c>
      <c r="B396" s="2" t="s">
        <v>5351</v>
      </c>
      <c r="C396" s="2" t="s">
        <v>5363</v>
      </c>
      <c r="D396" s="2"/>
      <c r="E396" s="2"/>
      <c r="F396" s="2"/>
    </row>
    <row r="397" spans="1:6" x14ac:dyDescent="0.25">
      <c r="A397" s="4">
        <v>45914</v>
      </c>
      <c r="B397" s="2" t="s">
        <v>5364</v>
      </c>
      <c r="C397" s="2"/>
      <c r="D397" s="2"/>
      <c r="E397" s="2"/>
      <c r="F397" s="2"/>
    </row>
    <row r="398" spans="1:6" x14ac:dyDescent="0.25">
      <c r="A398" s="4">
        <v>45915</v>
      </c>
      <c r="B398" s="2" t="s">
        <v>5388</v>
      </c>
      <c r="C398" s="2"/>
      <c r="D398" s="2"/>
      <c r="E398" s="2"/>
      <c r="F398" s="2"/>
    </row>
    <row r="399" spans="1:6" x14ac:dyDescent="0.25">
      <c r="A399" s="4">
        <v>45916</v>
      </c>
      <c r="B399" s="2" t="s">
        <v>5389</v>
      </c>
      <c r="C399" s="2" t="s">
        <v>5395</v>
      </c>
      <c r="D399" s="2">
        <v>60</v>
      </c>
      <c r="E399" s="2">
        <f>D399-D398</f>
        <v>60</v>
      </c>
      <c r="F399" s="2"/>
    </row>
    <row r="400" spans="1:6" x14ac:dyDescent="0.25">
      <c r="A400" s="4">
        <v>45917</v>
      </c>
      <c r="B400" s="2" t="s">
        <v>5397</v>
      </c>
      <c r="C400" s="2"/>
      <c r="D400" s="2">
        <v>75</v>
      </c>
      <c r="E400" s="2">
        <f t="shared" ref="E400:E409" si="6">D400-D399</f>
        <v>15</v>
      </c>
      <c r="F400" s="2"/>
    </row>
    <row r="401" spans="1:6" x14ac:dyDescent="0.25">
      <c r="A401" s="4">
        <v>45918</v>
      </c>
      <c r="B401" s="2" t="s">
        <v>651</v>
      </c>
      <c r="C401" s="2" t="s">
        <v>5412</v>
      </c>
      <c r="D401" s="2"/>
      <c r="E401" s="2">
        <f t="shared" si="6"/>
        <v>-75</v>
      </c>
      <c r="F401" s="2"/>
    </row>
    <row r="402" spans="1:6" x14ac:dyDescent="0.25">
      <c r="A402" s="4">
        <v>45919</v>
      </c>
      <c r="B402" s="2" t="s">
        <v>1299</v>
      </c>
      <c r="C402" s="2" t="s">
        <v>5420</v>
      </c>
      <c r="D402" s="2"/>
      <c r="E402" s="2">
        <f t="shared" si="6"/>
        <v>0</v>
      </c>
      <c r="F402" s="2"/>
    </row>
    <row r="403" spans="1:6" x14ac:dyDescent="0.25">
      <c r="A403" s="4">
        <v>45920</v>
      </c>
      <c r="B403" s="2" t="s">
        <v>5426</v>
      </c>
      <c r="C403" s="2" t="s">
        <v>5427</v>
      </c>
      <c r="D403" s="2"/>
      <c r="E403" s="2">
        <f t="shared" si="6"/>
        <v>0</v>
      </c>
      <c r="F403" s="2"/>
    </row>
    <row r="404" spans="1:6" x14ac:dyDescent="0.25">
      <c r="A404" s="4">
        <v>45921</v>
      </c>
      <c r="B404" s="2" t="s">
        <v>3862</v>
      </c>
      <c r="C404" s="2" t="s">
        <v>5433</v>
      </c>
      <c r="D404" s="2"/>
      <c r="E404" s="2">
        <f t="shared" si="6"/>
        <v>0</v>
      </c>
      <c r="F404" s="2"/>
    </row>
    <row r="405" spans="1:6" x14ac:dyDescent="0.25">
      <c r="A405" s="4">
        <v>45922</v>
      </c>
      <c r="B405" s="2"/>
      <c r="C405" s="2"/>
      <c r="D405" s="2"/>
      <c r="E405" s="2">
        <f t="shared" si="6"/>
        <v>0</v>
      </c>
      <c r="F405" s="2"/>
    </row>
    <row r="406" spans="1:6" x14ac:dyDescent="0.25">
      <c r="A406" s="4">
        <v>45923</v>
      </c>
      <c r="B406" s="2"/>
      <c r="C406" s="2"/>
      <c r="D406" s="2"/>
      <c r="E406" s="2">
        <f t="shared" si="6"/>
        <v>0</v>
      </c>
      <c r="F406" s="2"/>
    </row>
    <row r="407" spans="1:6" x14ac:dyDescent="0.25">
      <c r="A407" s="4">
        <v>45924</v>
      </c>
      <c r="B407" s="2"/>
      <c r="C407" s="2"/>
      <c r="D407" s="2"/>
      <c r="E407" s="2">
        <f t="shared" si="6"/>
        <v>0</v>
      </c>
      <c r="F407" s="2"/>
    </row>
    <row r="408" spans="1:6" x14ac:dyDescent="0.25">
      <c r="A408" s="4">
        <v>45925</v>
      </c>
      <c r="B408" s="2"/>
      <c r="C408" s="2"/>
      <c r="D408" s="2"/>
      <c r="E408" s="2">
        <f t="shared" si="6"/>
        <v>0</v>
      </c>
      <c r="F408" s="2"/>
    </row>
    <row r="409" spans="1:6" x14ac:dyDescent="0.25">
      <c r="A409" s="4">
        <v>45926</v>
      </c>
      <c r="B409" s="2"/>
      <c r="C409" s="2"/>
      <c r="D409" s="2"/>
      <c r="E409" s="2">
        <f t="shared" si="6"/>
        <v>0</v>
      </c>
      <c r="F409" s="2"/>
    </row>
    <row r="410" spans="1:6" x14ac:dyDescent="0.25">
      <c r="A410" s="4">
        <v>45927</v>
      </c>
      <c r="B410" s="2"/>
      <c r="C410" s="2"/>
      <c r="D410" s="2"/>
      <c r="E410" s="2"/>
      <c r="F410" s="2"/>
    </row>
    <row r="411" spans="1:6" x14ac:dyDescent="0.25">
      <c r="A411" s="4">
        <v>45928</v>
      </c>
      <c r="B411" s="2"/>
      <c r="C411" s="2"/>
      <c r="D411" s="2"/>
      <c r="E411" s="2"/>
      <c r="F411" s="2"/>
    </row>
    <row r="412" spans="1:6" x14ac:dyDescent="0.25">
      <c r="A412" s="4">
        <v>45929</v>
      </c>
      <c r="B412" s="2"/>
      <c r="C412" s="2"/>
      <c r="D412" s="2"/>
      <c r="E412" s="2"/>
      <c r="F412" s="2"/>
    </row>
    <row r="413" spans="1:6" x14ac:dyDescent="0.25">
      <c r="A413" s="4">
        <v>45930</v>
      </c>
      <c r="B413" s="2"/>
      <c r="C413" s="2"/>
      <c r="D413" s="2"/>
      <c r="E413" s="2"/>
      <c r="F413" s="2"/>
    </row>
    <row r="414" spans="1:6" x14ac:dyDescent="0.25">
      <c r="A414" s="2"/>
      <c r="B414" s="2"/>
      <c r="C414" s="2"/>
      <c r="D414" s="2"/>
      <c r="E414" s="2"/>
      <c r="F414" s="2"/>
    </row>
    <row r="415" spans="1:6" x14ac:dyDescent="0.25">
      <c r="A415" s="2"/>
      <c r="B415" s="2"/>
      <c r="C415" s="2"/>
      <c r="D415" s="2"/>
      <c r="E415" s="2"/>
      <c r="F415" s="2"/>
    </row>
    <row r="416" spans="1:6" x14ac:dyDescent="0.25">
      <c r="A416" s="2"/>
      <c r="B416" s="2"/>
      <c r="C416" s="2"/>
      <c r="D416" s="2"/>
      <c r="E416" s="2"/>
      <c r="F416" s="2"/>
    </row>
    <row r="417" spans="1:6" x14ac:dyDescent="0.25">
      <c r="A417" s="2"/>
      <c r="B417" s="2"/>
      <c r="C417" s="2"/>
      <c r="D417" s="2"/>
      <c r="E417" s="2"/>
      <c r="F417" s="2"/>
    </row>
    <row r="418" spans="1:6" x14ac:dyDescent="0.25">
      <c r="A418" s="2"/>
      <c r="B418" s="2"/>
      <c r="C418" s="2"/>
      <c r="D418" s="2"/>
      <c r="E418" s="2"/>
      <c r="F418" s="2"/>
    </row>
    <row r="419" spans="1:6" x14ac:dyDescent="0.25">
      <c r="A419" s="2"/>
      <c r="B419" s="2"/>
      <c r="C419" s="2"/>
      <c r="D419" s="2"/>
      <c r="E419" s="2"/>
      <c r="F419" s="2"/>
    </row>
    <row r="420" spans="1:6" x14ac:dyDescent="0.25">
      <c r="A420" s="2"/>
      <c r="B420" s="2"/>
      <c r="C420" s="2"/>
      <c r="D420" s="2"/>
      <c r="E420" s="2"/>
      <c r="F420" s="2"/>
    </row>
  </sheetData>
  <phoneticPr fontId="6" type="noConversion"/>
  <pageMargins left="0.7" right="0.7" top="0.75" bottom="0.75" header="0.3" footer="0.3"/>
  <pageSetup paperSize="9" scale="53" orientation="portrait" horizontalDpi="4294967293" verticalDpi="0" r:id="rId1"/>
  <colBreaks count="1" manualBreakCount="1">
    <brk id="5" max="1048575" man="1"/>
  </colBreak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B3:G120"/>
  <sheetViews>
    <sheetView workbookViewId="0">
      <pane ySplit="4" topLeftCell="A110" activePane="bottomLeft" state="frozen"/>
      <selection pane="bottomLeft" activeCell="E86" sqref="E86"/>
    </sheetView>
  </sheetViews>
  <sheetFormatPr defaultRowHeight="15" x14ac:dyDescent="0.25"/>
  <cols>
    <col min="2" max="2" width="18" bestFit="1" customWidth="1"/>
    <col min="3" max="3" width="72" bestFit="1" customWidth="1"/>
    <col min="4" max="4" width="42.140625" bestFit="1" customWidth="1"/>
    <col min="5" max="5" width="11.85546875" bestFit="1" customWidth="1"/>
    <col min="6" max="6" width="8.42578125" bestFit="1" customWidth="1"/>
    <col min="7" max="7" width="11" bestFit="1" customWidth="1"/>
  </cols>
  <sheetData>
    <row r="3" spans="2:7" x14ac:dyDescent="0.25">
      <c r="B3" s="53" t="s">
        <v>5236</v>
      </c>
    </row>
    <row r="4" spans="2:7" ht="15.75" x14ac:dyDescent="0.25">
      <c r="B4" s="10" t="s">
        <v>0</v>
      </c>
      <c r="C4" s="11" t="s">
        <v>1</v>
      </c>
      <c r="D4" s="11" t="s">
        <v>2</v>
      </c>
      <c r="E4" s="11" t="s">
        <v>934</v>
      </c>
      <c r="F4" s="11" t="s">
        <v>1095</v>
      </c>
      <c r="G4" s="11" t="s">
        <v>1507</v>
      </c>
    </row>
    <row r="5" spans="2:7" x14ac:dyDescent="0.25">
      <c r="B5" s="4">
        <v>45817</v>
      </c>
      <c r="C5" s="2" t="s">
        <v>1528</v>
      </c>
      <c r="D5" s="115" t="s">
        <v>4214</v>
      </c>
      <c r="E5" s="23">
        <v>0</v>
      </c>
      <c r="F5" s="2"/>
      <c r="G5" s="2"/>
    </row>
    <row r="6" spans="2:7" x14ac:dyDescent="0.25">
      <c r="B6" s="4">
        <v>45818</v>
      </c>
      <c r="C6" s="2"/>
      <c r="D6" s="2"/>
      <c r="E6" s="23">
        <v>0</v>
      </c>
      <c r="F6" s="2">
        <f t="shared" ref="F6:F69" si="0">E6-E5</f>
        <v>0</v>
      </c>
      <c r="G6" s="2"/>
    </row>
    <row r="7" spans="2:7" x14ac:dyDescent="0.25">
      <c r="B7" s="4">
        <v>45819</v>
      </c>
      <c r="C7" s="2"/>
      <c r="D7" s="2"/>
      <c r="E7" s="23"/>
      <c r="F7" s="2">
        <f t="shared" si="0"/>
        <v>0</v>
      </c>
      <c r="G7" s="2"/>
    </row>
    <row r="8" spans="2:7" x14ac:dyDescent="0.25">
      <c r="B8" s="4">
        <v>45820</v>
      </c>
      <c r="C8" s="2" t="s">
        <v>1528</v>
      </c>
      <c r="D8" s="58"/>
      <c r="E8" s="23"/>
      <c r="F8" s="2">
        <f t="shared" si="0"/>
        <v>0</v>
      </c>
      <c r="G8" s="2"/>
    </row>
    <row r="9" spans="2:7" x14ac:dyDescent="0.25">
      <c r="B9" s="4">
        <v>45821</v>
      </c>
      <c r="C9" s="2" t="s">
        <v>522</v>
      </c>
      <c r="D9" s="58"/>
      <c r="E9" s="23"/>
      <c r="F9" s="2">
        <f t="shared" si="0"/>
        <v>0</v>
      </c>
      <c r="G9" s="2"/>
    </row>
    <row r="10" spans="2:7" x14ac:dyDescent="0.25">
      <c r="B10" s="4">
        <v>45822</v>
      </c>
      <c r="C10" s="2" t="s">
        <v>3428</v>
      </c>
      <c r="D10" s="58"/>
      <c r="E10" s="23">
        <v>0</v>
      </c>
      <c r="F10" s="2">
        <f t="shared" si="0"/>
        <v>0</v>
      </c>
      <c r="G10" s="2"/>
    </row>
    <row r="11" spans="2:7" x14ac:dyDescent="0.25">
      <c r="B11" s="4">
        <v>45823</v>
      </c>
      <c r="C11" s="2" t="s">
        <v>4253</v>
      </c>
      <c r="D11" s="2" t="s">
        <v>4254</v>
      </c>
      <c r="E11" s="23">
        <v>9</v>
      </c>
      <c r="F11" s="2">
        <f t="shared" si="0"/>
        <v>9</v>
      </c>
      <c r="G11" s="2"/>
    </row>
    <row r="12" spans="2:7" x14ac:dyDescent="0.25">
      <c r="B12" s="4">
        <v>45824</v>
      </c>
      <c r="C12" s="2" t="s">
        <v>4265</v>
      </c>
      <c r="D12" s="2"/>
      <c r="E12" s="23">
        <v>16</v>
      </c>
      <c r="F12" s="2">
        <f t="shared" si="0"/>
        <v>7</v>
      </c>
      <c r="G12" s="2"/>
    </row>
    <row r="13" spans="2:7" x14ac:dyDescent="0.25">
      <c r="B13" s="4">
        <v>45825</v>
      </c>
      <c r="C13" s="2" t="s">
        <v>4294</v>
      </c>
      <c r="D13" s="2"/>
      <c r="E13" s="23">
        <v>21</v>
      </c>
      <c r="F13" s="2">
        <f t="shared" si="0"/>
        <v>5</v>
      </c>
      <c r="G13" s="2"/>
    </row>
    <row r="14" spans="2:7" x14ac:dyDescent="0.25">
      <c r="B14" s="4">
        <v>45826</v>
      </c>
      <c r="C14" s="2" t="s">
        <v>4295</v>
      </c>
      <c r="D14" s="2" t="s">
        <v>4309</v>
      </c>
      <c r="E14" s="23">
        <v>28</v>
      </c>
      <c r="F14" s="2">
        <f t="shared" si="0"/>
        <v>7</v>
      </c>
      <c r="G14" s="2"/>
    </row>
    <row r="15" spans="2:7" x14ac:dyDescent="0.25">
      <c r="B15" s="4">
        <v>45827</v>
      </c>
      <c r="C15" s="2" t="s">
        <v>4345</v>
      </c>
      <c r="D15" s="2"/>
      <c r="E15" s="23">
        <v>21</v>
      </c>
      <c r="F15" s="2">
        <f t="shared" si="0"/>
        <v>-7</v>
      </c>
      <c r="G15" s="2"/>
    </row>
    <row r="16" spans="2:7" x14ac:dyDescent="0.25">
      <c r="B16" s="4">
        <v>45828</v>
      </c>
      <c r="C16" s="2"/>
      <c r="D16" s="2"/>
      <c r="E16" s="23">
        <v>21</v>
      </c>
      <c r="F16" s="2">
        <f t="shared" si="0"/>
        <v>0</v>
      </c>
      <c r="G16" s="2"/>
    </row>
    <row r="17" spans="2:7" x14ac:dyDescent="0.25">
      <c r="B17" s="4">
        <v>45829</v>
      </c>
      <c r="C17" s="2" t="s">
        <v>4366</v>
      </c>
      <c r="D17" s="2"/>
      <c r="E17" s="23">
        <v>28</v>
      </c>
      <c r="F17" s="2">
        <f t="shared" si="0"/>
        <v>7</v>
      </c>
      <c r="G17" s="2"/>
    </row>
    <row r="18" spans="2:7" x14ac:dyDescent="0.25">
      <c r="B18" s="4">
        <v>45830</v>
      </c>
      <c r="C18" s="58" t="s">
        <v>480</v>
      </c>
      <c r="D18" s="2"/>
      <c r="E18" s="23">
        <v>28</v>
      </c>
      <c r="F18" s="2">
        <f t="shared" si="0"/>
        <v>0</v>
      </c>
      <c r="G18" s="2"/>
    </row>
    <row r="19" spans="2:7" x14ac:dyDescent="0.25">
      <c r="B19" s="4">
        <v>45831</v>
      </c>
      <c r="C19" s="58" t="s">
        <v>4375</v>
      </c>
      <c r="D19" s="2"/>
      <c r="E19" s="23">
        <v>28</v>
      </c>
      <c r="F19" s="2">
        <f t="shared" si="0"/>
        <v>0</v>
      </c>
      <c r="G19" s="2"/>
    </row>
    <row r="20" spans="2:7" x14ac:dyDescent="0.25">
      <c r="B20" s="4">
        <v>45832</v>
      </c>
      <c r="C20" s="58" t="s">
        <v>4395</v>
      </c>
      <c r="D20" s="2"/>
      <c r="E20" s="23">
        <v>28</v>
      </c>
      <c r="F20" s="2">
        <f t="shared" si="0"/>
        <v>0</v>
      </c>
      <c r="G20" s="2"/>
    </row>
    <row r="21" spans="2:7" x14ac:dyDescent="0.25">
      <c r="B21" s="4">
        <v>45833</v>
      </c>
      <c r="C21" s="2" t="s">
        <v>4408</v>
      </c>
      <c r="D21" s="2" t="s">
        <v>4410</v>
      </c>
      <c r="E21" s="23">
        <v>34</v>
      </c>
      <c r="F21" s="2">
        <f t="shared" si="0"/>
        <v>6</v>
      </c>
      <c r="G21" s="2"/>
    </row>
    <row r="22" spans="2:7" x14ac:dyDescent="0.25">
      <c r="B22" s="4">
        <v>45834</v>
      </c>
      <c r="C22" s="2"/>
      <c r="D22" s="2"/>
      <c r="E22" s="23">
        <v>34</v>
      </c>
      <c r="F22" s="2">
        <f t="shared" si="0"/>
        <v>0</v>
      </c>
      <c r="G22" s="2"/>
    </row>
    <row r="23" spans="2:7" x14ac:dyDescent="0.25">
      <c r="B23" s="4">
        <v>45835</v>
      </c>
      <c r="C23" s="2" t="s">
        <v>4448</v>
      </c>
      <c r="D23" s="2"/>
      <c r="E23" s="23">
        <v>34</v>
      </c>
      <c r="F23" s="2">
        <f t="shared" si="0"/>
        <v>0</v>
      </c>
      <c r="G23" s="2"/>
    </row>
    <row r="24" spans="2:7" x14ac:dyDescent="0.25">
      <c r="B24" s="4">
        <v>45836</v>
      </c>
      <c r="C24" s="2" t="s">
        <v>4462</v>
      </c>
      <c r="D24" s="2"/>
      <c r="E24" s="23">
        <v>34</v>
      </c>
      <c r="F24" s="2">
        <f t="shared" si="0"/>
        <v>0</v>
      </c>
      <c r="G24" s="2"/>
    </row>
    <row r="25" spans="2:7" x14ac:dyDescent="0.25">
      <c r="B25" s="4">
        <v>45837</v>
      </c>
      <c r="C25" s="2" t="s">
        <v>4469</v>
      </c>
      <c r="D25" s="2"/>
      <c r="E25" s="23">
        <v>34</v>
      </c>
      <c r="F25" s="2">
        <f t="shared" si="0"/>
        <v>0</v>
      </c>
      <c r="G25" s="2"/>
    </row>
    <row r="26" spans="2:7" x14ac:dyDescent="0.25">
      <c r="B26" s="4">
        <v>45838</v>
      </c>
      <c r="C26" s="2" t="s">
        <v>4470</v>
      </c>
      <c r="D26" s="2" t="s">
        <v>4482</v>
      </c>
      <c r="E26" s="23">
        <v>35</v>
      </c>
      <c r="F26" s="2">
        <f t="shared" si="0"/>
        <v>1</v>
      </c>
      <c r="G26" s="2"/>
    </row>
    <row r="27" spans="2:7" x14ac:dyDescent="0.25">
      <c r="B27" s="4">
        <v>45839</v>
      </c>
      <c r="C27" s="2" t="s">
        <v>4489</v>
      </c>
      <c r="D27" s="2"/>
      <c r="E27" s="23">
        <v>35</v>
      </c>
      <c r="F27" s="2">
        <f t="shared" si="0"/>
        <v>0</v>
      </c>
      <c r="G27" s="2"/>
    </row>
    <row r="28" spans="2:7" x14ac:dyDescent="0.25">
      <c r="B28" s="4">
        <v>45840</v>
      </c>
      <c r="C28" s="2" t="s">
        <v>4508</v>
      </c>
      <c r="D28" s="2"/>
      <c r="E28" s="23">
        <v>35</v>
      </c>
      <c r="F28" s="2">
        <f t="shared" si="0"/>
        <v>0</v>
      </c>
      <c r="G28" s="2"/>
    </row>
    <row r="29" spans="2:7" x14ac:dyDescent="0.25">
      <c r="B29" s="4">
        <v>45841</v>
      </c>
      <c r="C29" s="2" t="s">
        <v>4508</v>
      </c>
      <c r="D29" s="2"/>
      <c r="E29" s="23">
        <v>35</v>
      </c>
      <c r="F29" s="2">
        <f t="shared" si="0"/>
        <v>0</v>
      </c>
      <c r="G29" s="2"/>
    </row>
    <row r="30" spans="2:7" x14ac:dyDescent="0.25">
      <c r="B30" s="4">
        <v>45842</v>
      </c>
      <c r="C30" s="2" t="s">
        <v>4508</v>
      </c>
      <c r="D30" s="2"/>
      <c r="E30" s="23">
        <v>35</v>
      </c>
      <c r="F30" s="2">
        <f t="shared" si="0"/>
        <v>0</v>
      </c>
      <c r="G30" s="2"/>
    </row>
    <row r="31" spans="2:7" x14ac:dyDescent="0.25">
      <c r="B31" s="4">
        <v>45843</v>
      </c>
      <c r="C31" s="2" t="s">
        <v>4517</v>
      </c>
      <c r="D31" s="2"/>
      <c r="E31" s="23">
        <v>10</v>
      </c>
      <c r="F31" s="2">
        <f t="shared" si="0"/>
        <v>-25</v>
      </c>
      <c r="G31" s="2"/>
    </row>
    <row r="32" spans="2:7" x14ac:dyDescent="0.25">
      <c r="B32" s="4">
        <v>45844</v>
      </c>
      <c r="C32" s="2" t="s">
        <v>4518</v>
      </c>
      <c r="D32" s="2"/>
      <c r="E32" s="23">
        <v>18</v>
      </c>
      <c r="F32" s="2">
        <f t="shared" si="0"/>
        <v>8</v>
      </c>
      <c r="G32" s="2"/>
    </row>
    <row r="33" spans="2:7" x14ac:dyDescent="0.25">
      <c r="B33" s="4">
        <v>45845</v>
      </c>
      <c r="C33" s="2" t="s">
        <v>4539</v>
      </c>
      <c r="D33" s="2"/>
      <c r="E33" s="23">
        <v>26</v>
      </c>
      <c r="F33" s="2">
        <f t="shared" si="0"/>
        <v>8</v>
      </c>
      <c r="G33" s="2"/>
    </row>
    <row r="34" spans="2:7" x14ac:dyDescent="0.25">
      <c r="B34" s="4">
        <v>45846</v>
      </c>
      <c r="C34" s="2" t="s">
        <v>4551</v>
      </c>
      <c r="D34" s="2"/>
      <c r="E34" s="23">
        <v>34</v>
      </c>
      <c r="F34" s="2">
        <f t="shared" si="0"/>
        <v>8</v>
      </c>
      <c r="G34" s="2"/>
    </row>
    <row r="35" spans="2:7" x14ac:dyDescent="0.25">
      <c r="B35" s="4">
        <v>45847</v>
      </c>
      <c r="C35" s="2" t="s">
        <v>4559</v>
      </c>
      <c r="D35" s="2"/>
      <c r="E35" s="23">
        <v>35</v>
      </c>
      <c r="F35" s="2">
        <f t="shared" si="0"/>
        <v>1</v>
      </c>
      <c r="G35" s="2"/>
    </row>
    <row r="36" spans="2:7" x14ac:dyDescent="0.25">
      <c r="B36" s="4">
        <v>45848</v>
      </c>
      <c r="C36" s="2" t="s">
        <v>4560</v>
      </c>
      <c r="D36" s="2"/>
      <c r="E36" s="23">
        <v>35</v>
      </c>
      <c r="F36" s="2">
        <f t="shared" si="0"/>
        <v>0</v>
      </c>
      <c r="G36" s="2"/>
    </row>
    <row r="37" spans="2:7" x14ac:dyDescent="0.25">
      <c r="B37" s="4">
        <v>45849</v>
      </c>
      <c r="C37" s="2" t="s">
        <v>4561</v>
      </c>
      <c r="D37" s="2"/>
      <c r="E37" s="23">
        <v>35</v>
      </c>
      <c r="F37" s="2">
        <f t="shared" si="0"/>
        <v>0</v>
      </c>
      <c r="G37" s="2"/>
    </row>
    <row r="38" spans="2:7" x14ac:dyDescent="0.25">
      <c r="B38" s="4">
        <v>45850</v>
      </c>
      <c r="C38" s="2" t="s">
        <v>4569</v>
      </c>
      <c r="D38" s="2"/>
      <c r="E38" s="23">
        <v>35</v>
      </c>
      <c r="F38" s="2">
        <f t="shared" si="0"/>
        <v>0</v>
      </c>
      <c r="G38" s="2"/>
    </row>
    <row r="39" spans="2:7" x14ac:dyDescent="0.25">
      <c r="B39" s="4">
        <v>45851</v>
      </c>
      <c r="C39" s="2" t="s">
        <v>4570</v>
      </c>
      <c r="D39" s="2"/>
      <c r="E39" s="23">
        <v>28.5</v>
      </c>
      <c r="F39" s="2">
        <f t="shared" si="0"/>
        <v>-6.5</v>
      </c>
      <c r="G39" s="2"/>
    </row>
    <row r="40" spans="2:7" x14ac:dyDescent="0.25">
      <c r="B40" s="4">
        <v>45852</v>
      </c>
      <c r="C40" s="2" t="s">
        <v>4583</v>
      </c>
      <c r="D40" s="2" t="s">
        <v>4586</v>
      </c>
      <c r="E40" s="23">
        <v>36</v>
      </c>
      <c r="F40" s="2">
        <f t="shared" si="0"/>
        <v>7.5</v>
      </c>
      <c r="G40" s="2"/>
    </row>
    <row r="41" spans="2:7" x14ac:dyDescent="0.25">
      <c r="B41" s="4">
        <v>45853</v>
      </c>
      <c r="C41" s="2" t="s">
        <v>4601</v>
      </c>
      <c r="D41" s="2" t="s">
        <v>4604</v>
      </c>
      <c r="E41" s="23">
        <v>37</v>
      </c>
      <c r="F41" s="2">
        <f t="shared" si="0"/>
        <v>1</v>
      </c>
      <c r="G41" s="2"/>
    </row>
    <row r="42" spans="2:7" x14ac:dyDescent="0.25">
      <c r="B42" s="4">
        <v>45854</v>
      </c>
      <c r="C42" s="2" t="s">
        <v>4601</v>
      </c>
      <c r="D42" s="2" t="s">
        <v>4605</v>
      </c>
      <c r="E42" s="23">
        <v>37</v>
      </c>
      <c r="F42" s="2">
        <f t="shared" si="0"/>
        <v>0</v>
      </c>
      <c r="G42" s="2"/>
    </row>
    <row r="43" spans="2:7" x14ac:dyDescent="0.25">
      <c r="B43" s="4">
        <v>45855</v>
      </c>
      <c r="C43" s="2" t="s">
        <v>4611</v>
      </c>
      <c r="D43" s="2"/>
      <c r="E43" s="23">
        <v>38.5</v>
      </c>
      <c r="F43" s="2">
        <f t="shared" si="0"/>
        <v>1.5</v>
      </c>
      <c r="G43" s="2"/>
    </row>
    <row r="44" spans="2:7" x14ac:dyDescent="0.25">
      <c r="B44" s="4">
        <v>45856</v>
      </c>
      <c r="C44" s="2" t="s">
        <v>4621</v>
      </c>
      <c r="D44" s="2"/>
      <c r="E44" s="23">
        <v>40</v>
      </c>
      <c r="F44" s="2">
        <f t="shared" si="0"/>
        <v>1.5</v>
      </c>
      <c r="G44" s="2"/>
    </row>
    <row r="45" spans="2:7" x14ac:dyDescent="0.25">
      <c r="B45" s="4">
        <v>45857</v>
      </c>
      <c r="C45" s="2" t="s">
        <v>4633</v>
      </c>
      <c r="D45" s="2"/>
      <c r="E45" s="23">
        <v>41</v>
      </c>
      <c r="F45" s="2">
        <f t="shared" si="0"/>
        <v>1</v>
      </c>
      <c r="G45" s="2"/>
    </row>
    <row r="46" spans="2:7" x14ac:dyDescent="0.25">
      <c r="B46" s="4">
        <v>45858</v>
      </c>
      <c r="C46" s="2" t="s">
        <v>480</v>
      </c>
      <c r="D46" s="2"/>
      <c r="E46" s="23">
        <v>41</v>
      </c>
      <c r="F46" s="2">
        <f t="shared" si="0"/>
        <v>0</v>
      </c>
      <c r="G46" s="2"/>
    </row>
    <row r="47" spans="2:7" x14ac:dyDescent="0.25">
      <c r="B47" s="4">
        <v>45859</v>
      </c>
      <c r="C47" s="2" t="s">
        <v>4664</v>
      </c>
      <c r="D47" s="2"/>
      <c r="E47" s="23">
        <v>42</v>
      </c>
      <c r="F47" s="2">
        <f t="shared" si="0"/>
        <v>1</v>
      </c>
      <c r="G47" s="2"/>
    </row>
    <row r="48" spans="2:7" x14ac:dyDescent="0.25">
      <c r="B48" s="4">
        <v>45860</v>
      </c>
      <c r="C48" s="2" t="s">
        <v>4666</v>
      </c>
      <c r="D48" s="2"/>
      <c r="E48" s="23">
        <v>43</v>
      </c>
      <c r="F48" s="2">
        <f t="shared" si="0"/>
        <v>1</v>
      </c>
      <c r="G48" s="2"/>
    </row>
    <row r="49" spans="2:7" x14ac:dyDescent="0.25">
      <c r="B49" s="4">
        <v>45861</v>
      </c>
      <c r="C49" s="2" t="s">
        <v>4684</v>
      </c>
      <c r="D49" s="2"/>
      <c r="E49" s="23">
        <v>45</v>
      </c>
      <c r="F49" s="2">
        <f t="shared" si="0"/>
        <v>2</v>
      </c>
      <c r="G49" s="2"/>
    </row>
    <row r="50" spans="2:7" x14ac:dyDescent="0.25">
      <c r="B50" s="4">
        <v>45862</v>
      </c>
      <c r="C50" s="2" t="s">
        <v>4685</v>
      </c>
      <c r="D50" s="2"/>
      <c r="E50" s="23">
        <v>47</v>
      </c>
      <c r="F50" s="2">
        <f t="shared" si="0"/>
        <v>2</v>
      </c>
      <c r="G50" s="2"/>
    </row>
    <row r="51" spans="2:7" x14ac:dyDescent="0.25">
      <c r="B51" s="4">
        <v>45863</v>
      </c>
      <c r="C51" s="2" t="s">
        <v>4694</v>
      </c>
      <c r="D51" s="2"/>
      <c r="E51" s="23">
        <v>48.5</v>
      </c>
      <c r="F51" s="2">
        <f t="shared" si="0"/>
        <v>1.5</v>
      </c>
      <c r="G51" s="2"/>
    </row>
    <row r="52" spans="2:7" x14ac:dyDescent="0.25">
      <c r="B52" s="4">
        <v>45864</v>
      </c>
      <c r="C52" s="2" t="s">
        <v>4702</v>
      </c>
      <c r="D52" s="2"/>
      <c r="E52" s="23">
        <v>49</v>
      </c>
      <c r="F52" s="2">
        <f t="shared" si="0"/>
        <v>0.5</v>
      </c>
      <c r="G52" s="2"/>
    </row>
    <row r="53" spans="2:7" x14ac:dyDescent="0.25">
      <c r="B53" s="4">
        <v>45865</v>
      </c>
      <c r="C53" s="2" t="s">
        <v>4702</v>
      </c>
      <c r="D53" s="2"/>
      <c r="E53" s="23">
        <v>49</v>
      </c>
      <c r="F53" s="2">
        <f t="shared" si="0"/>
        <v>0</v>
      </c>
      <c r="G53" s="2"/>
    </row>
    <row r="54" spans="2:7" x14ac:dyDescent="0.25">
      <c r="B54" s="4">
        <v>45866</v>
      </c>
      <c r="C54" s="2" t="s">
        <v>4716</v>
      </c>
      <c r="D54" s="2"/>
      <c r="E54" s="23">
        <v>49.5</v>
      </c>
      <c r="F54" s="2">
        <f t="shared" si="0"/>
        <v>0.5</v>
      </c>
      <c r="G54" s="2"/>
    </row>
    <row r="55" spans="2:7" x14ac:dyDescent="0.25">
      <c r="B55" s="4">
        <v>45867</v>
      </c>
      <c r="C55" s="2" t="s">
        <v>4804</v>
      </c>
      <c r="D55" s="2"/>
      <c r="E55" s="23">
        <v>49.5</v>
      </c>
      <c r="F55" s="2">
        <f t="shared" si="0"/>
        <v>0</v>
      </c>
      <c r="G55" s="2"/>
    </row>
    <row r="56" spans="2:7" x14ac:dyDescent="0.25">
      <c r="B56" s="4">
        <v>45868</v>
      </c>
      <c r="C56" s="2" t="s">
        <v>4806</v>
      </c>
      <c r="D56" s="2"/>
      <c r="E56" s="23">
        <v>50</v>
      </c>
      <c r="F56" s="2">
        <f t="shared" si="0"/>
        <v>0.5</v>
      </c>
      <c r="G56" s="2"/>
    </row>
    <row r="57" spans="2:7" x14ac:dyDescent="0.25">
      <c r="B57" s="4">
        <v>45869</v>
      </c>
      <c r="C57" s="2" t="s">
        <v>4806</v>
      </c>
      <c r="D57" s="2"/>
      <c r="E57" s="23">
        <v>50</v>
      </c>
      <c r="F57" s="2">
        <f t="shared" si="0"/>
        <v>0</v>
      </c>
      <c r="G57" s="2"/>
    </row>
    <row r="58" spans="2:7" x14ac:dyDescent="0.25">
      <c r="B58" s="4">
        <v>45870</v>
      </c>
      <c r="C58" s="2" t="s">
        <v>4820</v>
      </c>
      <c r="D58" s="2"/>
      <c r="E58" s="23">
        <v>51</v>
      </c>
      <c r="F58" s="2">
        <f t="shared" si="0"/>
        <v>1</v>
      </c>
      <c r="G58" s="2"/>
    </row>
    <row r="59" spans="2:7" x14ac:dyDescent="0.25">
      <c r="B59" s="4">
        <v>45871</v>
      </c>
      <c r="C59" s="2" t="s">
        <v>4835</v>
      </c>
      <c r="D59" s="2"/>
      <c r="E59" s="23">
        <v>52.5</v>
      </c>
      <c r="F59" s="2">
        <f t="shared" si="0"/>
        <v>1.5</v>
      </c>
      <c r="G59" s="2"/>
    </row>
    <row r="60" spans="2:7" x14ac:dyDescent="0.25">
      <c r="B60" s="4">
        <v>45872</v>
      </c>
      <c r="C60" s="2" t="s">
        <v>4836</v>
      </c>
      <c r="D60" s="2"/>
      <c r="E60" s="23">
        <v>53.5</v>
      </c>
      <c r="F60" s="2">
        <f t="shared" si="0"/>
        <v>1</v>
      </c>
      <c r="G60" s="2"/>
    </row>
    <row r="61" spans="2:7" x14ac:dyDescent="0.25">
      <c r="B61" s="4">
        <v>45873</v>
      </c>
      <c r="C61" s="2" t="s">
        <v>4855</v>
      </c>
      <c r="D61" s="2"/>
      <c r="E61" s="23">
        <v>55</v>
      </c>
      <c r="F61" s="2">
        <f t="shared" si="0"/>
        <v>1.5</v>
      </c>
      <c r="G61" s="2"/>
    </row>
    <row r="62" spans="2:7" x14ac:dyDescent="0.25">
      <c r="B62" s="4">
        <v>45874</v>
      </c>
      <c r="C62" s="2" t="s">
        <v>4864</v>
      </c>
      <c r="D62" s="2" t="s">
        <v>4868</v>
      </c>
      <c r="E62" s="23">
        <v>56.3</v>
      </c>
      <c r="F62" s="2">
        <f t="shared" si="0"/>
        <v>1.2999999999999972</v>
      </c>
      <c r="G62" s="2"/>
    </row>
    <row r="63" spans="2:7" x14ac:dyDescent="0.25">
      <c r="B63" s="4">
        <v>45875</v>
      </c>
      <c r="C63" s="2" t="s">
        <v>4889</v>
      </c>
      <c r="D63" s="2" t="s">
        <v>4872</v>
      </c>
      <c r="E63" s="23">
        <v>57.5</v>
      </c>
      <c r="F63" s="2">
        <f>E63-E62</f>
        <v>1.2000000000000028</v>
      </c>
      <c r="G63" s="2"/>
    </row>
    <row r="64" spans="2:7" x14ac:dyDescent="0.25">
      <c r="B64" s="4">
        <v>45876</v>
      </c>
      <c r="C64" s="2" t="s">
        <v>4915</v>
      </c>
      <c r="D64" s="2" t="s">
        <v>4873</v>
      </c>
      <c r="E64" s="23">
        <v>58.5</v>
      </c>
      <c r="F64" s="2">
        <f t="shared" si="0"/>
        <v>1</v>
      </c>
      <c r="G64" s="2"/>
    </row>
    <row r="65" spans="2:7" x14ac:dyDescent="0.25">
      <c r="B65" s="4">
        <v>45877</v>
      </c>
      <c r="C65" s="2" t="s">
        <v>4929</v>
      </c>
      <c r="D65" s="2" t="s">
        <v>4874</v>
      </c>
      <c r="E65" s="23">
        <v>59.5</v>
      </c>
      <c r="F65" s="2">
        <f t="shared" si="0"/>
        <v>1</v>
      </c>
      <c r="G65" s="2"/>
    </row>
    <row r="66" spans="2:7" x14ac:dyDescent="0.25">
      <c r="B66" s="4">
        <v>45877</v>
      </c>
      <c r="C66" s="2"/>
      <c r="D66" s="2" t="s">
        <v>4875</v>
      </c>
      <c r="E66" s="23"/>
      <c r="F66" s="2">
        <f t="shared" si="0"/>
        <v>-59.5</v>
      </c>
      <c r="G66" s="2"/>
    </row>
    <row r="67" spans="2:7" x14ac:dyDescent="0.25">
      <c r="B67" s="4">
        <v>45877</v>
      </c>
      <c r="C67" s="2"/>
      <c r="D67" s="2" t="s">
        <v>4937</v>
      </c>
      <c r="E67" s="23"/>
      <c r="F67" s="2">
        <f t="shared" si="0"/>
        <v>0</v>
      </c>
      <c r="G67" s="2"/>
    </row>
    <row r="68" spans="2:7" x14ac:dyDescent="0.25">
      <c r="B68" s="4">
        <v>45878</v>
      </c>
      <c r="C68" s="2" t="s">
        <v>4929</v>
      </c>
      <c r="D68" s="2" t="s">
        <v>4947</v>
      </c>
      <c r="E68" s="23"/>
      <c r="F68" s="2">
        <f t="shared" si="0"/>
        <v>0</v>
      </c>
      <c r="G68" s="2"/>
    </row>
    <row r="69" spans="2:7" x14ac:dyDescent="0.25">
      <c r="B69" s="4">
        <v>45879</v>
      </c>
      <c r="C69" s="2" t="s">
        <v>4929</v>
      </c>
      <c r="D69" s="2" t="s">
        <v>4948</v>
      </c>
      <c r="E69" s="23"/>
      <c r="F69" s="2">
        <f t="shared" si="0"/>
        <v>0</v>
      </c>
      <c r="G69" s="2"/>
    </row>
    <row r="70" spans="2:7" x14ac:dyDescent="0.25">
      <c r="B70" s="4">
        <v>45880</v>
      </c>
      <c r="C70" s="2" t="s">
        <v>4968</v>
      </c>
      <c r="D70" s="2"/>
      <c r="E70" s="23">
        <v>61.2</v>
      </c>
      <c r="F70" s="2">
        <f t="shared" ref="F70:F98" si="1">E70-E69</f>
        <v>61.2</v>
      </c>
      <c r="G70" s="2"/>
    </row>
    <row r="71" spans="2:7" x14ac:dyDescent="0.25">
      <c r="B71" s="4">
        <v>45881</v>
      </c>
      <c r="C71" s="2" t="s">
        <v>4977</v>
      </c>
      <c r="D71" s="2"/>
      <c r="E71" s="23">
        <v>63.1</v>
      </c>
      <c r="F71" s="2">
        <f t="shared" si="1"/>
        <v>1.8999999999999986</v>
      </c>
      <c r="G71" s="2"/>
    </row>
    <row r="72" spans="2:7" x14ac:dyDescent="0.25">
      <c r="B72" s="4">
        <v>45882</v>
      </c>
      <c r="C72" s="2" t="s">
        <v>4998</v>
      </c>
      <c r="D72" s="2"/>
      <c r="E72" s="23">
        <v>64.5</v>
      </c>
      <c r="F72" s="2">
        <f t="shared" si="1"/>
        <v>1.3999999999999986</v>
      </c>
      <c r="G72" s="2"/>
    </row>
    <row r="73" spans="2:7" x14ac:dyDescent="0.25">
      <c r="B73" s="4">
        <v>45883</v>
      </c>
      <c r="C73" s="2" t="s">
        <v>5013</v>
      </c>
      <c r="D73" s="2"/>
      <c r="E73" s="23">
        <v>64.5</v>
      </c>
      <c r="F73" s="2">
        <f t="shared" si="1"/>
        <v>0</v>
      </c>
      <c r="G73" s="2"/>
    </row>
    <row r="74" spans="2:7" x14ac:dyDescent="0.25">
      <c r="B74" s="4">
        <v>45884</v>
      </c>
      <c r="C74" s="2" t="s">
        <v>5013</v>
      </c>
      <c r="D74" s="2" t="s">
        <v>5029</v>
      </c>
      <c r="E74" s="23">
        <v>64.5</v>
      </c>
      <c r="F74" s="2">
        <f t="shared" si="1"/>
        <v>0</v>
      </c>
      <c r="G74" s="2"/>
    </row>
    <row r="75" spans="2:7" x14ac:dyDescent="0.25">
      <c r="B75" s="4">
        <v>45885</v>
      </c>
      <c r="C75" s="2" t="s">
        <v>5013</v>
      </c>
      <c r="D75" s="2" t="s">
        <v>5030</v>
      </c>
      <c r="E75" s="23">
        <v>64.5</v>
      </c>
      <c r="F75" s="2">
        <f t="shared" si="1"/>
        <v>0</v>
      </c>
      <c r="G75" s="2"/>
    </row>
    <row r="76" spans="2:7" x14ac:dyDescent="0.25">
      <c r="B76" s="4">
        <v>45886</v>
      </c>
      <c r="C76" s="2" t="s">
        <v>480</v>
      </c>
      <c r="D76" s="2"/>
      <c r="E76" s="23">
        <v>64.5</v>
      </c>
      <c r="F76" s="2">
        <f t="shared" si="1"/>
        <v>0</v>
      </c>
      <c r="G76" s="2"/>
    </row>
    <row r="77" spans="2:7" x14ac:dyDescent="0.25">
      <c r="B77" s="4">
        <v>45887</v>
      </c>
      <c r="C77" s="2" t="s">
        <v>5058</v>
      </c>
      <c r="D77" s="2"/>
      <c r="E77" s="23">
        <v>65</v>
      </c>
      <c r="F77" s="2">
        <f t="shared" si="1"/>
        <v>0.5</v>
      </c>
      <c r="G77" s="2"/>
    </row>
    <row r="78" spans="2:7" x14ac:dyDescent="0.25">
      <c r="B78" s="4">
        <v>45888</v>
      </c>
      <c r="C78" s="2" t="s">
        <v>5069</v>
      </c>
      <c r="D78" s="2"/>
      <c r="E78" s="23">
        <v>65.7</v>
      </c>
      <c r="F78" s="2">
        <f t="shared" si="1"/>
        <v>0.70000000000000284</v>
      </c>
      <c r="G78" s="2"/>
    </row>
    <row r="79" spans="2:7" x14ac:dyDescent="0.25">
      <c r="B79" s="4">
        <v>45889</v>
      </c>
      <c r="C79" s="2" t="s">
        <v>5081</v>
      </c>
      <c r="D79" s="2"/>
      <c r="E79" s="23">
        <v>67</v>
      </c>
      <c r="F79" s="2">
        <f t="shared" si="1"/>
        <v>1.2999999999999972</v>
      </c>
      <c r="G79" s="2"/>
    </row>
    <row r="80" spans="2:7" x14ac:dyDescent="0.25">
      <c r="B80" s="4">
        <v>45890</v>
      </c>
      <c r="C80" s="2" t="s">
        <v>5096</v>
      </c>
      <c r="D80" s="114" t="s">
        <v>5100</v>
      </c>
      <c r="E80" s="23">
        <v>68.8</v>
      </c>
      <c r="F80" s="2">
        <f t="shared" si="1"/>
        <v>1.7999999999999972</v>
      </c>
      <c r="G80" s="2"/>
    </row>
    <row r="81" spans="2:7" x14ac:dyDescent="0.25">
      <c r="B81" s="4">
        <v>45891</v>
      </c>
      <c r="C81" s="2" t="s">
        <v>5096</v>
      </c>
      <c r="D81" s="2" t="s">
        <v>5113</v>
      </c>
      <c r="E81" s="23">
        <v>68.8</v>
      </c>
      <c r="F81" s="2">
        <f t="shared" si="1"/>
        <v>0</v>
      </c>
      <c r="G81" s="2"/>
    </row>
    <row r="82" spans="2:7" x14ac:dyDescent="0.25">
      <c r="B82" s="4">
        <v>45892</v>
      </c>
      <c r="C82" s="2" t="s">
        <v>5096</v>
      </c>
      <c r="D82" s="2" t="s">
        <v>5149</v>
      </c>
      <c r="E82" s="23">
        <v>68.8</v>
      </c>
      <c r="F82" s="2">
        <f t="shared" si="1"/>
        <v>0</v>
      </c>
      <c r="G82" s="2"/>
    </row>
    <row r="83" spans="2:7" x14ac:dyDescent="0.25">
      <c r="B83" s="4">
        <v>45893</v>
      </c>
      <c r="C83" s="2" t="s">
        <v>5096</v>
      </c>
      <c r="D83" s="2"/>
      <c r="E83" s="23">
        <v>68.8</v>
      </c>
      <c r="F83" s="2">
        <f t="shared" si="1"/>
        <v>0</v>
      </c>
      <c r="G83" s="2"/>
    </row>
    <row r="84" spans="2:7" x14ac:dyDescent="0.25">
      <c r="B84" s="4">
        <v>45894</v>
      </c>
      <c r="C84" s="2" t="s">
        <v>5096</v>
      </c>
      <c r="D84" s="2" t="s">
        <v>5150</v>
      </c>
      <c r="E84" s="23">
        <v>68.8</v>
      </c>
      <c r="F84" s="2">
        <f t="shared" si="1"/>
        <v>0</v>
      </c>
      <c r="G84" s="2"/>
    </row>
    <row r="85" spans="2:7" x14ac:dyDescent="0.25">
      <c r="B85" s="4">
        <v>45895</v>
      </c>
      <c r="C85" s="2" t="s">
        <v>5096</v>
      </c>
      <c r="D85" s="2" t="s">
        <v>5160</v>
      </c>
      <c r="E85" s="23">
        <v>68.8</v>
      </c>
      <c r="F85" s="2">
        <f t="shared" si="1"/>
        <v>0</v>
      </c>
      <c r="G85" s="2"/>
    </row>
    <row r="86" spans="2:7" x14ac:dyDescent="0.25">
      <c r="B86" s="4">
        <v>45896</v>
      </c>
      <c r="C86" s="2" t="s">
        <v>5174</v>
      </c>
      <c r="D86" s="2"/>
      <c r="E86" s="23">
        <v>68.8</v>
      </c>
      <c r="F86" s="2">
        <f t="shared" si="1"/>
        <v>0</v>
      </c>
      <c r="G86" s="2"/>
    </row>
    <row r="87" spans="2:7" x14ac:dyDescent="0.25">
      <c r="B87" s="4">
        <v>45897</v>
      </c>
      <c r="C87" s="2" t="s">
        <v>5192</v>
      </c>
      <c r="D87" s="2"/>
      <c r="E87" s="2"/>
      <c r="F87" s="2">
        <f t="shared" si="1"/>
        <v>-68.8</v>
      </c>
      <c r="G87" s="2"/>
    </row>
    <row r="88" spans="2:7" x14ac:dyDescent="0.25">
      <c r="B88" s="4">
        <v>45898</v>
      </c>
      <c r="C88" s="2" t="s">
        <v>5207</v>
      </c>
      <c r="D88" s="2" t="s">
        <v>5208</v>
      </c>
      <c r="E88" s="2"/>
      <c r="F88" s="2">
        <f t="shared" si="1"/>
        <v>0</v>
      </c>
      <c r="G88" s="2"/>
    </row>
    <row r="89" spans="2:7" x14ac:dyDescent="0.25">
      <c r="B89" s="4">
        <v>45899</v>
      </c>
      <c r="C89" s="2" t="s">
        <v>5238</v>
      </c>
      <c r="D89" s="2"/>
      <c r="E89" s="23">
        <v>53.5</v>
      </c>
      <c r="F89" s="2">
        <f t="shared" si="1"/>
        <v>53.5</v>
      </c>
      <c r="G89" s="2"/>
    </row>
    <row r="90" spans="2:7" x14ac:dyDescent="0.25">
      <c r="B90" s="4">
        <v>45900</v>
      </c>
      <c r="C90" s="2" t="s">
        <v>5237</v>
      </c>
      <c r="D90" s="2"/>
      <c r="E90" s="23">
        <v>54</v>
      </c>
      <c r="F90" s="2">
        <f t="shared" si="1"/>
        <v>0.5</v>
      </c>
      <c r="G90" s="2"/>
    </row>
    <row r="91" spans="2:7" x14ac:dyDescent="0.25">
      <c r="B91" s="4">
        <v>45901</v>
      </c>
      <c r="C91" s="2" t="s">
        <v>5239</v>
      </c>
      <c r="D91" s="2"/>
      <c r="E91" s="23">
        <v>58</v>
      </c>
      <c r="F91" s="2">
        <f t="shared" si="1"/>
        <v>4</v>
      </c>
      <c r="G91" s="2"/>
    </row>
    <row r="92" spans="2:7" x14ac:dyDescent="0.25">
      <c r="B92" s="4">
        <v>45902</v>
      </c>
      <c r="C92" s="2" t="s">
        <v>5256</v>
      </c>
      <c r="D92" s="2"/>
      <c r="E92" s="23">
        <v>60</v>
      </c>
      <c r="F92" s="2">
        <f t="shared" si="1"/>
        <v>2</v>
      </c>
      <c r="G92" s="2"/>
    </row>
    <row r="93" spans="2:7" x14ac:dyDescent="0.25">
      <c r="B93" s="4">
        <v>45903</v>
      </c>
      <c r="C93" s="2" t="s">
        <v>5256</v>
      </c>
      <c r="D93" s="2"/>
      <c r="E93" s="23">
        <v>60</v>
      </c>
      <c r="F93" s="2">
        <f t="shared" si="1"/>
        <v>0</v>
      </c>
      <c r="G93" s="2"/>
    </row>
    <row r="94" spans="2:7" x14ac:dyDescent="0.25">
      <c r="B94" s="4">
        <v>45904</v>
      </c>
      <c r="C94" s="2" t="s">
        <v>5274</v>
      </c>
      <c r="D94" s="2"/>
      <c r="E94" s="23"/>
      <c r="F94" s="2">
        <f t="shared" si="1"/>
        <v>-60</v>
      </c>
      <c r="G94" s="2"/>
    </row>
    <row r="95" spans="2:7" x14ac:dyDescent="0.25">
      <c r="B95" s="4">
        <v>45905</v>
      </c>
      <c r="C95" s="2" t="s">
        <v>5274</v>
      </c>
      <c r="D95" s="2" t="s">
        <v>5284</v>
      </c>
      <c r="E95" s="23"/>
      <c r="F95" s="2">
        <f t="shared" si="1"/>
        <v>0</v>
      </c>
      <c r="G95" s="2"/>
    </row>
    <row r="96" spans="2:7" x14ac:dyDescent="0.25">
      <c r="B96" s="4">
        <v>45906</v>
      </c>
      <c r="C96" s="2" t="s">
        <v>41</v>
      </c>
      <c r="D96" s="2"/>
      <c r="E96" s="23"/>
      <c r="F96" s="2">
        <f t="shared" si="1"/>
        <v>0</v>
      </c>
      <c r="G96" s="2"/>
    </row>
    <row r="97" spans="2:7" x14ac:dyDescent="0.25">
      <c r="B97" s="4">
        <v>45907</v>
      </c>
      <c r="C97" s="2" t="s">
        <v>5294</v>
      </c>
      <c r="D97" s="2" t="s">
        <v>5295</v>
      </c>
      <c r="E97" s="23"/>
      <c r="F97" s="2">
        <f t="shared" si="1"/>
        <v>0</v>
      </c>
      <c r="G97" s="2"/>
    </row>
    <row r="98" spans="2:7" x14ac:dyDescent="0.25">
      <c r="B98" s="4">
        <v>45908</v>
      </c>
      <c r="C98" s="2" t="s">
        <v>5318</v>
      </c>
      <c r="D98" s="2"/>
      <c r="E98" s="23"/>
      <c r="F98" s="2">
        <f t="shared" si="1"/>
        <v>0</v>
      </c>
      <c r="G98" s="2"/>
    </row>
    <row r="99" spans="2:7" x14ac:dyDescent="0.25">
      <c r="B99" s="4">
        <v>45909</v>
      </c>
      <c r="C99" s="2" t="s">
        <v>5332</v>
      </c>
      <c r="D99" s="2"/>
      <c r="E99" s="23"/>
      <c r="F99" s="2"/>
      <c r="G99" s="2"/>
    </row>
    <row r="100" spans="2:7" x14ac:dyDescent="0.25">
      <c r="B100" s="4">
        <v>45910</v>
      </c>
      <c r="C100" s="2" t="s">
        <v>5349</v>
      </c>
      <c r="D100" s="2"/>
      <c r="E100" s="23"/>
      <c r="F100" s="2"/>
      <c r="G100" s="2"/>
    </row>
    <row r="101" spans="2:7" x14ac:dyDescent="0.25">
      <c r="B101" s="4">
        <v>45911</v>
      </c>
      <c r="C101" s="2" t="s">
        <v>5343</v>
      </c>
      <c r="D101" s="2"/>
      <c r="E101" s="23">
        <v>65</v>
      </c>
      <c r="F101" s="2">
        <f>E101-E100</f>
        <v>65</v>
      </c>
      <c r="G101" s="2"/>
    </row>
    <row r="102" spans="2:7" x14ac:dyDescent="0.25">
      <c r="B102" s="4">
        <v>45912</v>
      </c>
      <c r="C102" s="2" t="s">
        <v>5352</v>
      </c>
      <c r="D102" s="2" t="s">
        <v>5353</v>
      </c>
      <c r="E102" s="23">
        <v>65</v>
      </c>
      <c r="F102" s="2">
        <f t="shared" ref="F102:F109" si="2">E102-E101</f>
        <v>0</v>
      </c>
      <c r="G102" s="2"/>
    </row>
    <row r="103" spans="2:7" x14ac:dyDescent="0.25">
      <c r="B103" s="4">
        <v>45913</v>
      </c>
      <c r="C103" s="2" t="s">
        <v>5365</v>
      </c>
      <c r="D103" s="2"/>
      <c r="E103" s="23">
        <v>65</v>
      </c>
      <c r="F103" s="2">
        <f t="shared" si="2"/>
        <v>0</v>
      </c>
      <c r="G103" s="2"/>
    </row>
    <row r="104" spans="2:7" x14ac:dyDescent="0.25">
      <c r="B104" s="4">
        <v>45914</v>
      </c>
      <c r="C104" s="2" t="s">
        <v>5366</v>
      </c>
      <c r="D104" s="2"/>
      <c r="E104" s="23">
        <v>65</v>
      </c>
      <c r="F104" s="2">
        <f t="shared" si="2"/>
        <v>0</v>
      </c>
      <c r="G104" s="2"/>
    </row>
    <row r="105" spans="2:7" x14ac:dyDescent="0.25">
      <c r="B105" s="4">
        <v>45915</v>
      </c>
      <c r="C105" s="2" t="s">
        <v>5387</v>
      </c>
      <c r="D105" s="2"/>
      <c r="E105" s="23">
        <v>65</v>
      </c>
      <c r="F105" s="2">
        <f t="shared" si="2"/>
        <v>0</v>
      </c>
      <c r="G105" s="2"/>
    </row>
    <row r="106" spans="2:7" x14ac:dyDescent="0.25">
      <c r="B106" s="4">
        <v>45916</v>
      </c>
      <c r="C106" s="2" t="s">
        <v>5394</v>
      </c>
      <c r="D106" s="2"/>
      <c r="E106" s="23">
        <v>68</v>
      </c>
      <c r="F106" s="2">
        <f t="shared" si="2"/>
        <v>3</v>
      </c>
      <c r="G106" s="2"/>
    </row>
    <row r="107" spans="2:7" x14ac:dyDescent="0.25">
      <c r="B107" s="4">
        <v>45917</v>
      </c>
      <c r="C107" s="2" t="s">
        <v>5400</v>
      </c>
      <c r="D107" s="2" t="s">
        <v>5399</v>
      </c>
      <c r="E107" s="23">
        <v>68</v>
      </c>
      <c r="F107" s="2">
        <f t="shared" si="2"/>
        <v>0</v>
      </c>
      <c r="G107" s="2"/>
    </row>
    <row r="108" spans="2:7" x14ac:dyDescent="0.25">
      <c r="B108" s="4">
        <v>45918</v>
      </c>
      <c r="C108" s="2" t="s">
        <v>5410</v>
      </c>
      <c r="D108" s="2" t="s">
        <v>5413</v>
      </c>
      <c r="E108" s="23"/>
      <c r="F108" s="2">
        <f t="shared" si="2"/>
        <v>-68</v>
      </c>
      <c r="G108" s="2"/>
    </row>
    <row r="109" spans="2:7" x14ac:dyDescent="0.25">
      <c r="B109" s="4">
        <v>45919</v>
      </c>
      <c r="C109" s="2" t="s">
        <v>5417</v>
      </c>
      <c r="D109" s="2" t="s">
        <v>5421</v>
      </c>
      <c r="E109" s="23"/>
      <c r="F109" s="2">
        <f t="shared" si="2"/>
        <v>0</v>
      </c>
      <c r="G109" s="2"/>
    </row>
    <row r="110" spans="2:7" x14ac:dyDescent="0.25">
      <c r="B110" s="4">
        <v>45920</v>
      </c>
      <c r="C110" s="2" t="s">
        <v>5435</v>
      </c>
      <c r="D110" s="2"/>
      <c r="E110" s="23"/>
      <c r="F110" s="2"/>
      <c r="G110" s="2"/>
    </row>
    <row r="111" spans="2:7" x14ac:dyDescent="0.25">
      <c r="B111" s="4">
        <v>45921</v>
      </c>
      <c r="C111" s="2" t="s">
        <v>5434</v>
      </c>
      <c r="D111" s="2"/>
      <c r="E111" s="23"/>
      <c r="F111" s="2"/>
      <c r="G111" s="2"/>
    </row>
    <row r="112" spans="2:7" x14ac:dyDescent="0.25">
      <c r="B112" s="4">
        <v>45922</v>
      </c>
      <c r="C112" s="2" t="s">
        <v>5441</v>
      </c>
      <c r="D112" s="2" t="s">
        <v>5450</v>
      </c>
      <c r="E112" s="23"/>
      <c r="F112" s="2"/>
      <c r="G112" s="2"/>
    </row>
    <row r="113" spans="2:7" x14ac:dyDescent="0.25">
      <c r="B113" s="4">
        <v>45923</v>
      </c>
      <c r="C113" s="2"/>
      <c r="D113" s="2" t="s">
        <v>5451</v>
      </c>
      <c r="E113" s="23"/>
      <c r="F113" s="2"/>
      <c r="G113" s="2"/>
    </row>
    <row r="114" spans="2:7" x14ac:dyDescent="0.25">
      <c r="B114" s="4">
        <v>45924</v>
      </c>
      <c r="C114" s="2"/>
      <c r="D114" s="2"/>
      <c r="E114" s="23"/>
      <c r="F114" s="2"/>
      <c r="G114" s="2"/>
    </row>
    <row r="115" spans="2:7" x14ac:dyDescent="0.25">
      <c r="B115" s="4">
        <v>45925</v>
      </c>
      <c r="C115" s="2"/>
      <c r="D115" s="2" t="s">
        <v>5480</v>
      </c>
      <c r="E115" s="23"/>
      <c r="F115" s="2"/>
      <c r="G115" s="2"/>
    </row>
    <row r="116" spans="2:7" x14ac:dyDescent="0.25">
      <c r="B116" s="4">
        <v>45926</v>
      </c>
      <c r="C116" s="2"/>
      <c r="D116" s="2"/>
      <c r="E116" s="23"/>
      <c r="F116" s="2"/>
      <c r="G116" s="2"/>
    </row>
    <row r="117" spans="2:7" x14ac:dyDescent="0.25">
      <c r="B117" s="4">
        <v>45927</v>
      </c>
      <c r="C117" s="2"/>
      <c r="D117" s="2"/>
      <c r="E117" s="23"/>
      <c r="F117" s="2"/>
      <c r="G117" s="2"/>
    </row>
    <row r="118" spans="2:7" x14ac:dyDescent="0.25">
      <c r="B118" s="4">
        <v>45928</v>
      </c>
      <c r="C118" s="2"/>
      <c r="D118" s="2"/>
      <c r="E118" s="23"/>
      <c r="F118" s="2"/>
      <c r="G118" s="2"/>
    </row>
    <row r="119" spans="2:7" x14ac:dyDescent="0.25">
      <c r="B119" s="4">
        <v>45929</v>
      </c>
      <c r="C119" s="2"/>
      <c r="D119" s="2"/>
      <c r="E119" s="23"/>
      <c r="F119" s="2"/>
      <c r="G119" s="2"/>
    </row>
    <row r="120" spans="2:7" x14ac:dyDescent="0.25">
      <c r="B120" s="4">
        <v>45930</v>
      </c>
      <c r="C120" s="2" t="s">
        <v>3060</v>
      </c>
      <c r="D120" s="2" t="s">
        <v>5498</v>
      </c>
      <c r="E120" s="23"/>
      <c r="F120" s="2"/>
      <c r="G120" s="2"/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B2:G22"/>
  <sheetViews>
    <sheetView workbookViewId="0">
      <selection activeCell="C7" sqref="C7"/>
    </sheetView>
  </sheetViews>
  <sheetFormatPr defaultRowHeight="15" x14ac:dyDescent="0.25"/>
  <cols>
    <col min="2" max="2" width="13.85546875" bestFit="1" customWidth="1"/>
    <col min="3" max="3" width="72" bestFit="1" customWidth="1"/>
    <col min="4" max="4" width="42.140625" bestFit="1" customWidth="1"/>
  </cols>
  <sheetData>
    <row r="2" spans="2:7" x14ac:dyDescent="0.25">
      <c r="B2" s="53" t="s">
        <v>4500</v>
      </c>
    </row>
    <row r="3" spans="2:7" ht="15.75" x14ac:dyDescent="0.25">
      <c r="B3" s="10" t="s">
        <v>0</v>
      </c>
      <c r="C3" s="11" t="s">
        <v>1</v>
      </c>
      <c r="D3" s="11" t="s">
        <v>2</v>
      </c>
      <c r="E3" s="11" t="s">
        <v>934</v>
      </c>
      <c r="F3" s="11" t="s">
        <v>1095</v>
      </c>
      <c r="G3" s="11" t="s">
        <v>1507</v>
      </c>
    </row>
    <row r="4" spans="2:7" x14ac:dyDescent="0.25">
      <c r="B4" s="4">
        <v>45854</v>
      </c>
      <c r="C4" s="2" t="s">
        <v>1528</v>
      </c>
      <c r="D4" s="2"/>
      <c r="E4" s="23">
        <v>0</v>
      </c>
      <c r="F4" s="2"/>
      <c r="G4" s="2"/>
    </row>
    <row r="5" spans="2:7" x14ac:dyDescent="0.25">
      <c r="B5" s="4">
        <v>45855</v>
      </c>
      <c r="C5" s="2" t="s">
        <v>4624</v>
      </c>
      <c r="D5" s="2"/>
      <c r="E5" s="23">
        <v>30</v>
      </c>
      <c r="F5" s="2">
        <f>E5-E4</f>
        <v>30</v>
      </c>
      <c r="G5" s="2"/>
    </row>
    <row r="6" spans="2:7" x14ac:dyDescent="0.25">
      <c r="B6" s="4">
        <v>45856</v>
      </c>
      <c r="C6" s="2" t="s">
        <v>4625</v>
      </c>
      <c r="D6" s="2" t="s">
        <v>4626</v>
      </c>
      <c r="E6" s="23">
        <v>0</v>
      </c>
      <c r="F6" s="2">
        <f t="shared" ref="F6:F20" si="0">E6-E5</f>
        <v>-30</v>
      </c>
      <c r="G6" s="2"/>
    </row>
    <row r="7" spans="2:7" x14ac:dyDescent="0.25">
      <c r="B7" s="4">
        <v>45857</v>
      </c>
      <c r="C7" s="2" t="s">
        <v>1610</v>
      </c>
      <c r="D7" s="58"/>
      <c r="E7" s="23">
        <v>105</v>
      </c>
      <c r="F7" s="2">
        <f t="shared" si="0"/>
        <v>105</v>
      </c>
      <c r="G7" s="2"/>
    </row>
    <row r="8" spans="2:7" x14ac:dyDescent="0.25">
      <c r="B8" s="4">
        <v>45858</v>
      </c>
      <c r="C8" s="2"/>
      <c r="D8" s="58"/>
      <c r="E8" s="23">
        <v>0</v>
      </c>
      <c r="F8" s="2">
        <f t="shared" si="0"/>
        <v>-105</v>
      </c>
      <c r="G8" s="2"/>
    </row>
    <row r="9" spans="2:7" x14ac:dyDescent="0.25">
      <c r="B9" s="4">
        <v>45859</v>
      </c>
      <c r="C9" s="2"/>
      <c r="D9" s="58"/>
      <c r="E9" s="23"/>
      <c r="F9" s="2">
        <f t="shared" si="0"/>
        <v>0</v>
      </c>
      <c r="G9" s="2"/>
    </row>
    <row r="10" spans="2:7" x14ac:dyDescent="0.25">
      <c r="B10" s="4">
        <v>45860</v>
      </c>
      <c r="C10" s="2"/>
      <c r="D10" s="2"/>
      <c r="E10" s="23"/>
      <c r="F10" s="2">
        <f t="shared" si="0"/>
        <v>0</v>
      </c>
      <c r="G10" s="2"/>
    </row>
    <row r="11" spans="2:7" x14ac:dyDescent="0.25">
      <c r="B11" s="4">
        <v>45861</v>
      </c>
      <c r="C11" s="2"/>
      <c r="D11" s="2"/>
      <c r="E11" s="23"/>
      <c r="F11" s="2">
        <f t="shared" si="0"/>
        <v>0</v>
      </c>
      <c r="G11" s="2"/>
    </row>
    <row r="12" spans="2:7" x14ac:dyDescent="0.25">
      <c r="B12" s="4">
        <v>45862</v>
      </c>
      <c r="C12" s="2"/>
      <c r="D12" s="2"/>
      <c r="E12" s="23"/>
      <c r="F12" s="2">
        <f t="shared" si="0"/>
        <v>0</v>
      </c>
      <c r="G12" s="2"/>
    </row>
    <row r="13" spans="2:7" x14ac:dyDescent="0.25">
      <c r="B13" s="4">
        <v>45863</v>
      </c>
      <c r="C13" s="2"/>
      <c r="D13" s="2"/>
      <c r="E13" s="23"/>
      <c r="F13" s="2">
        <f t="shared" si="0"/>
        <v>0</v>
      </c>
      <c r="G13" s="2"/>
    </row>
    <row r="14" spans="2:7" x14ac:dyDescent="0.25">
      <c r="B14" s="4">
        <v>45864</v>
      </c>
      <c r="C14" s="2"/>
      <c r="D14" s="2"/>
      <c r="E14" s="2"/>
      <c r="F14" s="2">
        <f t="shared" si="0"/>
        <v>0</v>
      </c>
      <c r="G14" s="2"/>
    </row>
    <row r="15" spans="2:7" x14ac:dyDescent="0.25">
      <c r="B15" s="4">
        <v>45865</v>
      </c>
      <c r="C15" s="2"/>
      <c r="D15" s="2"/>
      <c r="E15" s="2"/>
      <c r="F15" s="2">
        <f t="shared" si="0"/>
        <v>0</v>
      </c>
      <c r="G15" s="2"/>
    </row>
    <row r="16" spans="2:7" x14ac:dyDescent="0.25">
      <c r="B16" s="4">
        <v>45866</v>
      </c>
      <c r="C16" s="2"/>
      <c r="D16" s="2"/>
      <c r="E16" s="2"/>
      <c r="F16" s="2">
        <f t="shared" si="0"/>
        <v>0</v>
      </c>
      <c r="G16" s="2"/>
    </row>
    <row r="17" spans="2:7" x14ac:dyDescent="0.25">
      <c r="B17" s="4">
        <v>45867</v>
      </c>
      <c r="C17" s="2"/>
      <c r="D17" s="2"/>
      <c r="E17" s="2"/>
      <c r="F17" s="2">
        <f t="shared" si="0"/>
        <v>0</v>
      </c>
      <c r="G17" s="2"/>
    </row>
    <row r="18" spans="2:7" x14ac:dyDescent="0.25">
      <c r="B18" s="4">
        <v>45868</v>
      </c>
      <c r="C18" s="2"/>
      <c r="D18" s="2"/>
      <c r="E18" s="2"/>
      <c r="F18" s="2">
        <f t="shared" si="0"/>
        <v>0</v>
      </c>
      <c r="G18" s="2"/>
    </row>
    <row r="19" spans="2:7" x14ac:dyDescent="0.25">
      <c r="B19" s="4">
        <v>45869</v>
      </c>
      <c r="C19" s="2"/>
      <c r="D19" s="2"/>
      <c r="E19" s="2"/>
      <c r="F19" s="2">
        <f t="shared" si="0"/>
        <v>0</v>
      </c>
      <c r="G19" s="2"/>
    </row>
    <row r="20" spans="2:7" x14ac:dyDescent="0.25">
      <c r="B20" s="4">
        <v>45870</v>
      </c>
      <c r="C20" s="2"/>
      <c r="D20" s="2"/>
      <c r="E20" s="2"/>
      <c r="F20" s="2">
        <f t="shared" si="0"/>
        <v>0</v>
      </c>
      <c r="G20" s="2"/>
    </row>
    <row r="21" spans="2:7" x14ac:dyDescent="0.25">
      <c r="B21" s="4">
        <v>45871</v>
      </c>
      <c r="C21" s="2"/>
      <c r="D21" s="2"/>
      <c r="E21" s="2"/>
      <c r="F21" s="2"/>
      <c r="G21" s="2"/>
    </row>
    <row r="22" spans="2:7" x14ac:dyDescent="0.25">
      <c r="B22" s="4">
        <v>45872</v>
      </c>
      <c r="C22" s="2"/>
      <c r="D22" s="2"/>
      <c r="E22" s="2"/>
      <c r="F22" s="2"/>
      <c r="G22" s="2"/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B3:G73"/>
  <sheetViews>
    <sheetView topLeftCell="A52" workbookViewId="0">
      <selection activeCell="D68" sqref="D68"/>
    </sheetView>
  </sheetViews>
  <sheetFormatPr defaultRowHeight="15" x14ac:dyDescent="0.25"/>
  <cols>
    <col min="2" max="2" width="18" bestFit="1" customWidth="1"/>
    <col min="3" max="3" width="72" bestFit="1" customWidth="1"/>
    <col min="4" max="4" width="42.140625" bestFit="1" customWidth="1"/>
    <col min="5" max="5" width="11.85546875" bestFit="1" customWidth="1"/>
    <col min="6" max="6" width="8.42578125" bestFit="1" customWidth="1"/>
    <col min="7" max="7" width="11" bestFit="1" customWidth="1"/>
  </cols>
  <sheetData>
    <row r="3" spans="2:7" x14ac:dyDescent="0.25">
      <c r="B3" s="53" t="s">
        <v>2349</v>
      </c>
    </row>
    <row r="4" spans="2:7" ht="15.75" x14ac:dyDescent="0.25">
      <c r="B4" s="10" t="s">
        <v>0</v>
      </c>
      <c r="C4" s="11" t="s">
        <v>1</v>
      </c>
      <c r="D4" s="11" t="s">
        <v>2</v>
      </c>
      <c r="E4" s="11" t="s">
        <v>934</v>
      </c>
      <c r="F4" s="11" t="s">
        <v>1095</v>
      </c>
      <c r="G4" s="11" t="s">
        <v>1507</v>
      </c>
    </row>
    <row r="5" spans="2:7" x14ac:dyDescent="0.25">
      <c r="B5" s="4">
        <v>45811</v>
      </c>
      <c r="C5" s="2" t="s">
        <v>1528</v>
      </c>
      <c r="D5" s="2"/>
      <c r="E5" s="23">
        <v>0</v>
      </c>
      <c r="F5" s="2"/>
      <c r="G5" s="2"/>
    </row>
    <row r="6" spans="2:7" x14ac:dyDescent="0.25">
      <c r="B6" s="4">
        <v>45812</v>
      </c>
      <c r="C6" s="2" t="s">
        <v>4150</v>
      </c>
      <c r="D6" s="2"/>
      <c r="E6" s="23">
        <v>0</v>
      </c>
      <c r="F6" s="2">
        <f t="shared" ref="F6:F59" si="0">E6-E5</f>
        <v>0</v>
      </c>
      <c r="G6" s="2"/>
    </row>
    <row r="7" spans="2:7" x14ac:dyDescent="0.25">
      <c r="B7" s="4">
        <v>45813</v>
      </c>
      <c r="C7" s="2" t="s">
        <v>4185</v>
      </c>
      <c r="D7" s="2"/>
      <c r="E7" s="23"/>
      <c r="F7" s="2">
        <f t="shared" si="0"/>
        <v>0</v>
      </c>
      <c r="G7" s="2"/>
    </row>
    <row r="8" spans="2:7" x14ac:dyDescent="0.25">
      <c r="B8" s="4">
        <v>45814</v>
      </c>
      <c r="C8" s="2" t="s">
        <v>480</v>
      </c>
      <c r="D8" s="58"/>
      <c r="E8" s="23"/>
      <c r="F8" s="2">
        <f t="shared" si="0"/>
        <v>0</v>
      </c>
      <c r="G8" s="2"/>
    </row>
    <row r="9" spans="2:7" x14ac:dyDescent="0.25">
      <c r="B9" s="4">
        <v>45815</v>
      </c>
      <c r="C9" s="2" t="s">
        <v>480</v>
      </c>
      <c r="D9" s="58"/>
      <c r="E9" s="23"/>
      <c r="F9" s="2">
        <f t="shared" si="0"/>
        <v>0</v>
      </c>
      <c r="G9" s="2"/>
    </row>
    <row r="10" spans="2:7" x14ac:dyDescent="0.25">
      <c r="B10" s="4">
        <v>45816</v>
      </c>
      <c r="C10" s="2" t="s">
        <v>480</v>
      </c>
      <c r="D10" s="58"/>
      <c r="E10" s="23"/>
      <c r="F10" s="2">
        <f t="shared" si="0"/>
        <v>0</v>
      </c>
      <c r="G10" s="2"/>
    </row>
    <row r="11" spans="2:7" x14ac:dyDescent="0.25">
      <c r="B11" s="4">
        <v>45817</v>
      </c>
      <c r="C11" s="2" t="s">
        <v>522</v>
      </c>
      <c r="D11" s="2"/>
      <c r="E11" s="23"/>
      <c r="F11" s="2">
        <f t="shared" si="0"/>
        <v>0</v>
      </c>
      <c r="G11" s="2"/>
    </row>
    <row r="12" spans="2:7" x14ac:dyDescent="0.25">
      <c r="B12" s="4">
        <v>45818</v>
      </c>
      <c r="C12" s="2" t="s">
        <v>4204</v>
      </c>
      <c r="D12" s="2" t="s">
        <v>4214</v>
      </c>
      <c r="E12" s="23">
        <v>0</v>
      </c>
      <c r="F12" s="2">
        <f t="shared" si="0"/>
        <v>0</v>
      </c>
      <c r="G12" s="2"/>
    </row>
    <row r="13" spans="2:7" x14ac:dyDescent="0.25">
      <c r="B13" s="4">
        <v>45819</v>
      </c>
      <c r="C13" s="2" t="s">
        <v>4229</v>
      </c>
      <c r="D13" s="2"/>
      <c r="E13" s="23">
        <v>24</v>
      </c>
      <c r="F13" s="2">
        <f t="shared" si="0"/>
        <v>24</v>
      </c>
      <c r="G13" s="2"/>
    </row>
    <row r="14" spans="2:7" x14ac:dyDescent="0.25">
      <c r="B14" s="4">
        <v>45820</v>
      </c>
      <c r="C14" s="2" t="s">
        <v>4230</v>
      </c>
      <c r="D14" s="2"/>
      <c r="E14" s="23">
        <v>40</v>
      </c>
      <c r="F14" s="2">
        <f t="shared" si="0"/>
        <v>16</v>
      </c>
      <c r="G14" s="2"/>
    </row>
    <row r="15" spans="2:7" x14ac:dyDescent="0.25">
      <c r="B15" s="4">
        <v>45821</v>
      </c>
      <c r="C15" s="2" t="s">
        <v>4240</v>
      </c>
      <c r="D15" s="2"/>
      <c r="E15" s="23">
        <v>40.5</v>
      </c>
      <c r="F15" s="2">
        <f t="shared" si="0"/>
        <v>0.5</v>
      </c>
      <c r="G15" s="2"/>
    </row>
    <row r="16" spans="2:7" x14ac:dyDescent="0.25">
      <c r="B16" s="4">
        <v>45822</v>
      </c>
      <c r="C16" s="2" t="s">
        <v>4262</v>
      </c>
      <c r="D16" s="2"/>
      <c r="E16" s="23">
        <v>45.5</v>
      </c>
      <c r="F16" s="2">
        <f t="shared" si="0"/>
        <v>5</v>
      </c>
      <c r="G16" s="2"/>
    </row>
    <row r="17" spans="2:7" x14ac:dyDescent="0.25">
      <c r="B17" s="4">
        <v>45823</v>
      </c>
      <c r="C17" s="2" t="s">
        <v>4261</v>
      </c>
      <c r="D17" s="2"/>
      <c r="E17" s="23">
        <v>50.5</v>
      </c>
      <c r="F17" s="2">
        <f t="shared" si="0"/>
        <v>5</v>
      </c>
      <c r="G17" s="2"/>
    </row>
    <row r="18" spans="2:7" x14ac:dyDescent="0.25">
      <c r="B18" s="4">
        <v>45824</v>
      </c>
      <c r="C18" s="2" t="s">
        <v>4268</v>
      </c>
      <c r="D18" s="2"/>
      <c r="E18" s="23">
        <v>55</v>
      </c>
      <c r="F18" s="2">
        <f t="shared" si="0"/>
        <v>4.5</v>
      </c>
      <c r="G18" s="2"/>
    </row>
    <row r="19" spans="2:7" x14ac:dyDescent="0.25">
      <c r="B19" s="4">
        <v>45825</v>
      </c>
      <c r="C19" s="2" t="s">
        <v>4308</v>
      </c>
      <c r="D19" s="2"/>
      <c r="E19" s="23">
        <v>56</v>
      </c>
      <c r="F19" s="2">
        <f t="shared" si="0"/>
        <v>1</v>
      </c>
      <c r="G19" s="2"/>
    </row>
    <row r="20" spans="2:7" x14ac:dyDescent="0.25">
      <c r="B20" s="4">
        <v>45826</v>
      </c>
      <c r="C20" s="2" t="s">
        <v>4307</v>
      </c>
      <c r="D20" s="2"/>
      <c r="E20" s="23">
        <v>57.5</v>
      </c>
      <c r="F20" s="2">
        <f t="shared" si="0"/>
        <v>1.5</v>
      </c>
      <c r="G20" s="2"/>
    </row>
    <row r="21" spans="2:7" x14ac:dyDescent="0.25">
      <c r="B21" s="4">
        <v>45827</v>
      </c>
      <c r="C21" s="2" t="s">
        <v>4318</v>
      </c>
      <c r="D21" s="2"/>
      <c r="E21" s="23">
        <v>70</v>
      </c>
      <c r="F21" s="2">
        <f t="shared" si="0"/>
        <v>12.5</v>
      </c>
      <c r="G21" s="2"/>
    </row>
    <row r="22" spans="2:7" x14ac:dyDescent="0.25">
      <c r="B22" s="4">
        <v>45828</v>
      </c>
      <c r="C22" s="2" t="s">
        <v>4333</v>
      </c>
      <c r="D22" s="2"/>
      <c r="E22" s="23">
        <v>74.5</v>
      </c>
      <c r="F22" s="2">
        <f t="shared" si="0"/>
        <v>4.5</v>
      </c>
      <c r="G22" s="2"/>
    </row>
    <row r="23" spans="2:7" x14ac:dyDescent="0.25">
      <c r="B23" s="4">
        <v>45829</v>
      </c>
      <c r="C23" s="2" t="s">
        <v>4347</v>
      </c>
      <c r="D23" s="2"/>
      <c r="E23" s="23">
        <v>78</v>
      </c>
      <c r="F23" s="2">
        <f t="shared" si="0"/>
        <v>3.5</v>
      </c>
      <c r="G23" s="2"/>
    </row>
    <row r="24" spans="2:7" x14ac:dyDescent="0.25">
      <c r="B24" s="4">
        <v>45830</v>
      </c>
      <c r="C24" s="2" t="s">
        <v>4348</v>
      </c>
      <c r="D24" s="2"/>
      <c r="E24" s="33">
        <v>81</v>
      </c>
      <c r="F24" s="2">
        <f t="shared" si="0"/>
        <v>3</v>
      </c>
      <c r="G24" s="2"/>
    </row>
    <row r="25" spans="2:7" x14ac:dyDescent="0.25">
      <c r="B25" s="4">
        <v>45831</v>
      </c>
      <c r="C25" s="2" t="s">
        <v>4374</v>
      </c>
      <c r="D25" s="2"/>
      <c r="E25" s="23">
        <v>60</v>
      </c>
      <c r="F25" s="2">
        <f t="shared" si="0"/>
        <v>-21</v>
      </c>
      <c r="G25" s="2"/>
    </row>
    <row r="26" spans="2:7" x14ac:dyDescent="0.25">
      <c r="B26" s="4">
        <v>45832</v>
      </c>
      <c r="C26" s="2" t="s">
        <v>4396</v>
      </c>
      <c r="D26" s="2"/>
      <c r="E26" s="23">
        <v>61.5</v>
      </c>
      <c r="F26" s="2">
        <f t="shared" si="0"/>
        <v>1.5</v>
      </c>
      <c r="G26" s="2"/>
    </row>
    <row r="27" spans="2:7" x14ac:dyDescent="0.25">
      <c r="B27" s="4">
        <v>45833</v>
      </c>
      <c r="C27" s="2" t="s">
        <v>4411</v>
      </c>
      <c r="D27" s="2"/>
      <c r="E27" s="23">
        <v>66.5</v>
      </c>
      <c r="F27" s="2">
        <f t="shared" si="0"/>
        <v>5</v>
      </c>
      <c r="G27" s="2"/>
    </row>
    <row r="28" spans="2:7" x14ac:dyDescent="0.25">
      <c r="B28" s="4">
        <v>45834</v>
      </c>
      <c r="C28" s="2" t="s">
        <v>4433</v>
      </c>
      <c r="D28" s="2"/>
      <c r="E28" s="23">
        <v>72.5</v>
      </c>
      <c r="F28" s="2">
        <f t="shared" si="0"/>
        <v>6</v>
      </c>
      <c r="G28" s="2"/>
    </row>
    <row r="29" spans="2:7" x14ac:dyDescent="0.25">
      <c r="B29" s="4">
        <v>45835</v>
      </c>
      <c r="C29" s="2" t="s">
        <v>4434</v>
      </c>
      <c r="D29" s="2" t="s">
        <v>4447</v>
      </c>
      <c r="E29" s="23">
        <v>78.5</v>
      </c>
      <c r="F29" s="2">
        <f t="shared" si="0"/>
        <v>6</v>
      </c>
      <c r="G29" s="2"/>
    </row>
    <row r="30" spans="2:7" x14ac:dyDescent="0.25">
      <c r="B30" s="4">
        <v>45836</v>
      </c>
      <c r="C30" s="2" t="s">
        <v>4468</v>
      </c>
      <c r="D30" s="2"/>
      <c r="E30" s="23">
        <v>82.5</v>
      </c>
      <c r="F30" s="2">
        <f t="shared" si="0"/>
        <v>4</v>
      </c>
      <c r="G30" s="2"/>
    </row>
    <row r="31" spans="2:7" x14ac:dyDescent="0.25">
      <c r="B31" s="4">
        <v>45837</v>
      </c>
      <c r="C31" s="2" t="s">
        <v>4478</v>
      </c>
      <c r="D31" s="2"/>
      <c r="E31" s="23">
        <v>85</v>
      </c>
      <c r="F31" s="2">
        <f t="shared" si="0"/>
        <v>2.5</v>
      </c>
      <c r="G31" s="2"/>
    </row>
    <row r="32" spans="2:7" x14ac:dyDescent="0.25">
      <c r="B32" s="4">
        <v>45838</v>
      </c>
      <c r="C32" s="2" t="s">
        <v>4479</v>
      </c>
      <c r="D32" s="2"/>
      <c r="E32" s="23">
        <v>86.5</v>
      </c>
      <c r="F32" s="2">
        <f t="shared" si="0"/>
        <v>1.5</v>
      </c>
      <c r="G32" s="2"/>
    </row>
    <row r="33" spans="2:7" x14ac:dyDescent="0.25">
      <c r="B33" s="4">
        <v>45839</v>
      </c>
      <c r="C33" s="2" t="s">
        <v>4490</v>
      </c>
      <c r="D33" s="2"/>
      <c r="E33" s="23">
        <v>88.5</v>
      </c>
      <c r="F33" s="2">
        <f t="shared" si="0"/>
        <v>2</v>
      </c>
      <c r="G33" s="2"/>
    </row>
    <row r="34" spans="2:7" x14ac:dyDescent="0.25">
      <c r="B34" s="4">
        <v>45840</v>
      </c>
      <c r="C34" s="2" t="s">
        <v>4494</v>
      </c>
      <c r="D34" s="2"/>
      <c r="E34" s="23">
        <v>90</v>
      </c>
      <c r="F34" s="2">
        <f t="shared" si="0"/>
        <v>1.5</v>
      </c>
      <c r="G34" s="2"/>
    </row>
    <row r="35" spans="2:7" x14ac:dyDescent="0.25">
      <c r="B35" s="4">
        <v>45841</v>
      </c>
      <c r="C35" s="2" t="s">
        <v>4509</v>
      </c>
      <c r="D35" s="2"/>
      <c r="E35" s="33">
        <v>90.5</v>
      </c>
      <c r="F35" s="2">
        <f t="shared" si="0"/>
        <v>0.5</v>
      </c>
      <c r="G35" s="2"/>
    </row>
    <row r="36" spans="2:7" x14ac:dyDescent="0.25">
      <c r="B36" s="4">
        <v>45842</v>
      </c>
      <c r="C36" s="2" t="s">
        <v>4515</v>
      </c>
      <c r="D36" s="2"/>
      <c r="E36" s="23">
        <v>90.5</v>
      </c>
      <c r="F36" s="2">
        <f t="shared" si="0"/>
        <v>0</v>
      </c>
      <c r="G36" s="2"/>
    </row>
    <row r="37" spans="2:7" x14ac:dyDescent="0.25">
      <c r="B37" s="4">
        <v>45843</v>
      </c>
      <c r="C37" s="2" t="s">
        <v>4516</v>
      </c>
      <c r="D37" s="2"/>
      <c r="E37" s="23">
        <v>90.5</v>
      </c>
      <c r="F37" s="2">
        <f t="shared" si="0"/>
        <v>0</v>
      </c>
      <c r="G37" s="2"/>
    </row>
    <row r="38" spans="2:7" x14ac:dyDescent="0.25">
      <c r="B38" s="4">
        <v>45844</v>
      </c>
      <c r="C38" s="2" t="s">
        <v>4516</v>
      </c>
      <c r="D38" s="2"/>
      <c r="E38" s="23">
        <v>90.5</v>
      </c>
      <c r="F38" s="2">
        <f t="shared" si="0"/>
        <v>0</v>
      </c>
      <c r="G38" s="2"/>
    </row>
    <row r="39" spans="2:7" x14ac:dyDescent="0.25">
      <c r="B39" s="4">
        <v>45845</v>
      </c>
      <c r="C39" s="2" t="s">
        <v>4516</v>
      </c>
      <c r="D39" s="2"/>
      <c r="E39" s="23">
        <v>90.5</v>
      </c>
      <c r="F39" s="2">
        <f t="shared" si="0"/>
        <v>0</v>
      </c>
      <c r="G39" s="2"/>
    </row>
    <row r="40" spans="2:7" x14ac:dyDescent="0.25">
      <c r="B40" s="4">
        <v>45846</v>
      </c>
      <c r="C40" s="2" t="s">
        <v>4552</v>
      </c>
      <c r="D40" s="2"/>
      <c r="E40" s="23">
        <v>90.5</v>
      </c>
      <c r="F40" s="2">
        <f t="shared" si="0"/>
        <v>0</v>
      </c>
      <c r="G40" s="2"/>
    </row>
    <row r="41" spans="2:7" x14ac:dyDescent="0.25">
      <c r="B41" s="4">
        <v>45847</v>
      </c>
      <c r="C41" s="2" t="s">
        <v>4558</v>
      </c>
      <c r="D41" s="2"/>
      <c r="E41" s="23">
        <v>90.5</v>
      </c>
      <c r="F41" s="2">
        <f t="shared" si="0"/>
        <v>0</v>
      </c>
      <c r="G41" s="2"/>
    </row>
    <row r="42" spans="2:7" x14ac:dyDescent="0.25">
      <c r="B42" s="4">
        <v>45848</v>
      </c>
      <c r="C42" s="2" t="s">
        <v>4557</v>
      </c>
      <c r="D42" s="2"/>
      <c r="E42" s="23">
        <v>90.5</v>
      </c>
      <c r="F42" s="2">
        <f t="shared" si="0"/>
        <v>0</v>
      </c>
      <c r="G42" s="2"/>
    </row>
    <row r="43" spans="2:7" x14ac:dyDescent="0.25">
      <c r="B43" s="4">
        <v>45849</v>
      </c>
      <c r="C43" s="2" t="s">
        <v>4556</v>
      </c>
      <c r="D43" s="2"/>
      <c r="E43" s="23">
        <v>90.5</v>
      </c>
      <c r="F43" s="2">
        <f t="shared" si="0"/>
        <v>0</v>
      </c>
      <c r="G43" s="2"/>
    </row>
    <row r="44" spans="2:7" x14ac:dyDescent="0.25">
      <c r="B44" s="4">
        <v>45850</v>
      </c>
      <c r="C44" s="2" t="s">
        <v>4568</v>
      </c>
      <c r="D44" s="2"/>
      <c r="E44" s="23">
        <v>92.8</v>
      </c>
      <c r="F44" s="2">
        <f t="shared" si="0"/>
        <v>2.2999999999999972</v>
      </c>
      <c r="G44" s="2"/>
    </row>
    <row r="45" spans="2:7" x14ac:dyDescent="0.25">
      <c r="B45" s="4">
        <v>45851</v>
      </c>
      <c r="C45" s="2" t="s">
        <v>4567</v>
      </c>
      <c r="D45" s="2"/>
      <c r="E45" s="23">
        <v>93</v>
      </c>
      <c r="F45" s="2">
        <f t="shared" si="0"/>
        <v>0.20000000000000284</v>
      </c>
      <c r="G45" s="2"/>
    </row>
    <row r="46" spans="2:7" x14ac:dyDescent="0.25">
      <c r="B46" s="4">
        <v>45852</v>
      </c>
      <c r="C46" s="2" t="s">
        <v>4585</v>
      </c>
      <c r="D46" s="2"/>
      <c r="E46" s="23">
        <v>93</v>
      </c>
      <c r="F46" s="2">
        <f t="shared" si="0"/>
        <v>0</v>
      </c>
      <c r="G46" s="2"/>
    </row>
    <row r="47" spans="2:7" x14ac:dyDescent="0.25">
      <c r="B47" s="4">
        <v>45853</v>
      </c>
      <c r="C47" s="2" t="s">
        <v>4600</v>
      </c>
      <c r="D47" s="2"/>
      <c r="E47" s="23">
        <v>91</v>
      </c>
      <c r="F47" s="2">
        <f t="shared" si="0"/>
        <v>-2</v>
      </c>
      <c r="G47" s="2"/>
    </row>
    <row r="48" spans="2:7" x14ac:dyDescent="0.25">
      <c r="B48" s="4">
        <v>45854</v>
      </c>
      <c r="C48" s="2" t="s">
        <v>4599</v>
      </c>
      <c r="D48" s="2"/>
      <c r="E48" s="23">
        <v>93</v>
      </c>
      <c r="F48" s="2">
        <f t="shared" si="0"/>
        <v>2</v>
      </c>
      <c r="G48" s="2"/>
    </row>
    <row r="49" spans="2:7" x14ac:dyDescent="0.25">
      <c r="B49" s="4">
        <v>45855</v>
      </c>
      <c r="C49" s="2" t="s">
        <v>4615</v>
      </c>
      <c r="D49" s="2"/>
      <c r="E49" s="23">
        <v>94.5</v>
      </c>
      <c r="F49" s="2">
        <f t="shared" si="0"/>
        <v>1.5</v>
      </c>
      <c r="G49" s="2"/>
    </row>
    <row r="50" spans="2:7" x14ac:dyDescent="0.25">
      <c r="B50" s="4">
        <v>45856</v>
      </c>
      <c r="C50" s="2" t="s">
        <v>4620</v>
      </c>
      <c r="D50" s="2"/>
      <c r="E50" s="23">
        <v>96</v>
      </c>
      <c r="F50" s="2">
        <f t="shared" si="0"/>
        <v>1.5</v>
      </c>
      <c r="G50" s="2"/>
    </row>
    <row r="51" spans="2:7" x14ac:dyDescent="0.25">
      <c r="B51" s="4">
        <v>45857</v>
      </c>
      <c r="C51" s="2" t="s">
        <v>4631</v>
      </c>
      <c r="D51" s="2"/>
      <c r="E51" s="23">
        <v>96</v>
      </c>
      <c r="F51" s="2">
        <f t="shared" si="0"/>
        <v>0</v>
      </c>
      <c r="G51" s="2"/>
    </row>
    <row r="52" spans="2:7" x14ac:dyDescent="0.25">
      <c r="B52" s="4">
        <v>45858</v>
      </c>
      <c r="C52" s="2" t="s">
        <v>4632</v>
      </c>
      <c r="D52" s="2"/>
      <c r="E52" s="23">
        <v>76</v>
      </c>
      <c r="F52" s="2">
        <f t="shared" si="0"/>
        <v>-20</v>
      </c>
      <c r="G52" s="2"/>
    </row>
    <row r="53" spans="2:7" x14ac:dyDescent="0.25">
      <c r="B53" s="4">
        <v>45859</v>
      </c>
      <c r="C53" s="2" t="s">
        <v>4660</v>
      </c>
      <c r="D53" s="2"/>
      <c r="E53" s="23">
        <v>76</v>
      </c>
      <c r="F53" s="2">
        <f t="shared" si="0"/>
        <v>0</v>
      </c>
      <c r="G53" s="2"/>
    </row>
    <row r="54" spans="2:7" x14ac:dyDescent="0.25">
      <c r="B54" s="4">
        <v>45860</v>
      </c>
      <c r="C54" s="2" t="s">
        <v>4631</v>
      </c>
      <c r="D54" s="2"/>
      <c r="E54" s="23">
        <v>76</v>
      </c>
      <c r="F54" s="2">
        <f t="shared" si="0"/>
        <v>0</v>
      </c>
      <c r="G54" s="2"/>
    </row>
    <row r="55" spans="2:7" x14ac:dyDescent="0.25">
      <c r="B55" s="4">
        <v>45861</v>
      </c>
      <c r="C55" s="2" t="s">
        <v>4682</v>
      </c>
      <c r="D55" s="2"/>
      <c r="E55" s="23">
        <v>76</v>
      </c>
      <c r="F55" s="2">
        <f t="shared" si="0"/>
        <v>0</v>
      </c>
      <c r="G55" s="2"/>
    </row>
    <row r="56" spans="2:7" x14ac:dyDescent="0.25">
      <c r="B56" s="4">
        <v>45862</v>
      </c>
      <c r="C56" s="2" t="s">
        <v>4683</v>
      </c>
      <c r="D56" s="2"/>
      <c r="E56" s="23">
        <v>58</v>
      </c>
      <c r="F56" s="2">
        <f t="shared" si="0"/>
        <v>-18</v>
      </c>
      <c r="G56" s="2"/>
    </row>
    <row r="57" spans="2:7" x14ac:dyDescent="0.25">
      <c r="B57" s="4">
        <v>45863</v>
      </c>
      <c r="C57" s="2" t="s">
        <v>4693</v>
      </c>
      <c r="D57" s="2"/>
      <c r="E57" s="23">
        <v>80</v>
      </c>
      <c r="F57" s="2">
        <f t="shared" si="0"/>
        <v>22</v>
      </c>
      <c r="G57" s="2"/>
    </row>
    <row r="58" spans="2:7" x14ac:dyDescent="0.25">
      <c r="B58" s="4">
        <v>45864</v>
      </c>
      <c r="C58" s="2" t="s">
        <v>4701</v>
      </c>
      <c r="D58" s="2"/>
      <c r="E58" s="23">
        <v>90</v>
      </c>
      <c r="F58" s="2">
        <f t="shared" si="0"/>
        <v>10</v>
      </c>
      <c r="G58" s="2"/>
    </row>
    <row r="59" spans="2:7" x14ac:dyDescent="0.25">
      <c r="B59" s="4">
        <v>45865</v>
      </c>
      <c r="C59" s="2" t="s">
        <v>4711</v>
      </c>
      <c r="D59" s="2"/>
      <c r="E59" s="23">
        <v>96</v>
      </c>
      <c r="F59" s="2">
        <f t="shared" si="0"/>
        <v>6</v>
      </c>
      <c r="G59" s="2"/>
    </row>
    <row r="60" spans="2:7" x14ac:dyDescent="0.25">
      <c r="B60" s="4">
        <v>45866</v>
      </c>
      <c r="C60" s="2" t="s">
        <v>1178</v>
      </c>
      <c r="D60" s="2" t="s">
        <v>4715</v>
      </c>
      <c r="E60" s="23"/>
      <c r="F60" s="2"/>
      <c r="G60" s="2"/>
    </row>
    <row r="61" spans="2:7" x14ac:dyDescent="0.25">
      <c r="B61" s="4">
        <v>45867</v>
      </c>
      <c r="C61" s="2" t="s">
        <v>3281</v>
      </c>
      <c r="D61" s="2"/>
      <c r="E61" s="23"/>
      <c r="F61" s="2"/>
      <c r="G61" s="2"/>
    </row>
    <row r="62" spans="2:7" x14ac:dyDescent="0.25">
      <c r="B62" s="4">
        <v>45868</v>
      </c>
      <c r="C62" s="2" t="s">
        <v>3281</v>
      </c>
      <c r="D62" s="2"/>
      <c r="E62" s="23"/>
      <c r="F62" s="2"/>
      <c r="G62" s="2"/>
    </row>
    <row r="63" spans="2:7" x14ac:dyDescent="0.25">
      <c r="B63" s="4">
        <v>45869</v>
      </c>
      <c r="C63" s="2" t="s">
        <v>4803</v>
      </c>
      <c r="D63" s="2"/>
      <c r="E63" s="23"/>
      <c r="F63" s="2"/>
      <c r="G63" s="2"/>
    </row>
    <row r="64" spans="2:7" x14ac:dyDescent="0.25">
      <c r="B64" s="4">
        <v>45870</v>
      </c>
      <c r="C64" s="2"/>
      <c r="D64" s="2"/>
      <c r="E64" s="2"/>
      <c r="F64" s="2"/>
      <c r="G64" s="2"/>
    </row>
    <row r="65" spans="2:7" x14ac:dyDescent="0.25">
      <c r="B65" s="4">
        <v>45871</v>
      </c>
      <c r="C65" s="2"/>
      <c r="D65" s="2"/>
      <c r="E65" s="2"/>
      <c r="F65" s="2"/>
      <c r="G65" s="2"/>
    </row>
    <row r="66" spans="2:7" x14ac:dyDescent="0.25">
      <c r="B66" s="4">
        <v>45872</v>
      </c>
      <c r="C66" s="2"/>
      <c r="D66" s="2"/>
      <c r="E66" s="2"/>
      <c r="F66" s="2"/>
      <c r="G66" s="2"/>
    </row>
    <row r="67" spans="2:7" x14ac:dyDescent="0.25">
      <c r="B67" s="4">
        <v>45873</v>
      </c>
      <c r="C67" s="2" t="s">
        <v>3565</v>
      </c>
      <c r="D67" s="2" t="s">
        <v>4829</v>
      </c>
      <c r="E67" s="2"/>
      <c r="F67" s="2"/>
      <c r="G67" s="2"/>
    </row>
    <row r="68" spans="2:7" x14ac:dyDescent="0.25">
      <c r="B68" s="4">
        <v>45874</v>
      </c>
      <c r="C68" s="2"/>
      <c r="D68" s="2"/>
      <c r="E68" s="2"/>
      <c r="F68" s="2"/>
      <c r="G68" s="2"/>
    </row>
    <row r="69" spans="2:7" x14ac:dyDescent="0.25">
      <c r="B69" s="4">
        <v>45875</v>
      </c>
      <c r="C69" s="2"/>
      <c r="D69" s="2"/>
      <c r="E69" s="2"/>
      <c r="F69" s="2"/>
      <c r="G69" s="2"/>
    </row>
    <row r="70" spans="2:7" x14ac:dyDescent="0.25">
      <c r="B70" s="2"/>
      <c r="C70" s="2"/>
      <c r="D70" s="2"/>
      <c r="E70" s="2"/>
      <c r="F70" s="2"/>
      <c r="G70" s="2"/>
    </row>
    <row r="71" spans="2:7" x14ac:dyDescent="0.25">
      <c r="B71" s="2"/>
      <c r="C71" s="2"/>
      <c r="D71" s="2"/>
      <c r="E71" s="2"/>
      <c r="F71" s="2"/>
      <c r="G71" s="2"/>
    </row>
    <row r="72" spans="2:7" x14ac:dyDescent="0.25">
      <c r="B72" s="2"/>
      <c r="C72" s="2"/>
      <c r="D72" s="2"/>
      <c r="E72" s="2"/>
      <c r="F72" s="2"/>
      <c r="G72" s="2"/>
    </row>
    <row r="73" spans="2:7" x14ac:dyDescent="0.25">
      <c r="B73" s="2"/>
      <c r="C73" s="2"/>
      <c r="D73" s="2"/>
      <c r="E73" s="2"/>
      <c r="F73" s="2"/>
      <c r="G73" s="2"/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B3:G52"/>
  <sheetViews>
    <sheetView topLeftCell="A37" workbookViewId="0">
      <selection activeCell="C50" sqref="C50"/>
    </sheetView>
  </sheetViews>
  <sheetFormatPr defaultRowHeight="15" x14ac:dyDescent="0.25"/>
  <cols>
    <col min="2" max="2" width="18" bestFit="1" customWidth="1"/>
    <col min="3" max="3" width="72" bestFit="1" customWidth="1"/>
    <col min="4" max="4" width="42.140625" bestFit="1" customWidth="1"/>
    <col min="5" max="5" width="11.85546875" bestFit="1" customWidth="1"/>
    <col min="6" max="6" width="8.42578125" bestFit="1" customWidth="1"/>
    <col min="7" max="7" width="11" bestFit="1" customWidth="1"/>
  </cols>
  <sheetData>
    <row r="3" spans="2:7" x14ac:dyDescent="0.25">
      <c r="B3" s="53" t="s">
        <v>3371</v>
      </c>
    </row>
    <row r="4" spans="2:7" ht="15.75" x14ac:dyDescent="0.25">
      <c r="B4" s="10" t="s">
        <v>0</v>
      </c>
      <c r="C4" s="11" t="s">
        <v>1</v>
      </c>
      <c r="D4" s="11" t="s">
        <v>2</v>
      </c>
      <c r="E4" s="11" t="s">
        <v>934</v>
      </c>
      <c r="F4" s="11" t="s">
        <v>1095</v>
      </c>
      <c r="G4" s="11" t="s">
        <v>1507</v>
      </c>
    </row>
    <row r="5" spans="2:7" x14ac:dyDescent="0.25">
      <c r="B5" s="4">
        <v>45819</v>
      </c>
      <c r="C5" s="2" t="s">
        <v>1528</v>
      </c>
      <c r="D5" s="2" t="s">
        <v>4213</v>
      </c>
      <c r="E5" s="23">
        <v>0</v>
      </c>
      <c r="F5" s="2"/>
      <c r="G5" s="2"/>
    </row>
    <row r="6" spans="2:7" x14ac:dyDescent="0.25">
      <c r="B6" s="4">
        <v>45820</v>
      </c>
      <c r="C6" s="2" t="s">
        <v>4220</v>
      </c>
      <c r="D6" s="2"/>
      <c r="E6" s="23">
        <v>0</v>
      </c>
      <c r="F6" s="2">
        <f t="shared" ref="F6:F34" si="0">E6-E5</f>
        <v>0</v>
      </c>
      <c r="G6" s="2"/>
    </row>
    <row r="7" spans="2:7" x14ac:dyDescent="0.25">
      <c r="B7" s="4">
        <v>45821</v>
      </c>
      <c r="C7" s="2" t="s">
        <v>4239</v>
      </c>
      <c r="D7" s="2"/>
      <c r="E7" s="23">
        <v>0</v>
      </c>
      <c r="F7" s="2">
        <f t="shared" si="0"/>
        <v>0</v>
      </c>
      <c r="G7" s="2"/>
    </row>
    <row r="8" spans="2:7" x14ac:dyDescent="0.25">
      <c r="B8" s="4">
        <v>45822</v>
      </c>
      <c r="C8" s="2" t="s">
        <v>4102</v>
      </c>
      <c r="D8" s="58"/>
      <c r="E8" s="23">
        <v>0</v>
      </c>
      <c r="F8" s="2">
        <f t="shared" si="0"/>
        <v>0</v>
      </c>
      <c r="G8" s="2"/>
    </row>
    <row r="9" spans="2:7" x14ac:dyDescent="0.25">
      <c r="B9" s="4">
        <v>45823</v>
      </c>
      <c r="C9" s="2" t="s">
        <v>4255</v>
      </c>
      <c r="D9" s="58"/>
      <c r="E9" s="23">
        <v>22</v>
      </c>
      <c r="F9" s="2">
        <f t="shared" si="0"/>
        <v>22</v>
      </c>
      <c r="G9" s="2"/>
    </row>
    <row r="10" spans="2:7" x14ac:dyDescent="0.25">
      <c r="B10" s="4">
        <v>45824</v>
      </c>
      <c r="C10" s="2" t="s">
        <v>4264</v>
      </c>
      <c r="D10" s="58"/>
      <c r="E10" s="23">
        <v>35</v>
      </c>
      <c r="F10" s="2">
        <f t="shared" si="0"/>
        <v>13</v>
      </c>
      <c r="G10" s="2"/>
    </row>
    <row r="11" spans="2:7" x14ac:dyDescent="0.25">
      <c r="B11" s="4">
        <v>45825</v>
      </c>
      <c r="C11" s="2" t="s">
        <v>4297</v>
      </c>
      <c r="D11" s="2"/>
      <c r="E11" s="23">
        <v>42</v>
      </c>
      <c r="F11" s="2">
        <f t="shared" si="0"/>
        <v>7</v>
      </c>
      <c r="G11" s="2"/>
    </row>
    <row r="12" spans="2:7" x14ac:dyDescent="0.25">
      <c r="B12" s="4">
        <v>45826</v>
      </c>
      <c r="C12" s="2" t="s">
        <v>4296</v>
      </c>
      <c r="D12" s="2"/>
      <c r="E12" s="23">
        <v>52</v>
      </c>
      <c r="F12" s="2">
        <f t="shared" si="0"/>
        <v>10</v>
      </c>
      <c r="G12" s="2"/>
    </row>
    <row r="13" spans="2:7" x14ac:dyDescent="0.25">
      <c r="B13" s="4">
        <v>45827</v>
      </c>
      <c r="C13" s="2" t="s">
        <v>4315</v>
      </c>
      <c r="D13" s="2"/>
      <c r="E13" s="23">
        <v>61</v>
      </c>
      <c r="F13" s="2">
        <f t="shared" si="0"/>
        <v>9</v>
      </c>
      <c r="G13" s="2"/>
    </row>
    <row r="14" spans="2:7" x14ac:dyDescent="0.25">
      <c r="B14" s="4">
        <v>45828</v>
      </c>
      <c r="C14" s="2" t="s">
        <v>4331</v>
      </c>
      <c r="D14" s="2"/>
      <c r="E14" s="23">
        <v>71</v>
      </c>
      <c r="F14" s="2">
        <f t="shared" si="0"/>
        <v>10</v>
      </c>
      <c r="G14" s="2"/>
    </row>
    <row r="15" spans="2:7" x14ac:dyDescent="0.25">
      <c r="B15" s="4">
        <v>45829</v>
      </c>
      <c r="C15" s="2" t="s">
        <v>4349</v>
      </c>
      <c r="D15" s="2"/>
      <c r="E15" s="23">
        <v>78</v>
      </c>
      <c r="F15" s="2">
        <f t="shared" si="0"/>
        <v>7</v>
      </c>
      <c r="G15" s="2"/>
    </row>
    <row r="16" spans="2:7" x14ac:dyDescent="0.25">
      <c r="B16" s="4">
        <v>45830</v>
      </c>
      <c r="C16" s="2" t="s">
        <v>4350</v>
      </c>
      <c r="D16" s="2"/>
      <c r="E16" s="23">
        <v>85</v>
      </c>
      <c r="F16" s="2">
        <f t="shared" si="0"/>
        <v>7</v>
      </c>
      <c r="G16" s="2"/>
    </row>
    <row r="17" spans="2:7" x14ac:dyDescent="0.25">
      <c r="B17" s="4">
        <v>45831</v>
      </c>
      <c r="C17" s="2" t="s">
        <v>4377</v>
      </c>
      <c r="D17" s="2"/>
      <c r="E17" s="23">
        <v>93</v>
      </c>
      <c r="F17" s="2">
        <f t="shared" si="0"/>
        <v>8</v>
      </c>
      <c r="G17" s="2"/>
    </row>
    <row r="18" spans="2:7" x14ac:dyDescent="0.25">
      <c r="B18" s="4">
        <v>45832</v>
      </c>
      <c r="C18" s="2" t="s">
        <v>4394</v>
      </c>
      <c r="D18" s="2"/>
      <c r="E18" s="23">
        <v>100</v>
      </c>
      <c r="F18" s="2">
        <f t="shared" si="0"/>
        <v>7</v>
      </c>
      <c r="G18" s="2"/>
    </row>
    <row r="19" spans="2:7" x14ac:dyDescent="0.25">
      <c r="B19" s="4">
        <v>45833</v>
      </c>
      <c r="C19" s="2" t="s">
        <v>4407</v>
      </c>
      <c r="D19" s="2"/>
      <c r="E19" s="23">
        <v>103</v>
      </c>
      <c r="F19" s="2">
        <f t="shared" si="0"/>
        <v>3</v>
      </c>
      <c r="G19" s="2"/>
    </row>
    <row r="20" spans="2:7" x14ac:dyDescent="0.25">
      <c r="B20" s="4">
        <v>45834</v>
      </c>
      <c r="C20" s="2" t="s">
        <v>4450</v>
      </c>
      <c r="D20" s="2"/>
      <c r="E20" s="23">
        <v>113</v>
      </c>
      <c r="F20" s="2">
        <f t="shared" si="0"/>
        <v>10</v>
      </c>
      <c r="G20" s="2"/>
    </row>
    <row r="21" spans="2:7" x14ac:dyDescent="0.25">
      <c r="B21" s="4">
        <v>45835</v>
      </c>
      <c r="C21" s="2" t="s">
        <v>4449</v>
      </c>
      <c r="D21" s="2"/>
      <c r="E21" s="23">
        <v>119</v>
      </c>
      <c r="F21" s="2">
        <f t="shared" si="0"/>
        <v>6</v>
      </c>
      <c r="G21" s="2"/>
    </row>
    <row r="22" spans="2:7" x14ac:dyDescent="0.25">
      <c r="B22" s="4">
        <v>45836</v>
      </c>
      <c r="C22" s="2" t="s">
        <v>4458</v>
      </c>
      <c r="D22" s="2"/>
      <c r="E22" s="23">
        <v>124</v>
      </c>
      <c r="F22" s="2">
        <f t="shared" si="0"/>
        <v>5</v>
      </c>
      <c r="G22" s="2"/>
    </row>
    <row r="23" spans="2:7" x14ac:dyDescent="0.25">
      <c r="B23" s="4">
        <v>45837</v>
      </c>
      <c r="C23" s="2" t="s">
        <v>4459</v>
      </c>
      <c r="D23" s="2"/>
      <c r="E23" s="23">
        <v>126</v>
      </c>
      <c r="F23" s="2">
        <f t="shared" si="0"/>
        <v>2</v>
      </c>
      <c r="G23" s="2"/>
    </row>
    <row r="24" spans="2:7" x14ac:dyDescent="0.25">
      <c r="B24" s="4">
        <v>45838</v>
      </c>
      <c r="C24" s="2" t="s">
        <v>4471</v>
      </c>
      <c r="D24" s="2"/>
      <c r="E24" s="23">
        <v>128</v>
      </c>
      <c r="F24" s="2">
        <f t="shared" si="0"/>
        <v>2</v>
      </c>
      <c r="G24" s="2"/>
    </row>
    <row r="25" spans="2:7" x14ac:dyDescent="0.25">
      <c r="B25" s="4">
        <v>45839</v>
      </c>
      <c r="C25" s="2" t="s">
        <v>4488</v>
      </c>
      <c r="D25" s="2"/>
      <c r="E25" s="23">
        <v>134</v>
      </c>
      <c r="F25" s="2">
        <f t="shared" si="0"/>
        <v>6</v>
      </c>
      <c r="G25" s="2"/>
    </row>
    <row r="26" spans="2:7" x14ac:dyDescent="0.25">
      <c r="B26" s="4">
        <v>45840</v>
      </c>
      <c r="C26" s="2" t="s">
        <v>4495</v>
      </c>
      <c r="D26" s="2"/>
      <c r="E26" s="23">
        <v>140</v>
      </c>
      <c r="F26" s="2">
        <f t="shared" si="0"/>
        <v>6</v>
      </c>
      <c r="G26" s="2"/>
    </row>
    <row r="27" spans="2:7" x14ac:dyDescent="0.25">
      <c r="B27" s="4">
        <v>45841</v>
      </c>
      <c r="C27" s="2" t="s">
        <v>4507</v>
      </c>
      <c r="D27" s="2"/>
      <c r="E27" s="23">
        <v>146</v>
      </c>
      <c r="F27" s="2">
        <f t="shared" si="0"/>
        <v>6</v>
      </c>
      <c r="G27" s="2"/>
    </row>
    <row r="28" spans="2:7" x14ac:dyDescent="0.25">
      <c r="B28" s="4">
        <v>45842</v>
      </c>
      <c r="C28" s="2" t="s">
        <v>4519</v>
      </c>
      <c r="D28" s="2"/>
      <c r="E28" s="23">
        <v>152</v>
      </c>
      <c r="F28" s="2">
        <f t="shared" si="0"/>
        <v>6</v>
      </c>
      <c r="G28" s="2"/>
    </row>
    <row r="29" spans="2:7" x14ac:dyDescent="0.25">
      <c r="B29" s="4">
        <v>45843</v>
      </c>
      <c r="C29" s="2" t="s">
        <v>4520</v>
      </c>
      <c r="D29" s="2"/>
      <c r="E29" s="23">
        <v>154</v>
      </c>
      <c r="F29" s="2">
        <f t="shared" si="0"/>
        <v>2</v>
      </c>
      <c r="G29" s="2"/>
    </row>
    <row r="30" spans="2:7" x14ac:dyDescent="0.25">
      <c r="B30" s="4">
        <v>45844</v>
      </c>
      <c r="C30" s="2" t="s">
        <v>746</v>
      </c>
      <c r="D30" s="2"/>
      <c r="E30" s="23">
        <v>154</v>
      </c>
      <c r="F30" s="2">
        <f t="shared" si="0"/>
        <v>0</v>
      </c>
      <c r="G30" s="2"/>
    </row>
    <row r="31" spans="2:7" x14ac:dyDescent="0.25">
      <c r="B31" s="4">
        <v>45845</v>
      </c>
      <c r="C31" s="2" t="s">
        <v>4540</v>
      </c>
      <c r="D31" s="2"/>
      <c r="E31" s="23">
        <v>155</v>
      </c>
      <c r="F31" s="2">
        <f t="shared" si="0"/>
        <v>1</v>
      </c>
      <c r="G31" s="2"/>
    </row>
    <row r="32" spans="2:7" x14ac:dyDescent="0.25">
      <c r="B32" s="4">
        <v>45846</v>
      </c>
      <c r="C32" s="2" t="s">
        <v>4550</v>
      </c>
      <c r="D32" s="2"/>
      <c r="E32" s="23"/>
      <c r="F32" s="2">
        <f t="shared" si="0"/>
        <v>-155</v>
      </c>
      <c r="G32" s="2"/>
    </row>
    <row r="33" spans="2:7" x14ac:dyDescent="0.25">
      <c r="B33" s="4">
        <v>45847</v>
      </c>
      <c r="C33" s="2" t="s">
        <v>2170</v>
      </c>
      <c r="D33" s="2"/>
      <c r="E33" s="23"/>
      <c r="F33" s="2">
        <f t="shared" si="0"/>
        <v>0</v>
      </c>
      <c r="G33" s="2"/>
    </row>
    <row r="34" spans="2:7" x14ac:dyDescent="0.25">
      <c r="B34" s="4">
        <v>45848</v>
      </c>
      <c r="C34" s="2" t="s">
        <v>2181</v>
      </c>
      <c r="D34" s="2"/>
      <c r="E34" s="23"/>
      <c r="F34" s="2">
        <f t="shared" si="0"/>
        <v>0</v>
      </c>
      <c r="G34" s="2"/>
    </row>
    <row r="35" spans="2:7" x14ac:dyDescent="0.25">
      <c r="B35" s="4">
        <v>45849</v>
      </c>
      <c r="C35" s="2" t="s">
        <v>1610</v>
      </c>
      <c r="D35" s="2"/>
      <c r="E35" s="23"/>
      <c r="F35" s="2"/>
      <c r="G35" s="2"/>
    </row>
    <row r="36" spans="2:7" x14ac:dyDescent="0.25">
      <c r="B36" s="4">
        <v>45850</v>
      </c>
      <c r="C36" s="2" t="s">
        <v>4562</v>
      </c>
      <c r="D36" s="2" t="s">
        <v>4514</v>
      </c>
      <c r="E36" s="2"/>
      <c r="F36" s="2"/>
      <c r="G36" s="2"/>
    </row>
    <row r="37" spans="2:7" x14ac:dyDescent="0.25">
      <c r="B37" s="4">
        <v>45851</v>
      </c>
      <c r="C37" s="2" t="s">
        <v>3242</v>
      </c>
      <c r="D37" s="2"/>
      <c r="E37" s="2"/>
      <c r="F37" s="2"/>
      <c r="G37" s="2"/>
    </row>
    <row r="38" spans="2:7" x14ac:dyDescent="0.25">
      <c r="B38" s="4">
        <v>45852</v>
      </c>
      <c r="C38" s="2" t="s">
        <v>3281</v>
      </c>
      <c r="D38" s="2" t="s">
        <v>4587</v>
      </c>
      <c r="E38" s="2"/>
      <c r="F38" s="2"/>
      <c r="G38" s="2"/>
    </row>
    <row r="39" spans="2:7" x14ac:dyDescent="0.25">
      <c r="B39" s="4">
        <v>45853</v>
      </c>
      <c r="C39" s="2"/>
      <c r="D39" s="2"/>
      <c r="E39" s="2"/>
      <c r="F39" s="2"/>
      <c r="G39" s="2"/>
    </row>
    <row r="40" spans="2:7" x14ac:dyDescent="0.25">
      <c r="B40" s="4">
        <v>45854</v>
      </c>
      <c r="C40" s="2"/>
      <c r="D40" s="2"/>
      <c r="E40" s="2"/>
      <c r="F40" s="2"/>
      <c r="G40" s="2"/>
    </row>
    <row r="41" spans="2:7" x14ac:dyDescent="0.25">
      <c r="B41" s="4">
        <v>45855</v>
      </c>
      <c r="C41" s="2"/>
      <c r="D41" s="2"/>
      <c r="E41" s="2"/>
      <c r="F41" s="2"/>
      <c r="G41" s="2"/>
    </row>
    <row r="42" spans="2:7" x14ac:dyDescent="0.25">
      <c r="B42" s="4">
        <v>45856</v>
      </c>
      <c r="C42" s="2"/>
      <c r="D42" s="2"/>
      <c r="E42" s="2"/>
      <c r="F42" s="2"/>
      <c r="G42" s="2"/>
    </row>
    <row r="43" spans="2:7" x14ac:dyDescent="0.25">
      <c r="B43" s="4">
        <v>45857</v>
      </c>
      <c r="C43" s="2" t="s">
        <v>3281</v>
      </c>
      <c r="D43" s="2"/>
      <c r="E43" s="2"/>
      <c r="F43" s="2"/>
      <c r="G43" s="2"/>
    </row>
    <row r="44" spans="2:7" x14ac:dyDescent="0.25">
      <c r="B44" s="4">
        <v>45858</v>
      </c>
      <c r="C44" s="2" t="s">
        <v>4630</v>
      </c>
      <c r="D44" s="2"/>
      <c r="E44" s="2"/>
      <c r="F44" s="2"/>
      <c r="G44" s="2"/>
    </row>
    <row r="45" spans="2:7" x14ac:dyDescent="0.25">
      <c r="B45" s="4">
        <v>45859</v>
      </c>
      <c r="C45" s="2"/>
      <c r="D45" s="2"/>
      <c r="E45" s="2"/>
      <c r="F45" s="2"/>
      <c r="G45" s="2"/>
    </row>
    <row r="46" spans="2:7" x14ac:dyDescent="0.25">
      <c r="B46" s="4">
        <v>45860</v>
      </c>
      <c r="C46" s="2" t="s">
        <v>1166</v>
      </c>
      <c r="D46" s="2"/>
      <c r="E46" s="2"/>
      <c r="F46" s="2"/>
      <c r="G46" s="2"/>
    </row>
    <row r="47" spans="2:7" x14ac:dyDescent="0.25">
      <c r="B47" s="4">
        <v>45861</v>
      </c>
      <c r="C47" s="2" t="s">
        <v>2124</v>
      </c>
      <c r="D47" s="2"/>
      <c r="E47" s="2"/>
      <c r="F47" s="2"/>
      <c r="G47" s="2"/>
    </row>
    <row r="48" spans="2:7" x14ac:dyDescent="0.25">
      <c r="B48" s="4">
        <v>45862</v>
      </c>
      <c r="C48" s="2" t="s">
        <v>4681</v>
      </c>
      <c r="D48" s="2"/>
      <c r="E48" s="2"/>
      <c r="F48" s="2"/>
      <c r="G48" s="2"/>
    </row>
    <row r="49" spans="2:7" x14ac:dyDescent="0.25">
      <c r="B49" s="4">
        <v>45863</v>
      </c>
      <c r="C49" s="2"/>
      <c r="D49" s="2"/>
      <c r="E49" s="2"/>
      <c r="F49" s="2"/>
      <c r="G49" s="2"/>
    </row>
    <row r="50" spans="2:7" x14ac:dyDescent="0.25">
      <c r="B50" s="2"/>
      <c r="C50" s="2"/>
      <c r="D50" s="2"/>
      <c r="E50" s="2"/>
      <c r="F50" s="2"/>
      <c r="G50" s="2"/>
    </row>
    <row r="51" spans="2:7" x14ac:dyDescent="0.25">
      <c r="B51" s="2"/>
      <c r="C51" s="2"/>
      <c r="D51" s="2"/>
      <c r="E51" s="2"/>
      <c r="F51" s="2"/>
      <c r="G51" s="2"/>
    </row>
    <row r="52" spans="2:7" x14ac:dyDescent="0.25">
      <c r="B52" s="2"/>
      <c r="C52" s="2"/>
      <c r="D52" s="2"/>
      <c r="E52" s="2"/>
      <c r="F52" s="2"/>
      <c r="G52" s="2"/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tabColor theme="2"/>
  </sheetPr>
  <dimension ref="B3:G341"/>
  <sheetViews>
    <sheetView showGridLines="0" workbookViewId="0">
      <pane ySplit="4" topLeftCell="A323" activePane="bottomLeft" state="frozen"/>
      <selection pane="bottomLeft" activeCell="C332" sqref="C332"/>
    </sheetView>
  </sheetViews>
  <sheetFormatPr defaultRowHeight="15" x14ac:dyDescent="0.25"/>
  <cols>
    <col min="2" max="2" width="18" bestFit="1" customWidth="1"/>
    <col min="3" max="3" width="70" customWidth="1"/>
    <col min="4" max="4" width="42.5703125" bestFit="1" customWidth="1"/>
    <col min="5" max="5" width="11.85546875" bestFit="1" customWidth="1"/>
    <col min="7" max="7" width="11" bestFit="1" customWidth="1"/>
  </cols>
  <sheetData>
    <row r="3" spans="2:7" x14ac:dyDescent="0.25">
      <c r="B3" s="53" t="s">
        <v>5445</v>
      </c>
    </row>
    <row r="4" spans="2:7" ht="15.75" x14ac:dyDescent="0.25">
      <c r="B4" s="10" t="s">
        <v>0</v>
      </c>
      <c r="C4" s="11" t="s">
        <v>1</v>
      </c>
      <c r="D4" s="11" t="s">
        <v>2</v>
      </c>
      <c r="E4" s="11" t="s">
        <v>934</v>
      </c>
      <c r="F4" s="11" t="s">
        <v>1095</v>
      </c>
      <c r="G4" s="11" t="s">
        <v>1507</v>
      </c>
    </row>
    <row r="5" spans="2:7" x14ac:dyDescent="0.25">
      <c r="B5" s="4">
        <v>45483</v>
      </c>
      <c r="C5" s="2" t="s">
        <v>805</v>
      </c>
      <c r="D5" s="2"/>
      <c r="E5" s="23">
        <v>0</v>
      </c>
      <c r="F5" s="2"/>
      <c r="G5" s="2"/>
    </row>
    <row r="6" spans="2:7" x14ac:dyDescent="0.25">
      <c r="B6" s="4">
        <v>45486</v>
      </c>
      <c r="C6" s="2" t="s">
        <v>1125</v>
      </c>
      <c r="D6" s="2"/>
      <c r="E6" s="23">
        <v>34</v>
      </c>
      <c r="F6" s="23">
        <f>E6-E5</f>
        <v>34</v>
      </c>
      <c r="G6" s="2"/>
    </row>
    <row r="7" spans="2:7" x14ac:dyDescent="0.25">
      <c r="B7" s="4">
        <v>45488</v>
      </c>
      <c r="C7" s="2" t="s">
        <v>1130</v>
      </c>
      <c r="D7" s="2"/>
      <c r="E7" s="23">
        <v>40</v>
      </c>
      <c r="F7" s="23">
        <f t="shared" ref="F7:F37" si="0">E7-E6</f>
        <v>6</v>
      </c>
      <c r="G7" s="2"/>
    </row>
    <row r="8" spans="2:7" x14ac:dyDescent="0.25">
      <c r="B8" s="4">
        <v>45490</v>
      </c>
      <c r="C8" s="2" t="s">
        <v>1157</v>
      </c>
      <c r="D8" s="2" t="s">
        <v>1020</v>
      </c>
      <c r="E8" s="23">
        <v>34</v>
      </c>
      <c r="F8" s="23">
        <f t="shared" si="0"/>
        <v>-6</v>
      </c>
      <c r="G8" s="2"/>
    </row>
    <row r="9" spans="2:7" x14ac:dyDescent="0.25">
      <c r="B9" s="4">
        <v>45491</v>
      </c>
      <c r="C9" s="2" t="s">
        <v>1170</v>
      </c>
      <c r="D9" s="2"/>
      <c r="E9" s="23">
        <v>41</v>
      </c>
      <c r="F9" s="23">
        <f t="shared" si="0"/>
        <v>7</v>
      </c>
      <c r="G9" s="2"/>
    </row>
    <row r="10" spans="2:7" x14ac:dyDescent="0.25">
      <c r="B10" s="4">
        <v>45492</v>
      </c>
      <c r="C10" s="2" t="s">
        <v>1207</v>
      </c>
      <c r="D10" s="2"/>
      <c r="E10" s="23">
        <v>0</v>
      </c>
      <c r="F10" s="23">
        <f t="shared" si="0"/>
        <v>-41</v>
      </c>
      <c r="G10" s="2"/>
    </row>
    <row r="11" spans="2:7" x14ac:dyDescent="0.25">
      <c r="B11" s="4">
        <v>45499</v>
      </c>
      <c r="C11" s="2" t="s">
        <v>1260</v>
      </c>
      <c r="D11" s="2"/>
      <c r="E11" s="23">
        <v>0</v>
      </c>
      <c r="F11" s="23">
        <f t="shared" si="0"/>
        <v>0</v>
      </c>
      <c r="G11" s="2"/>
    </row>
    <row r="12" spans="2:7" x14ac:dyDescent="0.25">
      <c r="B12" s="4">
        <v>45502</v>
      </c>
      <c r="C12" s="2" t="s">
        <v>1303</v>
      </c>
      <c r="D12" s="2"/>
      <c r="E12" s="23">
        <v>6</v>
      </c>
      <c r="F12" s="23">
        <f t="shared" si="0"/>
        <v>6</v>
      </c>
      <c r="G12" s="2"/>
    </row>
    <row r="13" spans="2:7" x14ac:dyDescent="0.25">
      <c r="B13" s="4">
        <v>45503</v>
      </c>
      <c r="C13" s="2" t="s">
        <v>1313</v>
      </c>
      <c r="D13" s="2"/>
      <c r="E13" s="23">
        <v>12</v>
      </c>
      <c r="F13" s="23">
        <f t="shared" si="0"/>
        <v>6</v>
      </c>
      <c r="G13" s="2"/>
    </row>
    <row r="14" spans="2:7" x14ac:dyDescent="0.25">
      <c r="B14" s="4">
        <v>45505</v>
      </c>
      <c r="C14" s="2" t="s">
        <v>1334</v>
      </c>
      <c r="D14" s="2"/>
      <c r="E14" s="23">
        <v>30</v>
      </c>
      <c r="F14" s="23">
        <f t="shared" si="0"/>
        <v>18</v>
      </c>
      <c r="G14" s="2"/>
    </row>
    <row r="15" spans="2:7" x14ac:dyDescent="0.25">
      <c r="B15" s="4">
        <v>45506</v>
      </c>
      <c r="C15" s="2" t="s">
        <v>1337</v>
      </c>
      <c r="D15" s="2" t="s">
        <v>1366</v>
      </c>
      <c r="E15" s="23">
        <v>30</v>
      </c>
      <c r="F15" s="23">
        <f t="shared" si="0"/>
        <v>0</v>
      </c>
      <c r="G15" s="2"/>
    </row>
    <row r="16" spans="2:7" x14ac:dyDescent="0.25">
      <c r="B16" s="4">
        <v>45507</v>
      </c>
      <c r="C16" s="2" t="s">
        <v>1365</v>
      </c>
      <c r="D16" s="2" t="s">
        <v>1367</v>
      </c>
      <c r="E16" s="23">
        <v>30</v>
      </c>
      <c r="F16" s="23">
        <f t="shared" si="0"/>
        <v>0</v>
      </c>
      <c r="G16" s="2"/>
    </row>
    <row r="17" spans="2:7" x14ac:dyDescent="0.25">
      <c r="B17" s="4">
        <v>45508</v>
      </c>
      <c r="C17" s="2" t="s">
        <v>1365</v>
      </c>
      <c r="D17" s="2" t="s">
        <v>1368</v>
      </c>
      <c r="E17" s="23">
        <v>30</v>
      </c>
      <c r="F17" s="23">
        <f t="shared" si="0"/>
        <v>0</v>
      </c>
      <c r="G17" s="2"/>
    </row>
    <row r="18" spans="2:7" x14ac:dyDescent="0.25">
      <c r="B18" s="4">
        <v>45509</v>
      </c>
      <c r="C18" s="2" t="s">
        <v>1365</v>
      </c>
      <c r="D18" s="2" t="s">
        <v>1377</v>
      </c>
      <c r="E18" s="23">
        <v>30</v>
      </c>
      <c r="F18" s="23">
        <f t="shared" si="0"/>
        <v>0</v>
      </c>
      <c r="G18" s="2"/>
    </row>
    <row r="19" spans="2:7" x14ac:dyDescent="0.25">
      <c r="B19" s="4">
        <v>45510</v>
      </c>
      <c r="C19" s="2" t="s">
        <v>1365</v>
      </c>
      <c r="D19" s="2" t="s">
        <v>1384</v>
      </c>
      <c r="E19" s="23">
        <v>30</v>
      </c>
      <c r="F19" s="23">
        <f t="shared" si="0"/>
        <v>0</v>
      </c>
      <c r="G19" s="2"/>
    </row>
    <row r="20" spans="2:7" x14ac:dyDescent="0.25">
      <c r="B20" s="4">
        <v>45511</v>
      </c>
      <c r="C20" s="2" t="s">
        <v>1406</v>
      </c>
      <c r="D20" s="2" t="s">
        <v>1409</v>
      </c>
      <c r="E20" s="23">
        <v>32</v>
      </c>
      <c r="F20" s="23">
        <f t="shared" si="0"/>
        <v>2</v>
      </c>
      <c r="G20" s="2"/>
    </row>
    <row r="21" spans="2:7" x14ac:dyDescent="0.25">
      <c r="B21" s="4">
        <v>45512</v>
      </c>
      <c r="C21" s="2" t="s">
        <v>1365</v>
      </c>
      <c r="D21" s="2" t="s">
        <v>1419</v>
      </c>
      <c r="E21" s="23">
        <v>32</v>
      </c>
      <c r="F21" s="23">
        <f t="shared" si="0"/>
        <v>0</v>
      </c>
      <c r="G21" s="2"/>
    </row>
    <row r="22" spans="2:7" x14ac:dyDescent="0.25">
      <c r="B22" s="4">
        <v>45513</v>
      </c>
      <c r="C22" s="2" t="s">
        <v>1429</v>
      </c>
      <c r="D22" s="2"/>
      <c r="E22" s="23">
        <v>32</v>
      </c>
      <c r="F22" s="23">
        <f t="shared" si="0"/>
        <v>0</v>
      </c>
      <c r="G22" s="2"/>
    </row>
    <row r="23" spans="2:7" x14ac:dyDescent="0.25">
      <c r="B23" s="4">
        <v>45516</v>
      </c>
      <c r="C23" s="2" t="s">
        <v>1453</v>
      </c>
      <c r="D23" s="2"/>
      <c r="E23" s="23">
        <v>32</v>
      </c>
      <c r="F23" s="23">
        <f t="shared" si="0"/>
        <v>0</v>
      </c>
      <c r="G23" s="2"/>
    </row>
    <row r="24" spans="2:7" x14ac:dyDescent="0.25">
      <c r="B24" s="4">
        <v>45518</v>
      </c>
      <c r="C24" s="2" t="s">
        <v>1480</v>
      </c>
      <c r="D24" s="2"/>
      <c r="E24" s="23">
        <v>50</v>
      </c>
      <c r="F24" s="23">
        <f t="shared" si="0"/>
        <v>18</v>
      </c>
      <c r="G24" s="2"/>
    </row>
    <row r="25" spans="2:7" x14ac:dyDescent="0.25">
      <c r="B25" s="4">
        <v>45519</v>
      </c>
      <c r="C25" s="2" t="s">
        <v>1522</v>
      </c>
      <c r="D25" s="2"/>
      <c r="E25" s="23">
        <v>0</v>
      </c>
      <c r="F25" s="23">
        <f t="shared" si="0"/>
        <v>-50</v>
      </c>
      <c r="G25" s="2"/>
    </row>
    <row r="26" spans="2:7" x14ac:dyDescent="0.25">
      <c r="B26" s="4">
        <v>45520</v>
      </c>
      <c r="C26" s="2" t="s">
        <v>1519</v>
      </c>
      <c r="D26" s="2"/>
      <c r="E26" s="23">
        <v>52</v>
      </c>
      <c r="F26" s="23">
        <f t="shared" si="0"/>
        <v>52</v>
      </c>
      <c r="G26" s="2"/>
    </row>
    <row r="27" spans="2:7" x14ac:dyDescent="0.25">
      <c r="B27" s="4">
        <v>45521</v>
      </c>
      <c r="C27" s="2" t="s">
        <v>480</v>
      </c>
      <c r="D27" s="2"/>
      <c r="E27" s="23">
        <v>52</v>
      </c>
      <c r="F27" s="23">
        <f t="shared" si="0"/>
        <v>0</v>
      </c>
      <c r="G27" s="2"/>
    </row>
    <row r="28" spans="2:7" x14ac:dyDescent="0.25">
      <c r="B28" s="4">
        <v>45522</v>
      </c>
      <c r="C28" s="2" t="s">
        <v>1523</v>
      </c>
      <c r="D28" s="2"/>
      <c r="E28" s="23">
        <v>52</v>
      </c>
      <c r="F28" s="23">
        <f t="shared" si="0"/>
        <v>0</v>
      </c>
      <c r="G28" s="2"/>
    </row>
    <row r="29" spans="2:7" x14ac:dyDescent="0.25">
      <c r="B29" s="4">
        <v>45523</v>
      </c>
      <c r="C29" s="2" t="s">
        <v>1543</v>
      </c>
      <c r="D29" s="2"/>
      <c r="E29" s="23">
        <v>53</v>
      </c>
      <c r="F29" s="23">
        <f t="shared" si="0"/>
        <v>1</v>
      </c>
      <c r="G29" s="2"/>
    </row>
    <row r="30" spans="2:7" x14ac:dyDescent="0.25">
      <c r="B30" s="4">
        <v>45524</v>
      </c>
      <c r="C30" s="2" t="s">
        <v>1549</v>
      </c>
      <c r="D30" s="2"/>
      <c r="E30" s="23">
        <v>53</v>
      </c>
      <c r="F30" s="23">
        <f t="shared" si="0"/>
        <v>0</v>
      </c>
      <c r="G30" s="2"/>
    </row>
    <row r="31" spans="2:7" x14ac:dyDescent="0.25">
      <c r="B31" s="4">
        <v>45525</v>
      </c>
      <c r="C31" s="2" t="s">
        <v>1557</v>
      </c>
      <c r="D31" s="2"/>
      <c r="E31" s="23">
        <v>50</v>
      </c>
      <c r="F31" s="23">
        <f t="shared" si="0"/>
        <v>-3</v>
      </c>
      <c r="G31" s="2"/>
    </row>
    <row r="32" spans="2:7" x14ac:dyDescent="0.25">
      <c r="B32" s="4">
        <v>45526</v>
      </c>
      <c r="C32" s="2" t="s">
        <v>1557</v>
      </c>
      <c r="D32" s="2"/>
      <c r="E32" s="23">
        <v>50</v>
      </c>
      <c r="F32" s="23">
        <f t="shared" si="0"/>
        <v>0</v>
      </c>
      <c r="G32" s="2"/>
    </row>
    <row r="33" spans="2:7" x14ac:dyDescent="0.25">
      <c r="B33" s="4">
        <v>45527</v>
      </c>
      <c r="C33" s="2" t="s">
        <v>1557</v>
      </c>
      <c r="D33" s="2"/>
      <c r="E33" s="23">
        <v>50</v>
      </c>
      <c r="F33" s="23">
        <f t="shared" si="0"/>
        <v>0</v>
      </c>
      <c r="G33" s="2"/>
    </row>
    <row r="34" spans="2:7" x14ac:dyDescent="0.25">
      <c r="B34" s="4">
        <v>45528</v>
      </c>
      <c r="C34" s="2" t="s">
        <v>1557</v>
      </c>
      <c r="D34" s="2"/>
      <c r="E34" s="23">
        <v>50</v>
      </c>
      <c r="F34" s="23">
        <f t="shared" si="0"/>
        <v>0</v>
      </c>
      <c r="G34" s="2"/>
    </row>
    <row r="35" spans="2:7" x14ac:dyDescent="0.25">
      <c r="B35" s="4">
        <v>45529</v>
      </c>
      <c r="C35" s="2" t="s">
        <v>1557</v>
      </c>
      <c r="D35" s="2"/>
      <c r="E35" s="23">
        <v>50</v>
      </c>
      <c r="F35" s="23">
        <f t="shared" si="0"/>
        <v>0</v>
      </c>
      <c r="G35" s="2"/>
    </row>
    <row r="36" spans="2:7" x14ac:dyDescent="0.25">
      <c r="B36" s="4">
        <v>45530</v>
      </c>
      <c r="C36" s="2" t="s">
        <v>1557</v>
      </c>
      <c r="D36" s="2"/>
      <c r="E36" s="23">
        <v>50</v>
      </c>
      <c r="F36" s="23">
        <f t="shared" si="0"/>
        <v>0</v>
      </c>
      <c r="G36" s="2"/>
    </row>
    <row r="37" spans="2:7" x14ac:dyDescent="0.25">
      <c r="B37" s="4">
        <v>45531</v>
      </c>
      <c r="C37" s="2" t="s">
        <v>1635</v>
      </c>
      <c r="D37" s="2" t="s">
        <v>1633</v>
      </c>
      <c r="E37" s="23">
        <v>50</v>
      </c>
      <c r="F37" s="23">
        <f t="shared" si="0"/>
        <v>0</v>
      </c>
      <c r="G37" s="2"/>
    </row>
    <row r="38" spans="2:7" x14ac:dyDescent="0.25">
      <c r="B38" s="4">
        <v>45532</v>
      </c>
      <c r="C38" s="2" t="s">
        <v>1646</v>
      </c>
      <c r="D38" s="2"/>
      <c r="E38" s="23">
        <v>0</v>
      </c>
      <c r="F38" s="2"/>
      <c r="G38" s="2"/>
    </row>
    <row r="39" spans="2:7" x14ac:dyDescent="0.25">
      <c r="B39" s="4">
        <v>45533</v>
      </c>
      <c r="C39" s="2" t="s">
        <v>1657</v>
      </c>
      <c r="D39" s="2"/>
      <c r="E39" s="23">
        <v>35</v>
      </c>
      <c r="F39" s="2">
        <f>E39-E38</f>
        <v>35</v>
      </c>
      <c r="G39" s="2"/>
    </row>
    <row r="40" spans="2:7" x14ac:dyDescent="0.25">
      <c r="B40" s="4">
        <v>45534</v>
      </c>
      <c r="C40" s="2" t="s">
        <v>1695</v>
      </c>
      <c r="D40" s="2"/>
      <c r="E40" s="23">
        <v>35</v>
      </c>
      <c r="F40" s="2">
        <f t="shared" ref="F40:F103" si="1">E40-E39</f>
        <v>0</v>
      </c>
      <c r="G40" s="2"/>
    </row>
    <row r="41" spans="2:7" x14ac:dyDescent="0.25">
      <c r="B41" s="4">
        <v>45535</v>
      </c>
      <c r="C41" s="2" t="s">
        <v>1696</v>
      </c>
      <c r="D41" s="2"/>
      <c r="E41" s="23">
        <v>35</v>
      </c>
      <c r="F41" s="2">
        <f t="shared" si="1"/>
        <v>0</v>
      </c>
      <c r="G41" s="2"/>
    </row>
    <row r="42" spans="2:7" x14ac:dyDescent="0.25">
      <c r="B42" s="4">
        <v>45536</v>
      </c>
      <c r="C42" s="2" t="s">
        <v>1007</v>
      </c>
      <c r="D42" s="2"/>
      <c r="E42" s="23">
        <v>35.200000000000003</v>
      </c>
      <c r="F42" s="2">
        <f t="shared" si="1"/>
        <v>0.20000000000000284</v>
      </c>
      <c r="G42" s="2"/>
    </row>
    <row r="43" spans="2:7" x14ac:dyDescent="0.25">
      <c r="B43" s="4">
        <v>45537</v>
      </c>
      <c r="C43" s="2" t="s">
        <v>144</v>
      </c>
      <c r="D43" s="2"/>
      <c r="E43" s="23">
        <v>35.200000000000003</v>
      </c>
      <c r="F43" s="2">
        <f t="shared" si="1"/>
        <v>0</v>
      </c>
      <c r="G43" s="2"/>
    </row>
    <row r="44" spans="2:7" x14ac:dyDescent="0.25">
      <c r="B44" s="4">
        <v>45538</v>
      </c>
      <c r="C44" s="2" t="s">
        <v>1730</v>
      </c>
      <c r="D44" s="2"/>
      <c r="E44" s="23">
        <v>35.200000000000003</v>
      </c>
      <c r="F44" s="2">
        <f t="shared" si="1"/>
        <v>0</v>
      </c>
      <c r="G44" s="2"/>
    </row>
    <row r="45" spans="2:7" x14ac:dyDescent="0.25">
      <c r="B45" s="4">
        <v>45539</v>
      </c>
      <c r="C45" s="2" t="s">
        <v>1007</v>
      </c>
      <c r="D45" s="2"/>
      <c r="E45" s="23">
        <v>35.4</v>
      </c>
      <c r="F45" s="2">
        <f t="shared" si="1"/>
        <v>0.19999999999999574</v>
      </c>
      <c r="G45" s="2"/>
    </row>
    <row r="46" spans="2:7" x14ac:dyDescent="0.25">
      <c r="B46" s="4">
        <v>45540</v>
      </c>
      <c r="C46" s="2" t="s">
        <v>1777</v>
      </c>
      <c r="D46" s="2"/>
      <c r="E46" s="23">
        <v>35.4</v>
      </c>
      <c r="F46" s="2">
        <f t="shared" si="1"/>
        <v>0</v>
      </c>
      <c r="G46" s="2"/>
    </row>
    <row r="47" spans="2:7" x14ac:dyDescent="0.25">
      <c r="B47" s="4">
        <v>45541</v>
      </c>
      <c r="C47" s="2" t="s">
        <v>1792</v>
      </c>
      <c r="D47" s="2"/>
      <c r="E47" s="23">
        <v>35.4</v>
      </c>
      <c r="F47" s="2">
        <f t="shared" si="1"/>
        <v>0</v>
      </c>
      <c r="G47" s="2"/>
    </row>
    <row r="48" spans="2:7" x14ac:dyDescent="0.25">
      <c r="B48" s="4">
        <v>45542</v>
      </c>
      <c r="C48" s="2" t="s">
        <v>1792</v>
      </c>
      <c r="D48" s="2"/>
      <c r="E48" s="23">
        <v>35.4</v>
      </c>
      <c r="F48" s="2">
        <f t="shared" si="1"/>
        <v>0</v>
      </c>
      <c r="G48" s="2"/>
    </row>
    <row r="49" spans="2:7" x14ac:dyDescent="0.25">
      <c r="B49" s="4">
        <v>45543</v>
      </c>
      <c r="C49" s="2" t="s">
        <v>1792</v>
      </c>
      <c r="D49" s="2"/>
      <c r="E49" s="23">
        <v>35.4</v>
      </c>
      <c r="F49" s="2">
        <f t="shared" si="1"/>
        <v>0</v>
      </c>
      <c r="G49" s="2"/>
    </row>
    <row r="50" spans="2:7" x14ac:dyDescent="0.25">
      <c r="B50" s="4">
        <v>45544</v>
      </c>
      <c r="C50" s="2" t="s">
        <v>1792</v>
      </c>
      <c r="D50" s="2"/>
      <c r="E50" s="23">
        <v>35.4</v>
      </c>
      <c r="F50" s="2">
        <f t="shared" si="1"/>
        <v>0</v>
      </c>
      <c r="G50" s="2"/>
    </row>
    <row r="51" spans="2:7" x14ac:dyDescent="0.25">
      <c r="B51" s="4">
        <v>45545</v>
      </c>
      <c r="C51" s="2" t="s">
        <v>1792</v>
      </c>
      <c r="D51" s="2"/>
      <c r="E51" s="23">
        <v>35.4</v>
      </c>
      <c r="F51" s="2">
        <f t="shared" si="1"/>
        <v>0</v>
      </c>
      <c r="G51" s="2"/>
    </row>
    <row r="52" spans="2:7" x14ac:dyDescent="0.25">
      <c r="B52" s="4">
        <v>45546</v>
      </c>
      <c r="C52" s="2" t="s">
        <v>1792</v>
      </c>
      <c r="D52" s="2"/>
      <c r="E52" s="23">
        <v>35.4</v>
      </c>
      <c r="F52" s="2">
        <f t="shared" si="1"/>
        <v>0</v>
      </c>
      <c r="G52" s="2"/>
    </row>
    <row r="53" spans="2:7" x14ac:dyDescent="0.25">
      <c r="B53" s="4">
        <v>45547</v>
      </c>
      <c r="C53" s="2" t="s">
        <v>1879</v>
      </c>
      <c r="D53" s="2" t="s">
        <v>1841</v>
      </c>
      <c r="E53" s="23">
        <v>59</v>
      </c>
      <c r="F53" s="2">
        <f t="shared" si="1"/>
        <v>23.6</v>
      </c>
      <c r="G53" s="2"/>
    </row>
    <row r="54" spans="2:7" x14ac:dyDescent="0.25">
      <c r="B54" s="4">
        <v>45548</v>
      </c>
      <c r="C54" s="2" t="s">
        <v>1880</v>
      </c>
      <c r="D54" s="2"/>
      <c r="E54" s="23">
        <v>65</v>
      </c>
      <c r="F54" s="2">
        <f t="shared" si="1"/>
        <v>6</v>
      </c>
      <c r="G54" s="2"/>
    </row>
    <row r="55" spans="2:7" x14ac:dyDescent="0.25">
      <c r="B55" s="4">
        <v>45549</v>
      </c>
      <c r="C55" s="2" t="s">
        <v>1880</v>
      </c>
      <c r="D55" s="2"/>
      <c r="E55" s="23">
        <v>65</v>
      </c>
      <c r="F55" s="2">
        <f t="shared" si="1"/>
        <v>0</v>
      </c>
      <c r="G55" s="2"/>
    </row>
    <row r="56" spans="2:7" x14ac:dyDescent="0.25">
      <c r="B56" s="4">
        <v>45550</v>
      </c>
      <c r="C56" s="2" t="s">
        <v>1880</v>
      </c>
      <c r="D56" s="2"/>
      <c r="E56" s="23">
        <v>65</v>
      </c>
      <c r="F56" s="2">
        <f t="shared" si="1"/>
        <v>0</v>
      </c>
      <c r="G56" s="2"/>
    </row>
    <row r="57" spans="2:7" x14ac:dyDescent="0.25">
      <c r="B57" s="4">
        <v>45551</v>
      </c>
      <c r="C57" s="2" t="s">
        <v>1880</v>
      </c>
      <c r="D57" s="2"/>
      <c r="E57" s="23">
        <v>65</v>
      </c>
      <c r="F57" s="2">
        <f t="shared" si="1"/>
        <v>0</v>
      </c>
      <c r="G57" s="2"/>
    </row>
    <row r="58" spans="2:7" x14ac:dyDescent="0.25">
      <c r="B58" s="4">
        <v>45552</v>
      </c>
      <c r="C58" s="2" t="s">
        <v>1919</v>
      </c>
      <c r="D58" s="2" t="s">
        <v>1920</v>
      </c>
      <c r="E58" s="23">
        <v>65</v>
      </c>
      <c r="F58" s="2">
        <f t="shared" si="1"/>
        <v>0</v>
      </c>
      <c r="G58" s="2"/>
    </row>
    <row r="59" spans="2:7" x14ac:dyDescent="0.25">
      <c r="B59" s="4">
        <v>45553</v>
      </c>
      <c r="C59" s="2" t="s">
        <v>1919</v>
      </c>
      <c r="D59" s="2"/>
      <c r="E59" s="23">
        <v>65</v>
      </c>
      <c r="F59" s="2">
        <f t="shared" si="1"/>
        <v>0</v>
      </c>
      <c r="G59" s="2"/>
    </row>
    <row r="60" spans="2:7" x14ac:dyDescent="0.25">
      <c r="B60" s="4">
        <v>45554</v>
      </c>
      <c r="C60" s="2" t="s">
        <v>1919</v>
      </c>
      <c r="D60" s="2" t="s">
        <v>1948</v>
      </c>
      <c r="E60" s="23">
        <v>65</v>
      </c>
      <c r="F60" s="2">
        <f t="shared" si="1"/>
        <v>0</v>
      </c>
      <c r="G60" s="2"/>
    </row>
    <row r="61" spans="2:7" x14ac:dyDescent="0.25">
      <c r="B61" s="4">
        <v>45555</v>
      </c>
      <c r="C61" s="2" t="s">
        <v>1957</v>
      </c>
      <c r="D61" s="2"/>
      <c r="E61" s="23">
        <v>65</v>
      </c>
      <c r="F61" s="2">
        <f t="shared" si="1"/>
        <v>0</v>
      </c>
      <c r="G61" s="2"/>
    </row>
    <row r="62" spans="2:7" x14ac:dyDescent="0.25">
      <c r="B62" s="4">
        <v>45556</v>
      </c>
      <c r="C62" s="2" t="s">
        <v>1919</v>
      </c>
      <c r="D62" s="2"/>
      <c r="E62" s="23">
        <v>65</v>
      </c>
      <c r="F62" s="2">
        <f t="shared" si="1"/>
        <v>0</v>
      </c>
      <c r="G62" s="2"/>
    </row>
    <row r="63" spans="2:7" x14ac:dyDescent="0.25">
      <c r="B63" s="4">
        <v>45557</v>
      </c>
      <c r="C63" s="2" t="s">
        <v>480</v>
      </c>
      <c r="D63" s="2"/>
      <c r="E63" s="23">
        <v>65</v>
      </c>
      <c r="F63" s="2">
        <f t="shared" si="1"/>
        <v>0</v>
      </c>
      <c r="G63" s="2"/>
    </row>
    <row r="64" spans="2:7" x14ac:dyDescent="0.25">
      <c r="B64" s="4">
        <v>45558</v>
      </c>
      <c r="C64" s="2" t="s">
        <v>480</v>
      </c>
      <c r="D64" s="2"/>
      <c r="E64" s="23">
        <v>65</v>
      </c>
      <c r="F64" s="2">
        <f t="shared" si="1"/>
        <v>0</v>
      </c>
      <c r="G64" s="2"/>
    </row>
    <row r="65" spans="2:7" x14ac:dyDescent="0.25">
      <c r="B65" s="4">
        <v>45559</v>
      </c>
      <c r="C65" s="2" t="s">
        <v>480</v>
      </c>
      <c r="D65" s="2"/>
      <c r="E65" s="23">
        <v>65</v>
      </c>
      <c r="F65" s="2">
        <f t="shared" si="1"/>
        <v>0</v>
      </c>
      <c r="G65" s="2"/>
    </row>
    <row r="66" spans="2:7" ht="45" x14ac:dyDescent="0.25">
      <c r="B66" s="5">
        <v>45560</v>
      </c>
      <c r="C66" s="30" t="s">
        <v>1996</v>
      </c>
      <c r="D66" s="2"/>
      <c r="E66" s="23">
        <v>65</v>
      </c>
      <c r="F66" s="2">
        <f t="shared" si="1"/>
        <v>0</v>
      </c>
      <c r="G66" s="2"/>
    </row>
    <row r="67" spans="2:7" x14ac:dyDescent="0.25">
      <c r="B67" s="5">
        <v>45561</v>
      </c>
      <c r="C67" s="2" t="s">
        <v>2051</v>
      </c>
      <c r="D67" s="2" t="s">
        <v>2044</v>
      </c>
      <c r="E67" s="23">
        <v>65</v>
      </c>
      <c r="F67" s="2">
        <f t="shared" si="1"/>
        <v>0</v>
      </c>
      <c r="G67" s="2"/>
    </row>
    <row r="68" spans="2:7" x14ac:dyDescent="0.25">
      <c r="B68" s="5">
        <v>45562</v>
      </c>
      <c r="C68" s="2" t="s">
        <v>2051</v>
      </c>
      <c r="D68" s="2"/>
      <c r="E68" s="23">
        <v>65</v>
      </c>
      <c r="F68" s="2">
        <f t="shared" si="1"/>
        <v>0</v>
      </c>
      <c r="G68" s="2"/>
    </row>
    <row r="69" spans="2:7" x14ac:dyDescent="0.25">
      <c r="B69" s="5">
        <v>45563</v>
      </c>
      <c r="C69" s="2" t="s">
        <v>2051</v>
      </c>
      <c r="D69" s="2"/>
      <c r="E69" s="23">
        <v>65</v>
      </c>
      <c r="F69" s="2">
        <f t="shared" si="1"/>
        <v>0</v>
      </c>
      <c r="G69" s="2"/>
    </row>
    <row r="70" spans="2:7" x14ac:dyDescent="0.25">
      <c r="B70" s="5">
        <v>45564</v>
      </c>
      <c r="C70" s="2" t="s">
        <v>2051</v>
      </c>
      <c r="D70" s="2"/>
      <c r="E70" s="23">
        <v>65</v>
      </c>
      <c r="F70" s="2">
        <f t="shared" si="1"/>
        <v>0</v>
      </c>
      <c r="G70" s="2"/>
    </row>
    <row r="71" spans="2:7" x14ac:dyDescent="0.25">
      <c r="B71" s="5">
        <v>45565</v>
      </c>
      <c r="C71" s="2" t="s">
        <v>2051</v>
      </c>
      <c r="D71" s="2"/>
      <c r="E71" s="23">
        <v>65</v>
      </c>
      <c r="F71" s="2">
        <f t="shared" si="1"/>
        <v>0</v>
      </c>
      <c r="G71" s="2"/>
    </row>
    <row r="72" spans="2:7" x14ac:dyDescent="0.25">
      <c r="B72" s="5">
        <v>45566</v>
      </c>
      <c r="C72" s="2" t="s">
        <v>1398</v>
      </c>
      <c r="D72" s="2"/>
      <c r="E72" s="23">
        <v>65</v>
      </c>
      <c r="F72" s="2">
        <f t="shared" si="1"/>
        <v>0</v>
      </c>
      <c r="G72" s="2"/>
    </row>
    <row r="73" spans="2:7" x14ac:dyDescent="0.25">
      <c r="B73" s="5">
        <v>45567</v>
      </c>
      <c r="C73" s="2" t="s">
        <v>2085</v>
      </c>
      <c r="D73" s="2"/>
      <c r="E73" s="23">
        <v>0</v>
      </c>
      <c r="F73" s="2">
        <f t="shared" si="1"/>
        <v>-65</v>
      </c>
      <c r="G73" s="2"/>
    </row>
    <row r="74" spans="2:7" x14ac:dyDescent="0.25">
      <c r="B74" s="5">
        <v>45568</v>
      </c>
      <c r="C74" s="2" t="s">
        <v>2086</v>
      </c>
      <c r="D74" s="2" t="s">
        <v>2093</v>
      </c>
      <c r="E74" s="23">
        <v>48</v>
      </c>
      <c r="F74" s="2">
        <f t="shared" si="1"/>
        <v>48</v>
      </c>
      <c r="G74" s="2"/>
    </row>
    <row r="75" spans="2:7" x14ac:dyDescent="0.25">
      <c r="B75" s="5">
        <v>45569</v>
      </c>
      <c r="C75" s="2" t="s">
        <v>2105</v>
      </c>
      <c r="D75" s="2" t="s">
        <v>2094</v>
      </c>
      <c r="E75" s="23">
        <v>54</v>
      </c>
      <c r="F75" s="2">
        <f t="shared" si="1"/>
        <v>6</v>
      </c>
      <c r="G75" s="2"/>
    </row>
    <row r="76" spans="2:7" x14ac:dyDescent="0.25">
      <c r="B76" s="5">
        <v>45570</v>
      </c>
      <c r="C76" s="2"/>
      <c r="D76" s="2" t="s">
        <v>2095</v>
      </c>
      <c r="E76" s="23">
        <v>54</v>
      </c>
      <c r="F76" s="2">
        <f t="shared" si="1"/>
        <v>0</v>
      </c>
      <c r="G76" s="2"/>
    </row>
    <row r="77" spans="2:7" x14ac:dyDescent="0.25">
      <c r="B77" s="5">
        <v>45571</v>
      </c>
      <c r="C77" s="2"/>
      <c r="D77" s="2" t="s">
        <v>2106</v>
      </c>
      <c r="E77" s="23">
        <v>54</v>
      </c>
      <c r="F77" s="2">
        <f t="shared" si="1"/>
        <v>0</v>
      </c>
      <c r="G77" s="2"/>
    </row>
    <row r="78" spans="2:7" x14ac:dyDescent="0.25">
      <c r="B78" s="5">
        <v>45572</v>
      </c>
      <c r="C78" s="2" t="s">
        <v>2130</v>
      </c>
      <c r="D78" s="2"/>
      <c r="E78" s="23">
        <v>54</v>
      </c>
      <c r="F78" s="2">
        <f t="shared" si="1"/>
        <v>0</v>
      </c>
      <c r="G78" s="2"/>
    </row>
    <row r="79" spans="2:7" x14ac:dyDescent="0.25">
      <c r="B79" s="5">
        <v>45573</v>
      </c>
      <c r="C79" s="2" t="s">
        <v>2143</v>
      </c>
      <c r="D79" s="2"/>
      <c r="E79" s="23">
        <v>54</v>
      </c>
      <c r="F79" s="2">
        <f t="shared" si="1"/>
        <v>0</v>
      </c>
      <c r="G79" s="2"/>
    </row>
    <row r="80" spans="2:7" x14ac:dyDescent="0.25">
      <c r="B80" s="5">
        <v>45574</v>
      </c>
      <c r="C80" s="2" t="s">
        <v>2143</v>
      </c>
      <c r="D80" s="2"/>
      <c r="E80" s="23">
        <v>54</v>
      </c>
      <c r="F80" s="2">
        <f t="shared" si="1"/>
        <v>0</v>
      </c>
      <c r="G80" s="2"/>
    </row>
    <row r="81" spans="2:7" x14ac:dyDescent="0.25">
      <c r="B81" s="5">
        <v>45575</v>
      </c>
      <c r="C81" s="2" t="s">
        <v>2166</v>
      </c>
      <c r="D81" s="2"/>
      <c r="E81" s="23">
        <v>54</v>
      </c>
      <c r="F81" s="2">
        <f t="shared" si="1"/>
        <v>0</v>
      </c>
      <c r="G81" s="2"/>
    </row>
    <row r="82" spans="2:7" x14ac:dyDescent="0.25">
      <c r="B82" s="5">
        <v>45576</v>
      </c>
      <c r="C82" s="2" t="s">
        <v>2190</v>
      </c>
      <c r="D82" s="2"/>
      <c r="E82" s="23">
        <v>54</v>
      </c>
      <c r="F82" s="2">
        <f t="shared" si="1"/>
        <v>0</v>
      </c>
      <c r="G82" s="2"/>
    </row>
    <row r="83" spans="2:7" x14ac:dyDescent="0.25">
      <c r="B83" s="5">
        <v>45577</v>
      </c>
      <c r="C83" s="2" t="s">
        <v>2191</v>
      </c>
      <c r="D83" s="2"/>
      <c r="E83" s="23">
        <v>54</v>
      </c>
      <c r="F83" s="2">
        <f t="shared" si="1"/>
        <v>0</v>
      </c>
      <c r="G83" s="2"/>
    </row>
    <row r="84" spans="2:7" x14ac:dyDescent="0.25">
      <c r="B84" s="5">
        <v>45578</v>
      </c>
      <c r="C84" s="2" t="s">
        <v>2189</v>
      </c>
      <c r="D84" s="2"/>
      <c r="E84" s="23">
        <v>54</v>
      </c>
      <c r="F84" s="2">
        <f t="shared" si="1"/>
        <v>0</v>
      </c>
      <c r="G84" s="2"/>
    </row>
    <row r="85" spans="2:7" x14ac:dyDescent="0.25">
      <c r="B85" s="5">
        <v>45579</v>
      </c>
      <c r="C85" s="2"/>
      <c r="D85" s="2"/>
      <c r="E85" s="23">
        <v>54</v>
      </c>
      <c r="F85" s="2">
        <f t="shared" si="1"/>
        <v>0</v>
      </c>
      <c r="G85" s="2"/>
    </row>
    <row r="86" spans="2:7" x14ac:dyDescent="0.25">
      <c r="B86" s="5">
        <v>45580</v>
      </c>
      <c r="C86" s="2"/>
      <c r="D86" s="2"/>
      <c r="E86" s="23">
        <v>54</v>
      </c>
      <c r="F86" s="2">
        <f t="shared" si="1"/>
        <v>0</v>
      </c>
      <c r="G86" s="2"/>
    </row>
    <row r="87" spans="2:7" x14ac:dyDescent="0.25">
      <c r="B87" s="5">
        <v>45581</v>
      </c>
      <c r="C87" s="2" t="s">
        <v>109</v>
      </c>
      <c r="D87" s="2"/>
      <c r="E87" s="23">
        <v>54</v>
      </c>
      <c r="F87" s="2">
        <f t="shared" si="1"/>
        <v>0</v>
      </c>
      <c r="G87" s="2"/>
    </row>
    <row r="88" spans="2:7" x14ac:dyDescent="0.25">
      <c r="B88" s="5">
        <v>45582</v>
      </c>
      <c r="C88" s="2" t="s">
        <v>2222</v>
      </c>
      <c r="D88" s="2"/>
      <c r="E88" s="23">
        <v>54</v>
      </c>
      <c r="F88" s="2">
        <f t="shared" si="1"/>
        <v>0</v>
      </c>
      <c r="G88" s="2"/>
    </row>
    <row r="89" spans="2:7" x14ac:dyDescent="0.25">
      <c r="B89" s="5">
        <v>45583</v>
      </c>
      <c r="C89" s="2" t="s">
        <v>2231</v>
      </c>
      <c r="D89" s="2" t="s">
        <v>2240</v>
      </c>
      <c r="E89" s="23">
        <v>54</v>
      </c>
      <c r="F89" s="2">
        <f t="shared" si="1"/>
        <v>0</v>
      </c>
      <c r="G89" s="2"/>
    </row>
    <row r="90" spans="2:7" x14ac:dyDescent="0.25">
      <c r="B90" s="5">
        <v>45584</v>
      </c>
      <c r="C90" s="2"/>
      <c r="D90" s="2"/>
      <c r="E90" s="2"/>
      <c r="F90" s="2">
        <f t="shared" si="1"/>
        <v>-54</v>
      </c>
      <c r="G90" s="2"/>
    </row>
    <row r="91" spans="2:7" x14ac:dyDescent="0.25">
      <c r="B91" s="5">
        <v>45585</v>
      </c>
      <c r="C91" s="2" t="s">
        <v>2247</v>
      </c>
      <c r="D91" s="2"/>
      <c r="E91" s="2"/>
      <c r="F91" s="2">
        <f t="shared" si="1"/>
        <v>0</v>
      </c>
      <c r="G91" s="2"/>
    </row>
    <row r="92" spans="2:7" x14ac:dyDescent="0.25">
      <c r="B92" s="5">
        <v>45586</v>
      </c>
      <c r="C92" s="2" t="s">
        <v>2268</v>
      </c>
      <c r="D92" s="2"/>
      <c r="E92" s="2"/>
      <c r="F92" s="2">
        <f t="shared" si="1"/>
        <v>0</v>
      </c>
      <c r="G92" s="2"/>
    </row>
    <row r="93" spans="2:7" x14ac:dyDescent="0.25">
      <c r="B93" s="5">
        <v>45587</v>
      </c>
      <c r="C93" s="2" t="s">
        <v>2274</v>
      </c>
      <c r="D93" s="2"/>
      <c r="E93" s="2"/>
      <c r="F93" s="2">
        <f t="shared" si="1"/>
        <v>0</v>
      </c>
      <c r="G93" s="2"/>
    </row>
    <row r="94" spans="2:7" ht="30" x14ac:dyDescent="0.25">
      <c r="B94" s="5">
        <v>45588</v>
      </c>
      <c r="C94" s="30" t="s">
        <v>2284</v>
      </c>
      <c r="D94" s="2"/>
      <c r="E94" s="2"/>
      <c r="F94" s="2">
        <f t="shared" si="1"/>
        <v>0</v>
      </c>
      <c r="G94" s="2"/>
    </row>
    <row r="95" spans="2:7" ht="45" x14ac:dyDescent="0.25">
      <c r="B95" s="5">
        <v>45589</v>
      </c>
      <c r="C95" s="113" t="s">
        <v>2296</v>
      </c>
      <c r="D95" s="2"/>
      <c r="E95" s="2"/>
      <c r="F95" s="2">
        <f t="shared" si="1"/>
        <v>0</v>
      </c>
      <c r="G95" s="2"/>
    </row>
    <row r="96" spans="2:7" x14ac:dyDescent="0.25">
      <c r="B96" s="5">
        <v>45590</v>
      </c>
      <c r="C96" s="2" t="s">
        <v>2305</v>
      </c>
      <c r="D96" s="2" t="s">
        <v>2311</v>
      </c>
      <c r="E96" s="2"/>
      <c r="F96" s="2">
        <f t="shared" si="1"/>
        <v>0</v>
      </c>
      <c r="G96" s="2"/>
    </row>
    <row r="97" spans="2:7" x14ac:dyDescent="0.25">
      <c r="B97" s="5">
        <v>45591</v>
      </c>
      <c r="C97" s="2" t="s">
        <v>2322</v>
      </c>
      <c r="D97" s="2"/>
      <c r="E97" s="2"/>
      <c r="F97" s="2">
        <f t="shared" si="1"/>
        <v>0</v>
      </c>
      <c r="G97" s="2"/>
    </row>
    <row r="98" spans="2:7" x14ac:dyDescent="0.25">
      <c r="B98" s="5">
        <v>45592</v>
      </c>
      <c r="C98" s="2" t="s">
        <v>2323</v>
      </c>
      <c r="D98" s="2"/>
      <c r="E98" s="2"/>
      <c r="F98" s="2">
        <f t="shared" si="1"/>
        <v>0</v>
      </c>
      <c r="G98" s="2"/>
    </row>
    <row r="99" spans="2:7" x14ac:dyDescent="0.25">
      <c r="B99" s="5">
        <v>45593</v>
      </c>
      <c r="C99" s="2" t="s">
        <v>2338</v>
      </c>
      <c r="D99" s="2"/>
      <c r="E99" s="2"/>
      <c r="F99" s="2">
        <f t="shared" si="1"/>
        <v>0</v>
      </c>
      <c r="G99" s="2"/>
    </row>
    <row r="100" spans="2:7" x14ac:dyDescent="0.25">
      <c r="B100" s="5">
        <v>45594</v>
      </c>
      <c r="C100" s="2" t="s">
        <v>2343</v>
      </c>
      <c r="D100" s="2"/>
      <c r="E100" s="23"/>
      <c r="F100" s="2">
        <f t="shared" si="1"/>
        <v>0</v>
      </c>
      <c r="G100" s="2"/>
    </row>
    <row r="101" spans="2:7" x14ac:dyDescent="0.25">
      <c r="B101" s="5">
        <v>45595</v>
      </c>
      <c r="C101" s="2"/>
      <c r="D101" s="2" t="s">
        <v>2364</v>
      </c>
      <c r="E101" s="23"/>
      <c r="F101" s="2">
        <f t="shared" si="1"/>
        <v>0</v>
      </c>
      <c r="G101" s="2"/>
    </row>
    <row r="102" spans="2:7" x14ac:dyDescent="0.25">
      <c r="B102" s="5">
        <v>45596</v>
      </c>
      <c r="C102" s="2" t="s">
        <v>2364</v>
      </c>
      <c r="D102" s="2"/>
      <c r="E102" s="23"/>
      <c r="F102" s="2">
        <f t="shared" si="1"/>
        <v>0</v>
      </c>
      <c r="G102" s="2"/>
    </row>
    <row r="103" spans="2:7" x14ac:dyDescent="0.25">
      <c r="B103" s="5">
        <v>45597</v>
      </c>
      <c r="C103" s="2" t="s">
        <v>2379</v>
      </c>
      <c r="D103" s="2"/>
      <c r="E103" s="23"/>
      <c r="F103" s="2">
        <f t="shared" si="1"/>
        <v>0</v>
      </c>
      <c r="G103" s="2"/>
    </row>
    <row r="104" spans="2:7" x14ac:dyDescent="0.25">
      <c r="B104" s="5">
        <v>45598</v>
      </c>
      <c r="C104" s="2" t="s">
        <v>953</v>
      </c>
      <c r="D104" s="2"/>
      <c r="E104" s="23">
        <v>0</v>
      </c>
      <c r="F104" s="2">
        <f t="shared" ref="F104:F161" si="2">E104-E103</f>
        <v>0</v>
      </c>
      <c r="G104" s="2"/>
    </row>
    <row r="105" spans="2:7" x14ac:dyDescent="0.25">
      <c r="B105" s="5">
        <v>45599</v>
      </c>
      <c r="C105" s="2" t="s">
        <v>2389</v>
      </c>
      <c r="D105" s="2" t="s">
        <v>2390</v>
      </c>
      <c r="E105" s="23">
        <v>6</v>
      </c>
      <c r="F105" s="2">
        <f t="shared" si="2"/>
        <v>6</v>
      </c>
      <c r="G105" s="2"/>
    </row>
    <row r="106" spans="2:7" x14ac:dyDescent="0.25">
      <c r="B106" s="5">
        <v>45600</v>
      </c>
      <c r="C106" s="2"/>
      <c r="D106" s="2"/>
      <c r="E106" s="23">
        <v>6</v>
      </c>
      <c r="F106" s="2">
        <f t="shared" si="2"/>
        <v>0</v>
      </c>
      <c r="G106" s="2"/>
    </row>
    <row r="107" spans="2:7" x14ac:dyDescent="0.25">
      <c r="B107" s="5">
        <v>45601</v>
      </c>
      <c r="C107" s="2"/>
      <c r="D107" s="2"/>
      <c r="E107" s="23">
        <v>6</v>
      </c>
      <c r="F107" s="2">
        <f t="shared" si="2"/>
        <v>0</v>
      </c>
      <c r="G107" s="2"/>
    </row>
    <row r="108" spans="2:7" x14ac:dyDescent="0.25">
      <c r="B108" s="5">
        <v>45602</v>
      </c>
      <c r="C108" s="2" t="s">
        <v>2407</v>
      </c>
      <c r="D108" s="2" t="s">
        <v>2417</v>
      </c>
      <c r="E108" s="23">
        <v>16</v>
      </c>
      <c r="F108" s="2">
        <f t="shared" si="2"/>
        <v>10</v>
      </c>
      <c r="G108" s="2"/>
    </row>
    <row r="109" spans="2:7" x14ac:dyDescent="0.25">
      <c r="B109" s="5">
        <v>45603</v>
      </c>
      <c r="C109" s="2" t="s">
        <v>2420</v>
      </c>
      <c r="D109" s="2" t="s">
        <v>2424</v>
      </c>
      <c r="E109" s="23">
        <v>18</v>
      </c>
      <c r="F109" s="2">
        <f t="shared" si="2"/>
        <v>2</v>
      </c>
      <c r="G109" s="2"/>
    </row>
    <row r="110" spans="2:7" x14ac:dyDescent="0.25">
      <c r="B110" s="5">
        <v>45604</v>
      </c>
      <c r="C110" s="2" t="s">
        <v>2434</v>
      </c>
      <c r="D110" s="2"/>
      <c r="E110" s="23">
        <v>24</v>
      </c>
      <c r="F110" s="2">
        <f t="shared" si="2"/>
        <v>6</v>
      </c>
      <c r="G110" s="2"/>
    </row>
    <row r="111" spans="2:7" x14ac:dyDescent="0.25">
      <c r="B111" s="5">
        <v>45605</v>
      </c>
      <c r="C111" s="2" t="s">
        <v>2449</v>
      </c>
      <c r="D111" s="2"/>
      <c r="E111" s="23">
        <v>25</v>
      </c>
      <c r="F111" s="2">
        <f t="shared" si="2"/>
        <v>1</v>
      </c>
      <c r="G111" s="2"/>
    </row>
    <row r="112" spans="2:7" x14ac:dyDescent="0.25">
      <c r="B112" s="5">
        <v>45606</v>
      </c>
      <c r="C112" s="2" t="s">
        <v>2450</v>
      </c>
      <c r="D112" s="2" t="s">
        <v>2459</v>
      </c>
      <c r="E112" s="23">
        <v>26</v>
      </c>
      <c r="F112" s="2">
        <f t="shared" si="2"/>
        <v>1</v>
      </c>
      <c r="G112" s="2"/>
    </row>
    <row r="113" spans="2:7" x14ac:dyDescent="0.25">
      <c r="B113" s="5">
        <v>45607</v>
      </c>
      <c r="C113" s="2" t="s">
        <v>2469</v>
      </c>
      <c r="D113" s="2"/>
      <c r="E113" s="23">
        <v>28</v>
      </c>
      <c r="F113" s="2">
        <f t="shared" si="2"/>
        <v>2</v>
      </c>
      <c r="G113" s="2"/>
    </row>
    <row r="114" spans="2:7" x14ac:dyDescent="0.25">
      <c r="B114" s="5">
        <v>45608</v>
      </c>
      <c r="C114" s="2" t="s">
        <v>2495</v>
      </c>
      <c r="D114" s="2"/>
      <c r="E114" s="23">
        <v>29</v>
      </c>
      <c r="F114" s="2">
        <f t="shared" si="2"/>
        <v>1</v>
      </c>
      <c r="G114" s="2"/>
    </row>
    <row r="115" spans="2:7" x14ac:dyDescent="0.25">
      <c r="B115" s="5">
        <v>45609</v>
      </c>
      <c r="C115" s="2" t="s">
        <v>2506</v>
      </c>
      <c r="D115" s="2"/>
      <c r="E115" s="23">
        <v>29.5</v>
      </c>
      <c r="F115" s="2">
        <f t="shared" si="2"/>
        <v>0.5</v>
      </c>
      <c r="G115" s="2"/>
    </row>
    <row r="116" spans="2:7" x14ac:dyDescent="0.25">
      <c r="B116" s="5">
        <v>45610</v>
      </c>
      <c r="C116" s="2" t="s">
        <v>2521</v>
      </c>
      <c r="D116" s="2"/>
      <c r="E116" s="23">
        <v>30</v>
      </c>
      <c r="F116" s="2">
        <f t="shared" si="2"/>
        <v>0.5</v>
      </c>
      <c r="G116" s="2"/>
    </row>
    <row r="117" spans="2:7" x14ac:dyDescent="0.25">
      <c r="B117" s="5">
        <v>45611</v>
      </c>
      <c r="C117" s="2" t="s">
        <v>2520</v>
      </c>
      <c r="D117" s="2"/>
      <c r="E117" s="23">
        <v>31.5</v>
      </c>
      <c r="F117" s="2">
        <f t="shared" si="2"/>
        <v>1.5</v>
      </c>
      <c r="G117" s="2"/>
    </row>
    <row r="118" spans="2:7" x14ac:dyDescent="0.25">
      <c r="B118" s="5">
        <v>45612</v>
      </c>
      <c r="C118" s="2"/>
      <c r="D118" s="2"/>
      <c r="E118" s="23">
        <v>31.5</v>
      </c>
      <c r="F118" s="2">
        <f t="shared" si="2"/>
        <v>0</v>
      </c>
      <c r="G118" s="2"/>
    </row>
    <row r="119" spans="2:7" x14ac:dyDescent="0.25">
      <c r="B119" s="5">
        <v>45613</v>
      </c>
      <c r="C119" s="2" t="s">
        <v>2553</v>
      </c>
      <c r="D119" s="2"/>
      <c r="E119" s="23">
        <v>33</v>
      </c>
      <c r="F119" s="2">
        <f t="shared" si="2"/>
        <v>1.5</v>
      </c>
      <c r="G119" s="2"/>
    </row>
    <row r="120" spans="2:7" x14ac:dyDescent="0.25">
      <c r="B120" s="5">
        <v>45614</v>
      </c>
      <c r="C120" s="2"/>
      <c r="D120" s="2"/>
      <c r="E120" s="23">
        <v>33</v>
      </c>
      <c r="F120" s="2">
        <f t="shared" si="2"/>
        <v>0</v>
      </c>
      <c r="G120" s="2"/>
    </row>
    <row r="121" spans="2:7" x14ac:dyDescent="0.25">
      <c r="B121" s="5">
        <v>45615</v>
      </c>
      <c r="C121" s="2" t="s">
        <v>2554</v>
      </c>
      <c r="D121" s="2" t="s">
        <v>2562</v>
      </c>
      <c r="E121" s="23">
        <v>34.299999999999997</v>
      </c>
      <c r="F121" s="2">
        <f t="shared" si="2"/>
        <v>1.2999999999999972</v>
      </c>
      <c r="G121" s="2"/>
    </row>
    <row r="122" spans="2:7" x14ac:dyDescent="0.25">
      <c r="B122" s="5">
        <v>45616</v>
      </c>
      <c r="C122" s="2" t="s">
        <v>2567</v>
      </c>
      <c r="D122" s="2"/>
      <c r="E122" s="23">
        <v>35.1</v>
      </c>
      <c r="F122" s="2">
        <f t="shared" si="2"/>
        <v>0.80000000000000426</v>
      </c>
      <c r="G122" s="2"/>
    </row>
    <row r="123" spans="2:7" x14ac:dyDescent="0.25">
      <c r="B123" s="5">
        <v>45617</v>
      </c>
      <c r="C123" s="2" t="s">
        <v>2577</v>
      </c>
      <c r="D123" s="2"/>
      <c r="E123" s="23">
        <v>35.1</v>
      </c>
      <c r="F123" s="2">
        <f t="shared" si="2"/>
        <v>0</v>
      </c>
      <c r="G123" s="2"/>
    </row>
    <row r="124" spans="2:7" x14ac:dyDescent="0.25">
      <c r="B124" s="5">
        <v>45618</v>
      </c>
      <c r="C124" s="2" t="s">
        <v>2587</v>
      </c>
      <c r="D124" s="2"/>
      <c r="E124" s="23">
        <v>35.6</v>
      </c>
      <c r="F124" s="2">
        <f t="shared" si="2"/>
        <v>0.5</v>
      </c>
      <c r="G124" s="2"/>
    </row>
    <row r="125" spans="2:7" x14ac:dyDescent="0.25">
      <c r="B125" s="5">
        <v>45619</v>
      </c>
      <c r="C125" s="2" t="s">
        <v>480</v>
      </c>
      <c r="D125" s="2"/>
      <c r="E125" s="23">
        <v>35.6</v>
      </c>
      <c r="F125" s="2">
        <f t="shared" si="2"/>
        <v>0</v>
      </c>
      <c r="G125" s="2"/>
    </row>
    <row r="126" spans="2:7" x14ac:dyDescent="0.25">
      <c r="B126" s="5">
        <v>45620</v>
      </c>
      <c r="C126" s="2" t="s">
        <v>480</v>
      </c>
      <c r="D126" s="2"/>
      <c r="E126" s="23">
        <v>35.6</v>
      </c>
      <c r="F126" s="2">
        <f t="shared" si="2"/>
        <v>0</v>
      </c>
      <c r="G126" s="2"/>
    </row>
    <row r="127" spans="2:7" x14ac:dyDescent="0.25">
      <c r="B127" s="5">
        <v>45621</v>
      </c>
      <c r="C127" s="2" t="s">
        <v>480</v>
      </c>
      <c r="D127" s="2"/>
      <c r="E127" s="23">
        <v>35.6</v>
      </c>
      <c r="F127" s="2">
        <f t="shared" si="2"/>
        <v>0</v>
      </c>
      <c r="G127" s="2"/>
    </row>
    <row r="128" spans="2:7" x14ac:dyDescent="0.25">
      <c r="B128" s="5">
        <v>45622</v>
      </c>
      <c r="C128" s="2" t="s">
        <v>480</v>
      </c>
      <c r="D128" s="2"/>
      <c r="E128" s="23">
        <v>35.6</v>
      </c>
      <c r="F128" s="2">
        <f t="shared" si="2"/>
        <v>0</v>
      </c>
      <c r="G128" s="2"/>
    </row>
    <row r="129" spans="2:7" x14ac:dyDescent="0.25">
      <c r="B129" s="5">
        <v>45623</v>
      </c>
      <c r="C129" s="2" t="s">
        <v>480</v>
      </c>
      <c r="D129" s="2"/>
      <c r="E129" s="23">
        <v>35.6</v>
      </c>
      <c r="F129" s="2">
        <f t="shared" si="2"/>
        <v>0</v>
      </c>
      <c r="G129" s="2"/>
    </row>
    <row r="130" spans="2:7" x14ac:dyDescent="0.25">
      <c r="B130" s="5">
        <v>45624</v>
      </c>
      <c r="C130" s="2" t="s">
        <v>480</v>
      </c>
      <c r="D130" s="2"/>
      <c r="E130" s="23">
        <v>35.6</v>
      </c>
      <c r="F130" s="2">
        <f t="shared" si="2"/>
        <v>0</v>
      </c>
      <c r="G130" s="2"/>
    </row>
    <row r="131" spans="2:7" x14ac:dyDescent="0.25">
      <c r="B131" s="5">
        <v>45625</v>
      </c>
      <c r="C131" s="2" t="s">
        <v>480</v>
      </c>
      <c r="D131" s="2"/>
      <c r="E131" s="23">
        <v>35.6</v>
      </c>
      <c r="F131" s="2">
        <f t="shared" si="2"/>
        <v>0</v>
      </c>
      <c r="G131" s="2"/>
    </row>
    <row r="132" spans="2:7" x14ac:dyDescent="0.25">
      <c r="B132" s="5">
        <v>45626</v>
      </c>
      <c r="C132" s="2" t="s">
        <v>480</v>
      </c>
      <c r="D132" s="2"/>
      <c r="E132" s="23">
        <v>35.6</v>
      </c>
      <c r="F132" s="2">
        <f t="shared" si="2"/>
        <v>0</v>
      </c>
      <c r="G132" s="2"/>
    </row>
    <row r="133" spans="2:7" x14ac:dyDescent="0.25">
      <c r="B133" s="5">
        <v>45627</v>
      </c>
      <c r="C133" s="2" t="s">
        <v>480</v>
      </c>
      <c r="D133" s="2"/>
      <c r="E133" s="23">
        <v>35.6</v>
      </c>
      <c r="F133" s="2">
        <f t="shared" si="2"/>
        <v>0</v>
      </c>
      <c r="G133" s="2"/>
    </row>
    <row r="134" spans="2:7" x14ac:dyDescent="0.25">
      <c r="B134" s="5">
        <v>45628</v>
      </c>
      <c r="C134" s="2" t="s">
        <v>480</v>
      </c>
      <c r="D134" s="2"/>
      <c r="E134" s="23">
        <v>35.6</v>
      </c>
      <c r="F134" s="2">
        <f t="shared" si="2"/>
        <v>0</v>
      </c>
      <c r="G134" s="2"/>
    </row>
    <row r="135" spans="2:7" x14ac:dyDescent="0.25">
      <c r="B135" s="5">
        <v>45629</v>
      </c>
      <c r="C135" s="2" t="s">
        <v>2674</v>
      </c>
      <c r="D135" s="2"/>
      <c r="E135" s="23">
        <v>35.6</v>
      </c>
      <c r="F135" s="2">
        <f t="shared" si="2"/>
        <v>0</v>
      </c>
      <c r="G135" s="2"/>
    </row>
    <row r="136" spans="2:7" x14ac:dyDescent="0.25">
      <c r="B136" s="5">
        <v>45630</v>
      </c>
      <c r="C136" s="2" t="s">
        <v>2689</v>
      </c>
      <c r="D136" s="2"/>
      <c r="E136" s="23">
        <v>35.4</v>
      </c>
      <c r="F136" s="2">
        <f t="shared" si="2"/>
        <v>-0.20000000000000284</v>
      </c>
      <c r="G136" s="2"/>
    </row>
    <row r="137" spans="2:7" x14ac:dyDescent="0.25">
      <c r="B137" s="5">
        <v>45631</v>
      </c>
      <c r="C137" s="2" t="s">
        <v>2699</v>
      </c>
      <c r="D137" s="2"/>
      <c r="E137" s="23">
        <v>35.4</v>
      </c>
      <c r="F137" s="2">
        <f t="shared" si="2"/>
        <v>0</v>
      </c>
      <c r="G137" s="2"/>
    </row>
    <row r="138" spans="2:7" x14ac:dyDescent="0.25">
      <c r="B138" s="5">
        <v>45632</v>
      </c>
      <c r="C138" s="2" t="s">
        <v>2705</v>
      </c>
      <c r="D138" s="2"/>
      <c r="E138" s="23">
        <v>35.4</v>
      </c>
      <c r="F138" s="2">
        <f t="shared" si="2"/>
        <v>0</v>
      </c>
      <c r="G138" s="2"/>
    </row>
    <row r="139" spans="2:7" x14ac:dyDescent="0.25">
      <c r="B139" s="5">
        <v>45633</v>
      </c>
      <c r="C139" s="2" t="s">
        <v>1523</v>
      </c>
      <c r="D139" s="2"/>
      <c r="E139" s="23">
        <v>35.4</v>
      </c>
      <c r="F139" s="2">
        <f t="shared" si="2"/>
        <v>0</v>
      </c>
      <c r="G139" s="2"/>
    </row>
    <row r="140" spans="2:7" x14ac:dyDescent="0.25">
      <c r="B140" s="5">
        <v>45634</v>
      </c>
      <c r="C140" s="2" t="s">
        <v>2718</v>
      </c>
      <c r="D140" s="2"/>
      <c r="E140" s="23">
        <v>35</v>
      </c>
      <c r="F140" s="2">
        <f t="shared" si="2"/>
        <v>-0.39999999999999858</v>
      </c>
      <c r="G140" s="2"/>
    </row>
    <row r="141" spans="2:7" x14ac:dyDescent="0.25">
      <c r="B141" s="5">
        <v>45635</v>
      </c>
      <c r="C141" s="2" t="s">
        <v>2750</v>
      </c>
      <c r="D141" s="2"/>
      <c r="E141" s="23">
        <v>37</v>
      </c>
      <c r="F141" s="2">
        <f t="shared" si="2"/>
        <v>2</v>
      </c>
      <c r="G141" s="2"/>
    </row>
    <row r="142" spans="2:7" x14ac:dyDescent="0.25">
      <c r="B142" s="5">
        <v>45636</v>
      </c>
      <c r="C142" s="2" t="s">
        <v>2754</v>
      </c>
      <c r="D142" s="2"/>
      <c r="E142" s="23">
        <v>37.4</v>
      </c>
      <c r="F142" s="2">
        <f t="shared" si="2"/>
        <v>0.39999999999999858</v>
      </c>
      <c r="G142" s="2"/>
    </row>
    <row r="143" spans="2:7" x14ac:dyDescent="0.25">
      <c r="B143" s="5">
        <v>45637</v>
      </c>
      <c r="C143" s="2" t="s">
        <v>2762</v>
      </c>
      <c r="D143" s="2"/>
      <c r="E143" s="23">
        <v>38.1</v>
      </c>
      <c r="F143" s="2">
        <f t="shared" si="2"/>
        <v>0.70000000000000284</v>
      </c>
      <c r="G143" s="2"/>
    </row>
    <row r="144" spans="2:7" x14ac:dyDescent="0.25">
      <c r="B144" s="5">
        <v>45638</v>
      </c>
      <c r="C144" s="2" t="s">
        <v>2765</v>
      </c>
      <c r="D144" s="2"/>
      <c r="E144" s="23">
        <v>37.700000000000003</v>
      </c>
      <c r="F144" s="2">
        <f t="shared" si="2"/>
        <v>-0.39999999999999858</v>
      </c>
      <c r="G144" s="2"/>
    </row>
    <row r="145" spans="2:7" x14ac:dyDescent="0.25">
      <c r="B145" s="5">
        <v>45639</v>
      </c>
      <c r="C145" s="2" t="s">
        <v>2772</v>
      </c>
      <c r="D145" s="2" t="s">
        <v>1930</v>
      </c>
      <c r="E145" s="23">
        <v>38.700000000000003</v>
      </c>
      <c r="F145" s="2">
        <f t="shared" si="2"/>
        <v>1</v>
      </c>
      <c r="G145" s="2"/>
    </row>
    <row r="146" spans="2:7" x14ac:dyDescent="0.25">
      <c r="B146" s="5">
        <v>45640</v>
      </c>
      <c r="C146" s="2" t="s">
        <v>2789</v>
      </c>
      <c r="D146" s="2"/>
      <c r="E146" s="23">
        <v>38.299999999999997</v>
      </c>
      <c r="F146" s="2">
        <f t="shared" si="2"/>
        <v>-0.40000000000000568</v>
      </c>
      <c r="G146" s="2"/>
    </row>
    <row r="147" spans="2:7" x14ac:dyDescent="0.25">
      <c r="B147" s="5">
        <v>45641</v>
      </c>
      <c r="C147" s="2" t="s">
        <v>2790</v>
      </c>
      <c r="D147" s="2"/>
      <c r="E147" s="23">
        <v>39.700000000000003</v>
      </c>
      <c r="F147" s="2">
        <f t="shared" si="2"/>
        <v>1.4000000000000057</v>
      </c>
      <c r="G147" s="2"/>
    </row>
    <row r="148" spans="2:7" x14ac:dyDescent="0.25">
      <c r="B148" s="5">
        <v>45642</v>
      </c>
      <c r="C148" s="2" t="s">
        <v>2801</v>
      </c>
      <c r="D148" s="2"/>
      <c r="E148" s="23">
        <v>39</v>
      </c>
      <c r="F148" s="2">
        <f t="shared" si="2"/>
        <v>-0.70000000000000284</v>
      </c>
      <c r="G148" s="2"/>
    </row>
    <row r="149" spans="2:7" x14ac:dyDescent="0.25">
      <c r="B149" s="5">
        <v>45643</v>
      </c>
      <c r="C149" s="2" t="s">
        <v>2800</v>
      </c>
      <c r="D149" s="2"/>
      <c r="E149" s="23">
        <v>39</v>
      </c>
      <c r="F149" s="2">
        <f t="shared" si="2"/>
        <v>0</v>
      </c>
      <c r="G149" s="2"/>
    </row>
    <row r="150" spans="2:7" x14ac:dyDescent="0.25">
      <c r="B150" s="5">
        <v>45644</v>
      </c>
      <c r="C150" s="2" t="s">
        <v>2814</v>
      </c>
      <c r="D150" s="2"/>
      <c r="E150" s="23">
        <v>40</v>
      </c>
      <c r="F150" s="2">
        <f t="shared" si="2"/>
        <v>1</v>
      </c>
      <c r="G150" s="2"/>
    </row>
    <row r="151" spans="2:7" x14ac:dyDescent="0.25">
      <c r="B151" s="5">
        <v>45645</v>
      </c>
      <c r="C151" s="2" t="s">
        <v>2824</v>
      </c>
      <c r="D151" s="2"/>
      <c r="E151" s="23">
        <v>40</v>
      </c>
      <c r="F151" s="2">
        <f t="shared" si="2"/>
        <v>0</v>
      </c>
      <c r="G151" s="2"/>
    </row>
    <row r="152" spans="2:7" x14ac:dyDescent="0.25">
      <c r="B152" s="5">
        <v>45646</v>
      </c>
      <c r="C152" s="2" t="s">
        <v>2833</v>
      </c>
      <c r="D152" s="2"/>
      <c r="E152" s="23">
        <v>42</v>
      </c>
      <c r="F152" s="2">
        <f t="shared" si="2"/>
        <v>2</v>
      </c>
      <c r="G152" s="2"/>
    </row>
    <row r="153" spans="2:7" x14ac:dyDescent="0.25">
      <c r="B153" s="5">
        <v>45647</v>
      </c>
      <c r="C153" s="2" t="s">
        <v>2845</v>
      </c>
      <c r="D153" s="2"/>
      <c r="E153" s="23">
        <v>43</v>
      </c>
      <c r="F153" s="2">
        <f t="shared" si="2"/>
        <v>1</v>
      </c>
      <c r="G153" s="2"/>
    </row>
    <row r="154" spans="2:7" x14ac:dyDescent="0.25">
      <c r="B154" s="5">
        <v>45648</v>
      </c>
      <c r="C154" s="2" t="s">
        <v>2846</v>
      </c>
      <c r="D154" s="2"/>
      <c r="E154" s="23">
        <v>44</v>
      </c>
      <c r="F154" s="2">
        <f t="shared" si="2"/>
        <v>1</v>
      </c>
      <c r="G154" s="2"/>
    </row>
    <row r="155" spans="2:7" x14ac:dyDescent="0.25">
      <c r="B155" s="5">
        <v>45649</v>
      </c>
      <c r="C155" s="2" t="s">
        <v>2875</v>
      </c>
      <c r="D155" s="2"/>
      <c r="E155" s="23">
        <v>45</v>
      </c>
      <c r="F155" s="2">
        <f t="shared" si="2"/>
        <v>1</v>
      </c>
      <c r="G155" s="2"/>
    </row>
    <row r="156" spans="2:7" x14ac:dyDescent="0.25">
      <c r="B156" s="5">
        <v>45650</v>
      </c>
      <c r="C156" s="2" t="s">
        <v>2898</v>
      </c>
      <c r="D156" s="2"/>
      <c r="E156" s="23">
        <v>47</v>
      </c>
      <c r="F156" s="2">
        <f t="shared" si="2"/>
        <v>2</v>
      </c>
      <c r="G156" s="2"/>
    </row>
    <row r="157" spans="2:7" x14ac:dyDescent="0.25">
      <c r="B157" s="5">
        <v>45651</v>
      </c>
      <c r="C157" s="2" t="s">
        <v>2906</v>
      </c>
      <c r="D157" s="2"/>
      <c r="E157" s="23">
        <v>48</v>
      </c>
      <c r="F157" s="2">
        <f t="shared" si="2"/>
        <v>1</v>
      </c>
      <c r="G157" s="2"/>
    </row>
    <row r="158" spans="2:7" x14ac:dyDescent="0.25">
      <c r="B158" s="5">
        <v>45652</v>
      </c>
      <c r="C158" s="2" t="s">
        <v>2914</v>
      </c>
      <c r="D158" s="2"/>
      <c r="E158" s="23">
        <v>52</v>
      </c>
      <c r="F158" s="2">
        <f t="shared" si="2"/>
        <v>4</v>
      </c>
      <c r="G158" s="2"/>
    </row>
    <row r="159" spans="2:7" x14ac:dyDescent="0.25">
      <c r="B159" s="5">
        <v>45653</v>
      </c>
      <c r="C159" s="2" t="s">
        <v>2925</v>
      </c>
      <c r="D159" s="2"/>
      <c r="E159" s="23">
        <v>60</v>
      </c>
      <c r="F159" s="2">
        <f t="shared" si="2"/>
        <v>8</v>
      </c>
      <c r="G159" s="2"/>
    </row>
    <row r="160" spans="2:7" x14ac:dyDescent="0.25">
      <c r="B160" s="5">
        <v>45654</v>
      </c>
      <c r="C160" s="2" t="s">
        <v>2941</v>
      </c>
      <c r="D160" s="2"/>
      <c r="E160" s="23">
        <v>64</v>
      </c>
      <c r="F160" s="2">
        <f t="shared" si="2"/>
        <v>4</v>
      </c>
      <c r="G160" s="2"/>
    </row>
    <row r="161" spans="2:7" ht="30" x14ac:dyDescent="0.25">
      <c r="B161" s="5">
        <v>45655</v>
      </c>
      <c r="C161" s="35" t="s">
        <v>2942</v>
      </c>
      <c r="D161" s="30" t="s">
        <v>2963</v>
      </c>
      <c r="E161" s="25">
        <v>66</v>
      </c>
      <c r="F161" s="35">
        <f t="shared" si="2"/>
        <v>2</v>
      </c>
      <c r="G161" s="35"/>
    </row>
    <row r="162" spans="2:7" x14ac:dyDescent="0.25">
      <c r="B162" s="5">
        <v>45656</v>
      </c>
      <c r="C162" s="2" t="s">
        <v>2962</v>
      </c>
      <c r="D162" s="2"/>
      <c r="E162" s="23">
        <v>68</v>
      </c>
      <c r="F162" s="2">
        <f>E162-E161</f>
        <v>2</v>
      </c>
      <c r="G162" s="2"/>
    </row>
    <row r="163" spans="2:7" x14ac:dyDescent="0.25">
      <c r="B163" s="5">
        <v>45657</v>
      </c>
      <c r="C163" s="2"/>
      <c r="D163" s="2"/>
      <c r="E163" s="23">
        <v>68</v>
      </c>
      <c r="F163" s="2">
        <f t="shared" ref="F163:F172" si="3">E163-E162</f>
        <v>0</v>
      </c>
      <c r="G163" s="2"/>
    </row>
    <row r="164" spans="2:7" x14ac:dyDescent="0.25">
      <c r="B164" s="5">
        <v>45658</v>
      </c>
      <c r="C164" s="2" t="s">
        <v>2972</v>
      </c>
      <c r="D164" s="2" t="s">
        <v>2980</v>
      </c>
      <c r="E164" s="23">
        <v>70</v>
      </c>
      <c r="F164" s="2">
        <f t="shared" si="3"/>
        <v>2</v>
      </c>
      <c r="G164" s="2"/>
    </row>
    <row r="165" spans="2:7" x14ac:dyDescent="0.25">
      <c r="B165" s="5">
        <v>45659</v>
      </c>
      <c r="C165" s="2" t="s">
        <v>2972</v>
      </c>
      <c r="D165" s="2"/>
      <c r="E165" s="23">
        <v>70</v>
      </c>
      <c r="F165" s="2">
        <f t="shared" si="3"/>
        <v>0</v>
      </c>
      <c r="G165" s="2"/>
    </row>
    <row r="166" spans="2:7" x14ac:dyDescent="0.25">
      <c r="B166" s="5">
        <v>45660</v>
      </c>
      <c r="C166" s="2" t="s">
        <v>3016</v>
      </c>
      <c r="D166" s="2" t="s">
        <v>2998</v>
      </c>
      <c r="E166" s="23">
        <v>70</v>
      </c>
      <c r="F166" s="2">
        <f t="shared" si="3"/>
        <v>0</v>
      </c>
      <c r="G166" s="2"/>
    </row>
    <row r="167" spans="2:7" x14ac:dyDescent="0.25">
      <c r="B167" s="5">
        <v>45661</v>
      </c>
      <c r="C167" s="2" t="s">
        <v>3015</v>
      </c>
      <c r="D167" s="2"/>
      <c r="E167" s="23">
        <v>70</v>
      </c>
      <c r="F167" s="2">
        <f t="shared" si="3"/>
        <v>0</v>
      </c>
      <c r="G167" s="2"/>
    </row>
    <row r="168" spans="2:7" x14ac:dyDescent="0.25">
      <c r="B168" s="5">
        <v>45662</v>
      </c>
      <c r="C168" s="2" t="s">
        <v>3014</v>
      </c>
      <c r="D168" s="2"/>
      <c r="E168" s="23">
        <v>70</v>
      </c>
      <c r="F168" s="2">
        <f t="shared" si="3"/>
        <v>0</v>
      </c>
      <c r="G168" s="2"/>
    </row>
    <row r="169" spans="2:7" x14ac:dyDescent="0.25">
      <c r="B169" s="5">
        <v>45663</v>
      </c>
      <c r="C169" s="2"/>
      <c r="D169" s="2"/>
      <c r="E169" s="23">
        <v>70</v>
      </c>
      <c r="F169" s="2">
        <f t="shared" si="3"/>
        <v>0</v>
      </c>
      <c r="G169" s="2"/>
    </row>
    <row r="170" spans="2:7" x14ac:dyDescent="0.25">
      <c r="B170" s="5">
        <v>45664</v>
      </c>
      <c r="C170" s="2"/>
      <c r="D170" s="2"/>
      <c r="E170" s="23">
        <v>70</v>
      </c>
      <c r="F170" s="2">
        <f t="shared" si="3"/>
        <v>0</v>
      </c>
      <c r="G170" s="2"/>
    </row>
    <row r="171" spans="2:7" x14ac:dyDescent="0.25">
      <c r="B171" s="5">
        <v>45665</v>
      </c>
      <c r="C171" s="2" t="s">
        <v>3075</v>
      </c>
      <c r="D171" s="2" t="s">
        <v>3060</v>
      </c>
      <c r="E171" s="23">
        <v>70</v>
      </c>
      <c r="F171" s="2">
        <f t="shared" si="3"/>
        <v>0</v>
      </c>
      <c r="G171" s="2"/>
    </row>
    <row r="172" spans="2:7" x14ac:dyDescent="0.25">
      <c r="B172" s="5">
        <v>45666</v>
      </c>
      <c r="C172" s="2" t="s">
        <v>3095</v>
      </c>
      <c r="D172" s="2" t="s">
        <v>3090</v>
      </c>
      <c r="E172" s="23">
        <v>70</v>
      </c>
      <c r="F172" s="2">
        <f t="shared" si="3"/>
        <v>0</v>
      </c>
      <c r="G172" s="2"/>
    </row>
    <row r="173" spans="2:7" x14ac:dyDescent="0.25">
      <c r="B173" s="5">
        <v>45667</v>
      </c>
      <c r="C173" s="2"/>
      <c r="D173" s="2"/>
      <c r="E173" s="23"/>
      <c r="F173" s="2"/>
      <c r="G173" s="2"/>
    </row>
    <row r="174" spans="2:7" x14ac:dyDescent="0.25">
      <c r="B174" s="5">
        <v>45668</v>
      </c>
      <c r="C174" s="2"/>
      <c r="D174" s="2"/>
      <c r="E174" s="23"/>
      <c r="F174" s="2"/>
      <c r="G174" s="2"/>
    </row>
    <row r="175" spans="2:7" x14ac:dyDescent="0.25">
      <c r="B175" s="5">
        <v>45669</v>
      </c>
      <c r="C175" s="2"/>
      <c r="D175" s="2"/>
      <c r="E175" s="23"/>
      <c r="F175" s="2"/>
      <c r="G175" s="2"/>
    </row>
    <row r="176" spans="2:7" x14ac:dyDescent="0.25">
      <c r="B176" s="5">
        <v>45670</v>
      </c>
      <c r="C176" s="2" t="s">
        <v>3127</v>
      </c>
      <c r="D176" s="2"/>
      <c r="E176" s="23"/>
      <c r="F176" s="2"/>
      <c r="G176" s="2"/>
    </row>
    <row r="177" spans="2:7" x14ac:dyDescent="0.25">
      <c r="B177" s="5">
        <v>45671</v>
      </c>
      <c r="C177" s="2"/>
      <c r="D177" s="2"/>
      <c r="E177" s="23"/>
      <c r="F177" s="2"/>
      <c r="G177" s="2"/>
    </row>
    <row r="178" spans="2:7" x14ac:dyDescent="0.25">
      <c r="B178" s="5">
        <v>45672</v>
      </c>
      <c r="C178" s="2"/>
      <c r="D178" s="2"/>
      <c r="E178" s="23"/>
      <c r="F178" s="2"/>
      <c r="G178" s="2"/>
    </row>
    <row r="179" spans="2:7" x14ac:dyDescent="0.25">
      <c r="B179" s="5">
        <v>45673</v>
      </c>
      <c r="C179" s="2"/>
      <c r="D179" s="2"/>
      <c r="E179" s="23"/>
      <c r="F179" s="2"/>
      <c r="G179" s="2"/>
    </row>
    <row r="180" spans="2:7" x14ac:dyDescent="0.25">
      <c r="B180" s="5">
        <v>45674</v>
      </c>
      <c r="C180" s="2"/>
      <c r="D180" s="2"/>
      <c r="E180" s="23"/>
      <c r="F180" s="2"/>
      <c r="G180" s="2"/>
    </row>
    <row r="181" spans="2:7" x14ac:dyDescent="0.25">
      <c r="B181" s="5">
        <v>45675</v>
      </c>
      <c r="C181" s="2"/>
      <c r="D181" s="2"/>
      <c r="E181" s="23"/>
      <c r="F181" s="2"/>
      <c r="G181" s="2"/>
    </row>
    <row r="182" spans="2:7" x14ac:dyDescent="0.25">
      <c r="B182" s="5">
        <v>45676</v>
      </c>
      <c r="C182" s="2"/>
      <c r="D182" s="2"/>
      <c r="E182" s="23"/>
      <c r="F182" s="2"/>
      <c r="G182" s="2"/>
    </row>
    <row r="183" spans="2:7" x14ac:dyDescent="0.25">
      <c r="B183" s="5">
        <v>45677</v>
      </c>
      <c r="C183" s="2"/>
      <c r="D183" s="2"/>
      <c r="E183" s="23"/>
      <c r="F183" s="2"/>
      <c r="G183" s="2"/>
    </row>
    <row r="184" spans="2:7" x14ac:dyDescent="0.25">
      <c r="B184" s="5">
        <v>45678</v>
      </c>
      <c r="C184" s="2"/>
      <c r="D184" s="2"/>
      <c r="E184" s="23"/>
      <c r="F184" s="2"/>
      <c r="G184" s="2"/>
    </row>
    <row r="185" spans="2:7" x14ac:dyDescent="0.25">
      <c r="B185" s="5">
        <v>45679</v>
      </c>
      <c r="C185" s="2"/>
      <c r="D185" s="2"/>
      <c r="E185" s="23"/>
      <c r="F185" s="2"/>
      <c r="G185" s="2"/>
    </row>
    <row r="186" spans="2:7" x14ac:dyDescent="0.25">
      <c r="B186" s="5">
        <v>45680</v>
      </c>
      <c r="C186" s="2"/>
      <c r="D186" s="2"/>
      <c r="E186" s="23"/>
      <c r="F186" s="2"/>
      <c r="G186" s="2"/>
    </row>
    <row r="187" spans="2:7" x14ac:dyDescent="0.25">
      <c r="B187" s="5">
        <v>45681</v>
      </c>
      <c r="C187" s="2"/>
      <c r="D187" s="2"/>
      <c r="E187" s="2"/>
      <c r="F187" s="2"/>
      <c r="G187" s="2"/>
    </row>
    <row r="188" spans="2:7" x14ac:dyDescent="0.25">
      <c r="B188" s="5">
        <v>45682</v>
      </c>
      <c r="C188" s="2"/>
      <c r="D188" s="2"/>
      <c r="E188" s="2"/>
      <c r="F188" s="2"/>
      <c r="G188" s="2"/>
    </row>
    <row r="189" spans="2:7" x14ac:dyDescent="0.25">
      <c r="B189" s="5">
        <v>45683</v>
      </c>
      <c r="C189" s="2"/>
      <c r="D189" s="2"/>
      <c r="E189" s="2"/>
      <c r="F189" s="2"/>
      <c r="G189" s="2"/>
    </row>
    <row r="190" spans="2:7" x14ac:dyDescent="0.25">
      <c r="B190" s="5">
        <v>45684</v>
      </c>
      <c r="C190" s="2"/>
      <c r="D190" s="2"/>
      <c r="E190" s="2"/>
      <c r="F190" s="2"/>
      <c r="G190" s="2"/>
    </row>
    <row r="191" spans="2:7" x14ac:dyDescent="0.25">
      <c r="B191" s="5">
        <v>45685</v>
      </c>
      <c r="C191" s="2"/>
      <c r="D191" s="2"/>
      <c r="E191" s="2"/>
      <c r="F191" s="2"/>
      <c r="G191" s="2"/>
    </row>
    <row r="192" spans="2:7" x14ac:dyDescent="0.25">
      <c r="B192" s="5">
        <v>45686</v>
      </c>
      <c r="C192" s="2"/>
      <c r="D192" s="2"/>
      <c r="E192" s="2"/>
      <c r="F192" s="2"/>
      <c r="G192" s="2"/>
    </row>
    <row r="193" spans="2:7" x14ac:dyDescent="0.25">
      <c r="B193" s="5">
        <v>45687</v>
      </c>
      <c r="C193" s="2"/>
      <c r="D193" s="2"/>
      <c r="E193" s="2"/>
      <c r="F193" s="2"/>
      <c r="G193" s="2"/>
    </row>
    <row r="194" spans="2:7" x14ac:dyDescent="0.25">
      <c r="B194" s="5">
        <v>45688</v>
      </c>
      <c r="C194" s="2"/>
      <c r="D194" s="2"/>
      <c r="E194" s="2"/>
      <c r="F194" s="2"/>
      <c r="G194" s="2"/>
    </row>
    <row r="195" spans="2:7" x14ac:dyDescent="0.25">
      <c r="B195" s="5">
        <v>45689</v>
      </c>
      <c r="C195" s="2"/>
      <c r="D195" s="2"/>
      <c r="E195" s="2"/>
      <c r="F195" s="2"/>
      <c r="G195" s="2"/>
    </row>
    <row r="196" spans="2:7" x14ac:dyDescent="0.25">
      <c r="B196" s="5">
        <v>45690</v>
      </c>
      <c r="C196" s="2"/>
      <c r="D196" s="2"/>
      <c r="E196" s="2"/>
      <c r="F196" s="2"/>
      <c r="G196" s="2"/>
    </row>
    <row r="197" spans="2:7" x14ac:dyDescent="0.25">
      <c r="B197" s="5">
        <v>45691</v>
      </c>
      <c r="C197" s="2"/>
      <c r="D197" s="2"/>
      <c r="E197" s="2"/>
      <c r="F197" s="2"/>
      <c r="G197" s="2"/>
    </row>
    <row r="198" spans="2:7" x14ac:dyDescent="0.25">
      <c r="B198" s="5">
        <v>45692</v>
      </c>
      <c r="C198" s="2"/>
      <c r="D198" s="2"/>
      <c r="E198" s="2"/>
      <c r="F198" s="2"/>
      <c r="G198" s="2"/>
    </row>
    <row r="199" spans="2:7" x14ac:dyDescent="0.25">
      <c r="B199" s="5">
        <v>45693</v>
      </c>
      <c r="C199" s="2"/>
      <c r="D199" s="2"/>
      <c r="E199" s="2"/>
      <c r="F199" s="2"/>
      <c r="G199" s="2"/>
    </row>
    <row r="200" spans="2:7" x14ac:dyDescent="0.25">
      <c r="B200" s="5">
        <v>45694</v>
      </c>
      <c r="C200" s="2"/>
      <c r="D200" s="2"/>
      <c r="E200" s="2"/>
      <c r="F200" s="2"/>
      <c r="G200" s="2"/>
    </row>
    <row r="201" spans="2:7" x14ac:dyDescent="0.25">
      <c r="B201" s="5">
        <v>45695</v>
      </c>
      <c r="C201" s="2"/>
      <c r="D201" s="2"/>
      <c r="E201" s="2"/>
      <c r="F201" s="2"/>
      <c r="G201" s="2"/>
    </row>
    <row r="202" spans="2:7" x14ac:dyDescent="0.25">
      <c r="B202" s="5">
        <v>45696</v>
      </c>
      <c r="C202" s="2"/>
      <c r="D202" s="2"/>
      <c r="E202" s="2"/>
      <c r="F202" s="2"/>
      <c r="G202" s="2"/>
    </row>
    <row r="203" spans="2:7" x14ac:dyDescent="0.25">
      <c r="B203" s="5">
        <v>45697</v>
      </c>
      <c r="C203" s="2"/>
      <c r="D203" s="2"/>
      <c r="E203" s="2"/>
      <c r="F203" s="2"/>
      <c r="G203" s="2"/>
    </row>
    <row r="204" spans="2:7" x14ac:dyDescent="0.25">
      <c r="B204" s="5">
        <v>45698</v>
      </c>
      <c r="C204" s="2"/>
      <c r="D204" s="2"/>
      <c r="E204" s="2"/>
      <c r="F204" s="2"/>
      <c r="G204" s="2"/>
    </row>
    <row r="205" spans="2:7" x14ac:dyDescent="0.25">
      <c r="B205" s="5">
        <v>45699</v>
      </c>
      <c r="C205" s="2"/>
      <c r="D205" s="2"/>
      <c r="E205" s="2"/>
      <c r="F205" s="2"/>
      <c r="G205" s="2"/>
    </row>
    <row r="206" spans="2:7" x14ac:dyDescent="0.25">
      <c r="B206" s="5">
        <v>45700</v>
      </c>
      <c r="C206" s="2"/>
      <c r="D206" s="2"/>
      <c r="E206" s="2"/>
      <c r="F206" s="2"/>
      <c r="G206" s="2"/>
    </row>
    <row r="207" spans="2:7" x14ac:dyDescent="0.25">
      <c r="B207" s="5">
        <v>45701</v>
      </c>
      <c r="C207" s="2"/>
      <c r="D207" s="2"/>
      <c r="E207" s="2"/>
      <c r="F207" s="2"/>
      <c r="G207" s="2"/>
    </row>
    <row r="208" spans="2:7" x14ac:dyDescent="0.25">
      <c r="B208" s="5">
        <v>45702</v>
      </c>
      <c r="C208" s="2"/>
      <c r="D208" s="2"/>
      <c r="E208" s="2"/>
      <c r="F208" s="2"/>
      <c r="G208" s="2"/>
    </row>
    <row r="209" spans="2:7" x14ac:dyDescent="0.25">
      <c r="B209" s="5">
        <v>45703</v>
      </c>
      <c r="C209" s="2"/>
      <c r="D209" s="2"/>
      <c r="E209" s="2"/>
      <c r="F209" s="2"/>
      <c r="G209" s="2"/>
    </row>
    <row r="210" spans="2:7" x14ac:dyDescent="0.25">
      <c r="B210" s="5">
        <v>45704</v>
      </c>
      <c r="C210" s="2"/>
      <c r="D210" s="2"/>
      <c r="E210" s="2"/>
      <c r="F210" s="2"/>
      <c r="G210" s="2"/>
    </row>
    <row r="211" spans="2:7" x14ac:dyDescent="0.25">
      <c r="B211" s="5">
        <v>45705</v>
      </c>
      <c r="C211" s="2"/>
      <c r="D211" s="2"/>
      <c r="E211" s="2"/>
      <c r="F211" s="2"/>
      <c r="G211" s="2"/>
    </row>
    <row r="212" spans="2:7" x14ac:dyDescent="0.25">
      <c r="B212" s="5">
        <v>45706</v>
      </c>
      <c r="C212" s="2"/>
      <c r="D212" s="2"/>
      <c r="E212" s="2"/>
      <c r="F212" s="2"/>
      <c r="G212" s="2"/>
    </row>
    <row r="213" spans="2:7" x14ac:dyDescent="0.25">
      <c r="B213" s="5">
        <v>45707</v>
      </c>
      <c r="C213" s="2"/>
      <c r="D213" s="2"/>
      <c r="E213" s="2"/>
      <c r="F213" s="2"/>
      <c r="G213" s="2"/>
    </row>
    <row r="214" spans="2:7" x14ac:dyDescent="0.25">
      <c r="B214" s="5">
        <v>45708</v>
      </c>
      <c r="C214" s="2"/>
      <c r="D214" s="2"/>
      <c r="E214" s="2"/>
      <c r="F214" s="2"/>
      <c r="G214" s="2"/>
    </row>
    <row r="215" spans="2:7" x14ac:dyDescent="0.25">
      <c r="B215" s="5">
        <v>45709</v>
      </c>
      <c r="C215" s="2"/>
      <c r="D215" s="2"/>
      <c r="E215" s="2"/>
      <c r="F215" s="2"/>
      <c r="G215" s="2"/>
    </row>
    <row r="216" spans="2:7" x14ac:dyDescent="0.25">
      <c r="B216" s="5">
        <v>45710</v>
      </c>
      <c r="C216" s="2"/>
      <c r="D216" s="2"/>
      <c r="E216" s="2"/>
      <c r="F216" s="2"/>
      <c r="G216" s="2"/>
    </row>
    <row r="217" spans="2:7" x14ac:dyDescent="0.25">
      <c r="B217" s="5">
        <v>45711</v>
      </c>
      <c r="C217" s="2"/>
      <c r="D217" s="2"/>
      <c r="E217" s="2"/>
      <c r="F217" s="2"/>
      <c r="G217" s="2"/>
    </row>
    <row r="218" spans="2:7" x14ac:dyDescent="0.25">
      <c r="B218" s="5">
        <v>45712</v>
      </c>
      <c r="C218" s="2"/>
      <c r="D218" s="2"/>
      <c r="E218" s="2"/>
      <c r="F218" s="2"/>
      <c r="G218" s="2"/>
    </row>
    <row r="219" spans="2:7" x14ac:dyDescent="0.25">
      <c r="B219" s="5">
        <v>45713</v>
      </c>
      <c r="C219" s="2"/>
      <c r="D219" s="2"/>
      <c r="E219" s="2"/>
      <c r="F219" s="2"/>
      <c r="G219" s="2"/>
    </row>
    <row r="220" spans="2:7" x14ac:dyDescent="0.25">
      <c r="B220" s="5">
        <v>45714</v>
      </c>
      <c r="C220" s="2"/>
      <c r="D220" s="2"/>
      <c r="E220" s="2"/>
      <c r="F220" s="2"/>
      <c r="G220" s="2"/>
    </row>
    <row r="221" spans="2:7" x14ac:dyDescent="0.25">
      <c r="B221" s="5">
        <v>45715</v>
      </c>
      <c r="C221" s="2"/>
      <c r="D221" s="2"/>
      <c r="E221" s="2"/>
      <c r="F221" s="2"/>
      <c r="G221" s="2"/>
    </row>
    <row r="222" spans="2:7" x14ac:dyDescent="0.25">
      <c r="B222" s="5">
        <v>45716</v>
      </c>
      <c r="C222" s="2" t="s">
        <v>3435</v>
      </c>
      <c r="D222" s="2"/>
      <c r="E222" s="2">
        <v>14</v>
      </c>
      <c r="F222" s="2">
        <f t="shared" ref="F222:F248" si="4">E222-E221</f>
        <v>14</v>
      </c>
      <c r="G222" s="2"/>
    </row>
    <row r="223" spans="2:7" x14ac:dyDescent="0.25">
      <c r="B223" s="5">
        <v>45717</v>
      </c>
      <c r="C223" s="2" t="s">
        <v>3435</v>
      </c>
      <c r="D223" s="2"/>
      <c r="E223" s="2">
        <v>19</v>
      </c>
      <c r="F223" s="2">
        <f t="shared" si="4"/>
        <v>5</v>
      </c>
      <c r="G223" s="2"/>
    </row>
    <row r="224" spans="2:7" x14ac:dyDescent="0.25">
      <c r="B224" s="5">
        <v>45718</v>
      </c>
      <c r="C224" s="2" t="s">
        <v>3434</v>
      </c>
      <c r="D224" s="2"/>
      <c r="E224" s="2">
        <v>22</v>
      </c>
      <c r="F224" s="2">
        <f t="shared" si="4"/>
        <v>3</v>
      </c>
      <c r="G224" s="2"/>
    </row>
    <row r="225" spans="2:7" x14ac:dyDescent="0.25">
      <c r="B225" s="5">
        <v>45719</v>
      </c>
      <c r="C225" s="2" t="s">
        <v>3433</v>
      </c>
      <c r="D225" s="2"/>
      <c r="E225" s="2">
        <v>27</v>
      </c>
      <c r="F225" s="2">
        <f t="shared" si="4"/>
        <v>5</v>
      </c>
      <c r="G225" s="2"/>
    </row>
    <row r="226" spans="2:7" x14ac:dyDescent="0.25">
      <c r="B226" s="5">
        <v>45720</v>
      </c>
      <c r="C226" s="2" t="s">
        <v>3438</v>
      </c>
      <c r="D226" s="2"/>
      <c r="E226" s="2">
        <v>27</v>
      </c>
      <c r="F226" s="2">
        <f t="shared" si="4"/>
        <v>0</v>
      </c>
      <c r="G226" s="2"/>
    </row>
    <row r="227" spans="2:7" x14ac:dyDescent="0.25">
      <c r="B227" s="5">
        <v>45721</v>
      </c>
      <c r="C227" s="2" t="s">
        <v>3445</v>
      </c>
      <c r="D227" s="2"/>
      <c r="E227" s="2">
        <v>30</v>
      </c>
      <c r="F227" s="2">
        <f t="shared" si="4"/>
        <v>3</v>
      </c>
      <c r="G227" s="2"/>
    </row>
    <row r="228" spans="2:7" x14ac:dyDescent="0.25">
      <c r="B228" s="5">
        <v>45722</v>
      </c>
      <c r="C228" s="2" t="s">
        <v>3452</v>
      </c>
      <c r="D228" s="2"/>
      <c r="E228" s="2">
        <v>36</v>
      </c>
      <c r="F228" s="2">
        <f t="shared" si="4"/>
        <v>6</v>
      </c>
      <c r="G228" s="2"/>
    </row>
    <row r="229" spans="2:7" x14ac:dyDescent="0.25">
      <c r="B229" s="5">
        <v>45723</v>
      </c>
      <c r="C229" s="2" t="s">
        <v>3460</v>
      </c>
      <c r="D229" s="2" t="s">
        <v>3466</v>
      </c>
      <c r="E229" s="2">
        <v>36</v>
      </c>
      <c r="F229" s="2">
        <f t="shared" si="4"/>
        <v>0</v>
      </c>
      <c r="G229" s="2"/>
    </row>
    <row r="230" spans="2:7" x14ac:dyDescent="0.25">
      <c r="B230" s="5">
        <v>45724</v>
      </c>
      <c r="C230" s="2" t="s">
        <v>3478</v>
      </c>
      <c r="D230" s="2"/>
      <c r="E230" s="2">
        <v>45</v>
      </c>
      <c r="F230" s="2">
        <f t="shared" si="4"/>
        <v>9</v>
      </c>
      <c r="G230" s="2"/>
    </row>
    <row r="231" spans="2:7" x14ac:dyDescent="0.25">
      <c r="B231" s="5">
        <v>45725</v>
      </c>
      <c r="C231" s="2" t="s">
        <v>3477</v>
      </c>
      <c r="D231" s="2"/>
      <c r="E231" s="2">
        <v>48</v>
      </c>
      <c r="F231" s="2">
        <f t="shared" si="4"/>
        <v>3</v>
      </c>
      <c r="G231" s="2"/>
    </row>
    <row r="232" spans="2:7" x14ac:dyDescent="0.25">
      <c r="B232" s="5">
        <v>45726</v>
      </c>
      <c r="C232" s="2" t="s">
        <v>3486</v>
      </c>
      <c r="D232" s="2"/>
      <c r="E232" s="2">
        <v>51</v>
      </c>
      <c r="F232" s="2">
        <f t="shared" si="4"/>
        <v>3</v>
      </c>
      <c r="G232" s="2"/>
    </row>
    <row r="233" spans="2:7" x14ac:dyDescent="0.25">
      <c r="B233" s="5">
        <v>45727</v>
      </c>
      <c r="C233" s="2" t="s">
        <v>3493</v>
      </c>
      <c r="D233" s="2"/>
      <c r="E233" s="2">
        <v>57</v>
      </c>
      <c r="F233" s="2">
        <f t="shared" si="4"/>
        <v>6</v>
      </c>
      <c r="G233" s="2"/>
    </row>
    <row r="234" spans="2:7" x14ac:dyDescent="0.25">
      <c r="B234" s="5">
        <v>45728</v>
      </c>
      <c r="C234" s="2" t="s">
        <v>3493</v>
      </c>
      <c r="D234" s="2"/>
      <c r="E234" s="2">
        <v>57</v>
      </c>
      <c r="F234" s="2">
        <f t="shared" si="4"/>
        <v>0</v>
      </c>
      <c r="G234" s="2"/>
    </row>
    <row r="235" spans="2:7" x14ac:dyDescent="0.25">
      <c r="B235" s="5">
        <v>45729</v>
      </c>
      <c r="C235" s="2" t="s">
        <v>3504</v>
      </c>
      <c r="D235" s="2"/>
      <c r="E235" s="2">
        <v>57</v>
      </c>
      <c r="F235" s="2">
        <f t="shared" si="4"/>
        <v>0</v>
      </c>
      <c r="G235" s="2"/>
    </row>
    <row r="236" spans="2:7" x14ac:dyDescent="0.25">
      <c r="B236" s="5">
        <v>45730</v>
      </c>
      <c r="C236" s="2" t="s">
        <v>3518</v>
      </c>
      <c r="D236" s="2"/>
      <c r="E236" s="2">
        <v>57</v>
      </c>
      <c r="F236" s="2">
        <f t="shared" si="4"/>
        <v>0</v>
      </c>
      <c r="G236" s="2"/>
    </row>
    <row r="237" spans="2:7" x14ac:dyDescent="0.25">
      <c r="B237" s="5">
        <v>45731</v>
      </c>
      <c r="C237" s="2" t="s">
        <v>3527</v>
      </c>
      <c r="D237" s="2"/>
      <c r="E237" s="2">
        <v>57</v>
      </c>
      <c r="F237" s="2">
        <f t="shared" si="4"/>
        <v>0</v>
      </c>
      <c r="G237" s="2"/>
    </row>
    <row r="238" spans="2:7" x14ac:dyDescent="0.25">
      <c r="B238" s="5">
        <v>45732</v>
      </c>
      <c r="C238" s="2" t="s">
        <v>3528</v>
      </c>
      <c r="D238" s="2"/>
      <c r="E238" s="2">
        <v>57</v>
      </c>
      <c r="F238" s="2">
        <f t="shared" si="4"/>
        <v>0</v>
      </c>
      <c r="G238" s="2"/>
    </row>
    <row r="239" spans="2:7" x14ac:dyDescent="0.25">
      <c r="B239" s="5">
        <v>45733</v>
      </c>
      <c r="C239" s="2" t="s">
        <v>3551</v>
      </c>
      <c r="D239" s="2"/>
      <c r="E239" s="2">
        <v>57</v>
      </c>
      <c r="F239" s="2">
        <f t="shared" si="4"/>
        <v>0</v>
      </c>
      <c r="G239" s="2"/>
    </row>
    <row r="240" spans="2:7" x14ac:dyDescent="0.25">
      <c r="B240" s="5">
        <v>45734</v>
      </c>
      <c r="C240" s="2" t="s">
        <v>3552</v>
      </c>
      <c r="D240" s="2"/>
      <c r="E240" s="2">
        <v>57</v>
      </c>
      <c r="F240" s="2">
        <f t="shared" si="4"/>
        <v>0</v>
      </c>
      <c r="G240" s="2"/>
    </row>
    <row r="241" spans="2:7" x14ac:dyDescent="0.25">
      <c r="B241" s="5">
        <v>45735</v>
      </c>
      <c r="C241" s="2" t="s">
        <v>3553</v>
      </c>
      <c r="D241" s="2"/>
      <c r="E241" s="2">
        <v>21</v>
      </c>
      <c r="F241" s="2">
        <f t="shared" si="4"/>
        <v>-36</v>
      </c>
      <c r="G241" s="2"/>
    </row>
    <row r="242" spans="2:7" x14ac:dyDescent="0.25">
      <c r="B242" s="5">
        <v>45736</v>
      </c>
      <c r="C242" s="2" t="s">
        <v>3554</v>
      </c>
      <c r="D242" s="2"/>
      <c r="E242" s="2">
        <v>22</v>
      </c>
      <c r="F242" s="2">
        <f t="shared" si="4"/>
        <v>1</v>
      </c>
      <c r="G242" s="2"/>
    </row>
    <row r="243" spans="2:7" x14ac:dyDescent="0.25">
      <c r="B243" s="5">
        <v>45737</v>
      </c>
      <c r="C243" s="2" t="s">
        <v>3575</v>
      </c>
      <c r="D243" s="2"/>
      <c r="E243" s="2">
        <v>23</v>
      </c>
      <c r="F243" s="2">
        <f t="shared" si="4"/>
        <v>1</v>
      </c>
      <c r="G243" s="2"/>
    </row>
    <row r="244" spans="2:7" x14ac:dyDescent="0.25">
      <c r="B244" s="5">
        <v>45738</v>
      </c>
      <c r="C244" s="2" t="s">
        <v>3574</v>
      </c>
      <c r="D244" s="2"/>
      <c r="E244" s="2">
        <v>44</v>
      </c>
      <c r="F244" s="2">
        <f t="shared" si="4"/>
        <v>21</v>
      </c>
      <c r="G244" s="2"/>
    </row>
    <row r="245" spans="2:7" x14ac:dyDescent="0.25">
      <c r="B245" s="5">
        <v>45739</v>
      </c>
      <c r="C245" s="2" t="s">
        <v>3573</v>
      </c>
      <c r="D245" s="2"/>
      <c r="E245" s="2">
        <v>52</v>
      </c>
      <c r="F245" s="2">
        <f t="shared" si="4"/>
        <v>8</v>
      </c>
      <c r="G245" s="2"/>
    </row>
    <row r="246" spans="2:7" x14ac:dyDescent="0.25">
      <c r="B246" s="5">
        <v>45740</v>
      </c>
      <c r="C246" s="2" t="s">
        <v>3572</v>
      </c>
      <c r="D246" s="2"/>
      <c r="E246" s="2">
        <v>55.9</v>
      </c>
      <c r="F246" s="2">
        <f t="shared" si="4"/>
        <v>3.8999999999999986</v>
      </c>
      <c r="G246" s="2"/>
    </row>
    <row r="247" spans="2:7" x14ac:dyDescent="0.25">
      <c r="B247" s="5">
        <v>45741</v>
      </c>
      <c r="C247" s="2" t="s">
        <v>3585</v>
      </c>
      <c r="D247" s="2" t="s">
        <v>3588</v>
      </c>
      <c r="E247" s="2">
        <v>55.9</v>
      </c>
      <c r="F247" s="2">
        <f t="shared" si="4"/>
        <v>0</v>
      </c>
      <c r="G247" s="2"/>
    </row>
    <row r="248" spans="2:7" x14ac:dyDescent="0.25">
      <c r="B248" s="5">
        <v>45742</v>
      </c>
      <c r="C248" s="2" t="s">
        <v>131</v>
      </c>
      <c r="D248" s="2"/>
      <c r="E248" s="2"/>
      <c r="F248" s="2">
        <f t="shared" si="4"/>
        <v>-55.9</v>
      </c>
      <c r="G248" s="2"/>
    </row>
    <row r="249" spans="2:7" x14ac:dyDescent="0.25">
      <c r="B249" s="5">
        <v>45743</v>
      </c>
      <c r="C249" s="2" t="s">
        <v>131</v>
      </c>
      <c r="D249" s="2"/>
      <c r="E249" s="2"/>
      <c r="F249" s="2"/>
      <c r="G249" s="2"/>
    </row>
    <row r="250" spans="2:7" x14ac:dyDescent="0.25">
      <c r="B250" s="5">
        <v>45744</v>
      </c>
      <c r="C250" s="2" t="s">
        <v>131</v>
      </c>
      <c r="D250" s="2"/>
      <c r="E250" s="2"/>
      <c r="F250" s="2"/>
      <c r="G250" s="2"/>
    </row>
    <row r="251" spans="2:7" x14ac:dyDescent="0.25">
      <c r="B251" s="5">
        <v>45745</v>
      </c>
      <c r="C251" s="2" t="s">
        <v>131</v>
      </c>
      <c r="D251" s="2"/>
      <c r="E251" s="2"/>
      <c r="F251" s="2"/>
      <c r="G251" s="2"/>
    </row>
    <row r="252" spans="2:7" x14ac:dyDescent="0.25">
      <c r="B252" s="5">
        <v>45746</v>
      </c>
      <c r="C252" s="2" t="s">
        <v>131</v>
      </c>
      <c r="D252" s="2"/>
      <c r="E252" s="2"/>
      <c r="F252" s="2"/>
      <c r="G252" s="2"/>
    </row>
    <row r="253" spans="2:7" x14ac:dyDescent="0.25">
      <c r="B253" s="5">
        <v>45747</v>
      </c>
      <c r="C253" s="2" t="s">
        <v>131</v>
      </c>
      <c r="D253" s="2"/>
      <c r="E253" s="2"/>
      <c r="F253" s="2"/>
      <c r="G253" s="2"/>
    </row>
    <row r="254" spans="2:7" x14ac:dyDescent="0.25">
      <c r="B254" s="5">
        <v>45748</v>
      </c>
      <c r="C254" s="2" t="s">
        <v>131</v>
      </c>
      <c r="D254" s="2"/>
      <c r="E254" s="2"/>
      <c r="F254" s="2"/>
      <c r="G254" s="2"/>
    </row>
    <row r="255" spans="2:7" x14ac:dyDescent="0.25">
      <c r="B255" s="5">
        <v>45749</v>
      </c>
      <c r="C255" s="2" t="s">
        <v>131</v>
      </c>
      <c r="D255" s="2"/>
      <c r="E255" s="2"/>
      <c r="F255" s="2"/>
      <c r="G255" s="2"/>
    </row>
    <row r="256" spans="2:7" x14ac:dyDescent="0.25">
      <c r="B256" s="5">
        <v>45750</v>
      </c>
      <c r="C256" s="2" t="s">
        <v>131</v>
      </c>
      <c r="D256" s="2"/>
      <c r="E256" s="2"/>
      <c r="F256" s="2"/>
      <c r="G256" s="2"/>
    </row>
    <row r="257" spans="2:7" x14ac:dyDescent="0.25">
      <c r="B257" s="5">
        <v>45751</v>
      </c>
      <c r="C257" s="2" t="s">
        <v>131</v>
      </c>
      <c r="D257" s="2"/>
      <c r="E257" s="2"/>
      <c r="F257" s="2"/>
      <c r="G257" s="2"/>
    </row>
    <row r="258" spans="2:7" x14ac:dyDescent="0.25">
      <c r="B258" s="5">
        <v>45752</v>
      </c>
      <c r="C258" s="2" t="s">
        <v>131</v>
      </c>
      <c r="D258" s="2"/>
      <c r="E258" s="2"/>
      <c r="F258" s="2"/>
      <c r="G258" s="2"/>
    </row>
    <row r="259" spans="2:7" x14ac:dyDescent="0.25">
      <c r="B259" s="5">
        <v>45753</v>
      </c>
      <c r="C259" s="2" t="s">
        <v>131</v>
      </c>
      <c r="D259" s="2"/>
      <c r="E259" s="2"/>
      <c r="F259" s="2"/>
      <c r="G259" s="2"/>
    </row>
    <row r="260" spans="2:7" x14ac:dyDescent="0.25">
      <c r="B260" s="5">
        <v>45754</v>
      </c>
      <c r="C260" s="2" t="s">
        <v>131</v>
      </c>
      <c r="D260" s="2"/>
      <c r="E260" s="2"/>
      <c r="F260" s="2"/>
      <c r="G260" s="2"/>
    </row>
    <row r="261" spans="2:7" x14ac:dyDescent="0.25">
      <c r="B261" s="5">
        <v>45755</v>
      </c>
      <c r="C261" s="2" t="s">
        <v>3640</v>
      </c>
      <c r="D261" s="2"/>
      <c r="E261" s="2"/>
      <c r="F261" s="2"/>
      <c r="G261" s="2"/>
    </row>
    <row r="262" spans="2:7" x14ac:dyDescent="0.25">
      <c r="B262" s="5">
        <v>45756</v>
      </c>
      <c r="C262" s="2" t="s">
        <v>3646</v>
      </c>
      <c r="D262" s="2" t="s">
        <v>3647</v>
      </c>
      <c r="E262" s="2"/>
      <c r="F262" s="2"/>
      <c r="G262" s="2"/>
    </row>
    <row r="263" spans="2:7" x14ac:dyDescent="0.25">
      <c r="B263" s="5">
        <v>45757</v>
      </c>
      <c r="C263" s="2" t="s">
        <v>3658</v>
      </c>
      <c r="D263" s="2"/>
      <c r="E263" s="2"/>
      <c r="F263" s="2"/>
      <c r="G263" s="2"/>
    </row>
    <row r="264" spans="2:7" x14ac:dyDescent="0.25">
      <c r="B264" s="5">
        <v>45758</v>
      </c>
      <c r="C264" s="2" t="s">
        <v>3658</v>
      </c>
      <c r="D264" s="2"/>
      <c r="E264" s="2"/>
      <c r="F264" s="2"/>
      <c r="G264" s="2"/>
    </row>
    <row r="265" spans="2:7" x14ac:dyDescent="0.25">
      <c r="B265" s="5">
        <v>45759</v>
      </c>
      <c r="C265" s="2" t="s">
        <v>3658</v>
      </c>
      <c r="D265" s="2"/>
      <c r="E265" s="2"/>
      <c r="F265" s="2"/>
      <c r="G265" s="2"/>
    </row>
    <row r="266" spans="2:7" x14ac:dyDescent="0.25">
      <c r="B266" s="5">
        <v>45760</v>
      </c>
      <c r="C266" s="2" t="s">
        <v>3664</v>
      </c>
      <c r="D266" s="2"/>
      <c r="E266" s="2"/>
      <c r="F266" s="2"/>
      <c r="G266" s="2"/>
    </row>
    <row r="267" spans="2:7" x14ac:dyDescent="0.25">
      <c r="B267" s="5">
        <v>45761</v>
      </c>
      <c r="C267" s="2" t="s">
        <v>3687</v>
      </c>
      <c r="D267" s="2"/>
      <c r="E267" s="2"/>
      <c r="F267" s="2"/>
      <c r="G267" s="2"/>
    </row>
    <row r="268" spans="2:7" x14ac:dyDescent="0.25">
      <c r="B268" s="5">
        <v>45762</v>
      </c>
      <c r="C268" s="2" t="s">
        <v>3688</v>
      </c>
      <c r="D268" s="2" t="s">
        <v>3689</v>
      </c>
      <c r="E268" s="2"/>
      <c r="F268" s="2"/>
      <c r="G268" s="2"/>
    </row>
    <row r="269" spans="2:7" x14ac:dyDescent="0.25">
      <c r="B269" s="5">
        <v>45763</v>
      </c>
      <c r="C269" s="2" t="s">
        <v>3696</v>
      </c>
      <c r="D269" s="2" t="s">
        <v>3697</v>
      </c>
      <c r="E269" s="2"/>
      <c r="F269" s="2"/>
      <c r="G269" s="2"/>
    </row>
    <row r="270" spans="2:7" x14ac:dyDescent="0.25">
      <c r="B270" s="5">
        <v>45764</v>
      </c>
      <c r="C270" s="2" t="s">
        <v>3710</v>
      </c>
      <c r="D270" s="2" t="s">
        <v>3711</v>
      </c>
      <c r="E270" s="2"/>
      <c r="F270" s="2"/>
      <c r="G270" s="2"/>
    </row>
    <row r="271" spans="2:7" x14ac:dyDescent="0.25">
      <c r="B271" s="5">
        <v>45765</v>
      </c>
      <c r="C271" s="2" t="s">
        <v>3720</v>
      </c>
      <c r="D271" s="2"/>
      <c r="E271" s="2"/>
      <c r="F271" s="2"/>
      <c r="G271" s="2"/>
    </row>
    <row r="272" spans="2:7" x14ac:dyDescent="0.25">
      <c r="B272" s="5">
        <v>45766</v>
      </c>
      <c r="C272" s="2" t="s">
        <v>1528</v>
      </c>
      <c r="D272" s="2"/>
      <c r="E272" s="2"/>
      <c r="F272" s="2"/>
      <c r="G272" s="2"/>
    </row>
    <row r="273" spans="2:7" x14ac:dyDescent="0.25">
      <c r="B273" s="5">
        <v>45767</v>
      </c>
      <c r="C273" s="2"/>
      <c r="D273" s="2"/>
      <c r="E273" s="2"/>
      <c r="F273" s="2"/>
      <c r="G273" s="2"/>
    </row>
    <row r="274" spans="2:7" x14ac:dyDescent="0.25">
      <c r="B274" s="5">
        <v>45768</v>
      </c>
      <c r="C274" s="2"/>
      <c r="D274" s="2"/>
      <c r="E274" s="2"/>
      <c r="F274" s="2"/>
      <c r="G274" s="2"/>
    </row>
    <row r="275" spans="2:7" x14ac:dyDescent="0.25">
      <c r="B275" s="5">
        <v>45769</v>
      </c>
      <c r="C275" s="2"/>
      <c r="D275" s="2"/>
      <c r="E275" s="2"/>
      <c r="F275" s="2"/>
      <c r="G275" s="2"/>
    </row>
    <row r="276" spans="2:7" x14ac:dyDescent="0.25">
      <c r="B276" s="112"/>
      <c r="C276" s="112"/>
      <c r="D276" s="112"/>
      <c r="E276" s="112"/>
      <c r="F276" s="112"/>
      <c r="G276" s="112"/>
    </row>
    <row r="277" spans="2:7" x14ac:dyDescent="0.25">
      <c r="B277" s="12"/>
      <c r="C277" s="2"/>
      <c r="D277" s="2"/>
      <c r="E277" s="2"/>
      <c r="F277" s="2"/>
      <c r="G277" s="2"/>
    </row>
    <row r="278" spans="2:7" x14ac:dyDescent="0.25">
      <c r="B278" s="5">
        <v>45884</v>
      </c>
      <c r="C278" s="2" t="s">
        <v>5034</v>
      </c>
      <c r="D278" s="2"/>
      <c r="E278" s="2"/>
      <c r="F278" s="2"/>
      <c r="G278" s="2"/>
    </row>
    <row r="279" spans="2:7" x14ac:dyDescent="0.25">
      <c r="B279" s="5">
        <v>45885</v>
      </c>
      <c r="C279" s="2"/>
      <c r="D279" s="2"/>
      <c r="E279" s="2"/>
      <c r="F279" s="2"/>
      <c r="G279" s="2"/>
    </row>
    <row r="280" spans="2:7" x14ac:dyDescent="0.25">
      <c r="B280" s="5">
        <v>45886</v>
      </c>
      <c r="C280" s="2"/>
      <c r="D280" s="2"/>
      <c r="E280" s="2"/>
      <c r="F280" s="2"/>
      <c r="G280" s="2"/>
    </row>
    <row r="281" spans="2:7" x14ac:dyDescent="0.25">
      <c r="B281" s="5">
        <v>45887</v>
      </c>
      <c r="C281" s="2"/>
      <c r="D281" s="2"/>
      <c r="E281" s="2"/>
      <c r="F281" s="2"/>
      <c r="G281" s="2"/>
    </row>
    <row r="282" spans="2:7" x14ac:dyDescent="0.25">
      <c r="B282" s="5">
        <v>45888</v>
      </c>
      <c r="C282" s="2"/>
      <c r="D282" s="2"/>
      <c r="E282" s="2"/>
      <c r="F282" s="2"/>
      <c r="G282" s="2"/>
    </row>
    <row r="283" spans="2:7" x14ac:dyDescent="0.25">
      <c r="B283" s="5">
        <v>45889</v>
      </c>
      <c r="C283" s="2"/>
      <c r="D283" s="2"/>
      <c r="E283" s="2"/>
      <c r="F283" s="2"/>
      <c r="G283" s="2"/>
    </row>
    <row r="284" spans="2:7" x14ac:dyDescent="0.25">
      <c r="B284" s="5">
        <v>45890</v>
      </c>
      <c r="C284" s="2" t="s">
        <v>5085</v>
      </c>
      <c r="D284" s="2"/>
      <c r="E284" s="2"/>
      <c r="F284" s="2"/>
      <c r="G284" s="2"/>
    </row>
    <row r="285" spans="2:7" x14ac:dyDescent="0.25">
      <c r="B285" s="5">
        <v>45891</v>
      </c>
      <c r="C285" s="2" t="s">
        <v>5114</v>
      </c>
      <c r="D285" s="2"/>
      <c r="E285" s="2"/>
      <c r="F285" s="2"/>
      <c r="G285" s="2"/>
    </row>
    <row r="286" spans="2:7" x14ac:dyDescent="0.25">
      <c r="B286" s="5">
        <v>45892</v>
      </c>
      <c r="C286" s="2" t="s">
        <v>5140</v>
      </c>
      <c r="D286" s="2"/>
      <c r="E286" s="2"/>
      <c r="F286" s="2"/>
      <c r="G286" s="2"/>
    </row>
    <row r="287" spans="2:7" x14ac:dyDescent="0.25">
      <c r="B287" s="5">
        <v>45893</v>
      </c>
      <c r="C287" s="2" t="s">
        <v>480</v>
      </c>
      <c r="D287" s="2"/>
      <c r="E287" s="2"/>
      <c r="F287" s="2"/>
      <c r="G287" s="2"/>
    </row>
    <row r="288" spans="2:7" x14ac:dyDescent="0.25">
      <c r="B288" s="5">
        <v>45894</v>
      </c>
      <c r="C288" s="2" t="s">
        <v>480</v>
      </c>
      <c r="D288" s="2"/>
      <c r="E288" s="2"/>
      <c r="F288" s="2"/>
      <c r="G288" s="2"/>
    </row>
    <row r="289" spans="2:7" x14ac:dyDescent="0.25">
      <c r="B289" s="5">
        <v>45895</v>
      </c>
      <c r="C289" s="2" t="s">
        <v>5161</v>
      </c>
      <c r="D289" s="2" t="s">
        <v>5162</v>
      </c>
      <c r="E289" s="2">
        <v>57</v>
      </c>
      <c r="F289" s="2"/>
      <c r="G289" s="2"/>
    </row>
    <row r="290" spans="2:7" x14ac:dyDescent="0.25">
      <c r="B290" s="5">
        <v>45896</v>
      </c>
      <c r="C290" s="2" t="s">
        <v>5299</v>
      </c>
      <c r="D290" s="2"/>
      <c r="E290" s="2">
        <v>60</v>
      </c>
      <c r="F290" s="2">
        <f>E290-F289</f>
        <v>60</v>
      </c>
      <c r="G290" s="2"/>
    </row>
    <row r="291" spans="2:7" x14ac:dyDescent="0.25">
      <c r="B291" s="5">
        <v>45897</v>
      </c>
      <c r="C291" s="2" t="s">
        <v>5300</v>
      </c>
      <c r="D291" s="2"/>
      <c r="E291" s="2">
        <v>62</v>
      </c>
      <c r="F291" s="2">
        <f>E291-E290</f>
        <v>2</v>
      </c>
      <c r="G291" s="2"/>
    </row>
    <row r="292" spans="2:7" x14ac:dyDescent="0.25">
      <c r="B292" s="5">
        <v>45898</v>
      </c>
      <c r="C292" s="2" t="s">
        <v>5301</v>
      </c>
      <c r="D292" s="2"/>
      <c r="E292" s="2">
        <v>66</v>
      </c>
      <c r="F292" s="2">
        <f>E292-E291</f>
        <v>4</v>
      </c>
      <c r="G292" s="2"/>
    </row>
    <row r="293" spans="2:7" x14ac:dyDescent="0.25">
      <c r="B293" s="5">
        <v>45899</v>
      </c>
      <c r="C293" s="2" t="s">
        <v>5302</v>
      </c>
      <c r="D293" s="2" t="s">
        <v>5073</v>
      </c>
      <c r="E293" s="2">
        <v>72</v>
      </c>
      <c r="F293" s="2">
        <f t="shared" ref="F293:F302" si="5">E293-E292</f>
        <v>6</v>
      </c>
      <c r="G293" s="2"/>
    </row>
    <row r="294" spans="2:7" x14ac:dyDescent="0.25">
      <c r="B294" s="5">
        <v>45900</v>
      </c>
      <c r="C294" s="2" t="s">
        <v>480</v>
      </c>
      <c r="D294" s="2"/>
      <c r="E294" s="2">
        <v>72</v>
      </c>
      <c r="F294" s="2">
        <f t="shared" si="5"/>
        <v>0</v>
      </c>
      <c r="G294" s="2"/>
    </row>
    <row r="295" spans="2:7" x14ac:dyDescent="0.25">
      <c r="B295" s="5">
        <v>45901</v>
      </c>
      <c r="C295" s="2" t="s">
        <v>5303</v>
      </c>
      <c r="D295" s="2"/>
      <c r="E295" s="2">
        <v>75</v>
      </c>
      <c r="F295" s="2">
        <f t="shared" si="5"/>
        <v>3</v>
      </c>
      <c r="G295" s="2"/>
    </row>
    <row r="296" spans="2:7" x14ac:dyDescent="0.25">
      <c r="B296" s="5">
        <v>45902</v>
      </c>
      <c r="C296" s="2" t="s">
        <v>5304</v>
      </c>
      <c r="D296" s="2"/>
      <c r="E296" s="2">
        <v>82</v>
      </c>
      <c r="F296" s="2">
        <f t="shared" si="5"/>
        <v>7</v>
      </c>
      <c r="G296" s="2"/>
    </row>
    <row r="297" spans="2:7" x14ac:dyDescent="0.25">
      <c r="B297" s="5">
        <v>45903</v>
      </c>
      <c r="C297" s="2" t="s">
        <v>5305</v>
      </c>
      <c r="D297" s="2"/>
      <c r="E297" s="2">
        <v>91</v>
      </c>
      <c r="F297" s="2">
        <f t="shared" si="5"/>
        <v>9</v>
      </c>
      <c r="G297" s="2"/>
    </row>
    <row r="298" spans="2:7" x14ac:dyDescent="0.25">
      <c r="B298" s="5">
        <v>45904</v>
      </c>
      <c r="C298" s="2" t="s">
        <v>5306</v>
      </c>
      <c r="D298" s="2"/>
      <c r="E298" s="2">
        <v>95</v>
      </c>
      <c r="F298" s="2">
        <f t="shared" si="5"/>
        <v>4</v>
      </c>
      <c r="G298" s="2"/>
    </row>
    <row r="299" spans="2:7" x14ac:dyDescent="0.25">
      <c r="B299" s="5">
        <v>45905</v>
      </c>
      <c r="C299" s="2" t="s">
        <v>5307</v>
      </c>
      <c r="D299" s="2"/>
      <c r="E299" s="2">
        <v>102</v>
      </c>
      <c r="F299" s="2">
        <f t="shared" si="5"/>
        <v>7</v>
      </c>
      <c r="G299" s="2"/>
    </row>
    <row r="300" spans="2:7" x14ac:dyDescent="0.25">
      <c r="B300" s="5">
        <v>45906</v>
      </c>
      <c r="C300" s="2" t="s">
        <v>5308</v>
      </c>
      <c r="D300" s="2"/>
      <c r="E300" s="2"/>
      <c r="F300" s="2">
        <f t="shared" si="5"/>
        <v>-102</v>
      </c>
      <c r="G300" s="2"/>
    </row>
    <row r="301" spans="2:7" x14ac:dyDescent="0.25">
      <c r="B301" s="5">
        <v>45907</v>
      </c>
      <c r="C301" s="2" t="s">
        <v>480</v>
      </c>
      <c r="D301" s="2"/>
      <c r="E301" s="2"/>
      <c r="F301" s="2">
        <f t="shared" si="5"/>
        <v>0</v>
      </c>
      <c r="G301" s="2"/>
    </row>
    <row r="302" spans="2:7" x14ac:dyDescent="0.25">
      <c r="B302" s="5">
        <v>45908</v>
      </c>
      <c r="C302" s="2" t="s">
        <v>5319</v>
      </c>
      <c r="D302" s="2"/>
      <c r="E302" s="2"/>
      <c r="F302" s="2">
        <f t="shared" si="5"/>
        <v>0</v>
      </c>
      <c r="G302" s="2"/>
    </row>
    <row r="303" spans="2:7" x14ac:dyDescent="0.25">
      <c r="B303" s="5">
        <v>45909</v>
      </c>
      <c r="C303" s="2" t="s">
        <v>5336</v>
      </c>
      <c r="D303" s="2" t="s">
        <v>5331</v>
      </c>
      <c r="E303" s="2"/>
      <c r="F303" s="2"/>
      <c r="G303" s="2"/>
    </row>
    <row r="304" spans="2:7" x14ac:dyDescent="0.25">
      <c r="B304" s="5">
        <v>45910</v>
      </c>
      <c r="C304" s="2" t="s">
        <v>5337</v>
      </c>
      <c r="D304" s="2"/>
      <c r="E304" s="2"/>
      <c r="F304" s="2"/>
      <c r="G304" s="2"/>
    </row>
    <row r="305" spans="2:7" x14ac:dyDescent="0.25">
      <c r="B305" s="5">
        <v>45911</v>
      </c>
      <c r="C305" s="2" t="s">
        <v>5344</v>
      </c>
      <c r="D305" s="2"/>
      <c r="E305" s="2">
        <v>55</v>
      </c>
      <c r="F305" s="2">
        <f>E305-E304</f>
        <v>55</v>
      </c>
      <c r="G305" s="2"/>
    </row>
    <row r="306" spans="2:7" x14ac:dyDescent="0.25">
      <c r="B306" s="5">
        <v>45912</v>
      </c>
      <c r="C306" s="2" t="s">
        <v>5354</v>
      </c>
      <c r="D306" s="2" t="s">
        <v>3862</v>
      </c>
      <c r="E306" s="2"/>
      <c r="F306" s="2"/>
      <c r="G306" s="2"/>
    </row>
    <row r="307" spans="2:7" x14ac:dyDescent="0.25">
      <c r="B307" s="5">
        <v>45913</v>
      </c>
      <c r="C307" s="2" t="s">
        <v>5362</v>
      </c>
      <c r="D307" s="2"/>
      <c r="E307" s="2"/>
      <c r="F307" s="2"/>
      <c r="G307" s="2"/>
    </row>
    <row r="308" spans="2:7" x14ac:dyDescent="0.25">
      <c r="B308" s="5">
        <v>45914</v>
      </c>
      <c r="C308" s="2" t="s">
        <v>5362</v>
      </c>
      <c r="D308" s="2" t="s">
        <v>5373</v>
      </c>
      <c r="E308" s="2"/>
      <c r="F308" s="2"/>
      <c r="G308" s="2"/>
    </row>
    <row r="309" spans="2:7" x14ac:dyDescent="0.25">
      <c r="B309" s="5">
        <v>45915</v>
      </c>
      <c r="C309" s="2" t="s">
        <v>5380</v>
      </c>
      <c r="D309" s="2"/>
      <c r="E309" s="2"/>
      <c r="F309" s="2"/>
      <c r="G309" s="2"/>
    </row>
    <row r="310" spans="2:7" x14ac:dyDescent="0.25">
      <c r="B310" s="5">
        <v>45916</v>
      </c>
      <c r="C310" s="2" t="s">
        <v>5034</v>
      </c>
      <c r="D310" s="2"/>
      <c r="E310" s="2"/>
      <c r="F310" s="2"/>
      <c r="G310" s="2"/>
    </row>
    <row r="311" spans="2:7" x14ac:dyDescent="0.25">
      <c r="B311" s="5">
        <v>45917</v>
      </c>
      <c r="C311" s="2" t="s">
        <v>5411</v>
      </c>
      <c r="D311" s="2"/>
      <c r="E311" s="2"/>
      <c r="F311" s="2"/>
      <c r="G311" s="2"/>
    </row>
    <row r="312" spans="2:7" x14ac:dyDescent="0.25">
      <c r="B312" s="5">
        <v>45918</v>
      </c>
      <c r="C312" s="2"/>
      <c r="D312" s="2"/>
      <c r="E312" s="2"/>
      <c r="F312" s="2"/>
      <c r="G312" s="2"/>
    </row>
    <row r="313" spans="2:7" x14ac:dyDescent="0.25">
      <c r="B313" s="5">
        <v>45919</v>
      </c>
      <c r="C313" s="2"/>
      <c r="D313" s="2"/>
      <c r="E313" s="2"/>
      <c r="F313" s="2"/>
      <c r="G313" s="2"/>
    </row>
    <row r="314" spans="2:7" x14ac:dyDescent="0.25">
      <c r="B314" s="5">
        <v>45920</v>
      </c>
      <c r="C314" s="2"/>
      <c r="D314" s="2"/>
      <c r="E314" s="2"/>
      <c r="F314" s="2"/>
      <c r="G314" s="2"/>
    </row>
    <row r="315" spans="2:7" x14ac:dyDescent="0.25">
      <c r="B315" s="5">
        <v>45921</v>
      </c>
      <c r="C315" s="2" t="s">
        <v>5414</v>
      </c>
      <c r="D315" s="2"/>
      <c r="E315" s="2"/>
      <c r="F315" s="2"/>
      <c r="G315" s="2"/>
    </row>
    <row r="316" spans="2:7" x14ac:dyDescent="0.25">
      <c r="B316" s="5">
        <v>45922</v>
      </c>
      <c r="C316" s="2"/>
      <c r="D316" s="2"/>
      <c r="E316" s="2"/>
      <c r="F316" s="2"/>
      <c r="G316" s="2"/>
    </row>
    <row r="317" spans="2:7" x14ac:dyDescent="0.25">
      <c r="B317" s="5">
        <v>45923</v>
      </c>
      <c r="C317" s="2" t="s">
        <v>5452</v>
      </c>
      <c r="D317" s="2"/>
      <c r="E317" s="2"/>
      <c r="F317" s="2"/>
      <c r="G317" s="2"/>
    </row>
    <row r="318" spans="2:7" x14ac:dyDescent="0.25">
      <c r="B318" s="5">
        <v>45924</v>
      </c>
      <c r="C318" s="2" t="s">
        <v>5461</v>
      </c>
      <c r="D318" s="2"/>
      <c r="E318" s="2"/>
      <c r="F318" s="2"/>
      <c r="G318" s="2"/>
    </row>
    <row r="319" spans="2:7" x14ac:dyDescent="0.25">
      <c r="B319" s="5">
        <v>45925</v>
      </c>
      <c r="C319" s="2" t="s">
        <v>279</v>
      </c>
      <c r="D319" s="2" t="s">
        <v>5466</v>
      </c>
      <c r="E319" s="2"/>
      <c r="F319" s="2"/>
      <c r="G319" s="2"/>
    </row>
    <row r="320" spans="2:7" x14ac:dyDescent="0.25">
      <c r="B320" s="5">
        <v>45926</v>
      </c>
      <c r="C320" s="2" t="s">
        <v>5485</v>
      </c>
      <c r="D320" s="2"/>
      <c r="E320" s="2"/>
      <c r="F320" s="2"/>
      <c r="G320" s="2"/>
    </row>
    <row r="321" spans="2:7" x14ac:dyDescent="0.25">
      <c r="B321" s="5">
        <v>45927</v>
      </c>
      <c r="C321" s="2" t="s">
        <v>5488</v>
      </c>
      <c r="D321" s="2"/>
      <c r="E321" s="2"/>
      <c r="F321" s="2"/>
      <c r="G321" s="2"/>
    </row>
    <row r="322" spans="2:7" x14ac:dyDescent="0.25">
      <c r="B322" s="5">
        <v>45928</v>
      </c>
      <c r="C322" s="2" t="s">
        <v>5489</v>
      </c>
      <c r="D322" s="2"/>
      <c r="E322" s="2">
        <v>30</v>
      </c>
      <c r="F322" s="2">
        <f>E322-E321</f>
        <v>30</v>
      </c>
      <c r="G322" s="2"/>
    </row>
    <row r="323" spans="2:7" x14ac:dyDescent="0.25">
      <c r="B323" s="5">
        <v>45929</v>
      </c>
      <c r="C323" s="2" t="s">
        <v>5489</v>
      </c>
      <c r="D323" s="2" t="s">
        <v>5503</v>
      </c>
      <c r="E323" s="2"/>
      <c r="F323" s="2">
        <f t="shared" ref="F323:F327" si="6">E323-E322</f>
        <v>-30</v>
      </c>
      <c r="G323" s="2"/>
    </row>
    <row r="324" spans="2:7" x14ac:dyDescent="0.25">
      <c r="B324" s="5">
        <v>45930</v>
      </c>
      <c r="C324" s="2" t="s">
        <v>5518</v>
      </c>
      <c r="D324" s="2"/>
      <c r="E324" s="2"/>
      <c r="F324" s="2">
        <f t="shared" si="6"/>
        <v>0</v>
      </c>
      <c r="G324" s="2"/>
    </row>
    <row r="325" spans="2:7" x14ac:dyDescent="0.25">
      <c r="B325" s="5">
        <v>45931</v>
      </c>
      <c r="C325" s="2" t="s">
        <v>5526</v>
      </c>
      <c r="D325" s="2"/>
      <c r="E325" s="2">
        <v>86</v>
      </c>
      <c r="F325" s="2">
        <f t="shared" si="6"/>
        <v>86</v>
      </c>
      <c r="G325" s="2"/>
    </row>
    <row r="326" spans="2:7" x14ac:dyDescent="0.25">
      <c r="B326" s="5">
        <v>45932</v>
      </c>
      <c r="C326" s="2" t="s">
        <v>5527</v>
      </c>
      <c r="D326" s="2" t="s">
        <v>5535</v>
      </c>
      <c r="E326" s="2">
        <v>102</v>
      </c>
      <c r="F326" s="2">
        <f t="shared" si="6"/>
        <v>16</v>
      </c>
      <c r="G326" s="2"/>
    </row>
    <row r="327" spans="2:7" x14ac:dyDescent="0.25">
      <c r="B327" s="5">
        <v>45933</v>
      </c>
      <c r="C327" s="2" t="s">
        <v>5548</v>
      </c>
      <c r="D327" s="2" t="s">
        <v>5544</v>
      </c>
      <c r="E327" s="2"/>
      <c r="F327" s="2">
        <f t="shared" si="6"/>
        <v>-102</v>
      </c>
      <c r="G327" s="2"/>
    </row>
    <row r="328" spans="2:7" x14ac:dyDescent="0.25">
      <c r="B328" s="5">
        <v>45934</v>
      </c>
      <c r="C328" s="2" t="s">
        <v>5556</v>
      </c>
      <c r="D328" s="2"/>
      <c r="E328" s="2"/>
      <c r="F328" s="2"/>
      <c r="G328" s="2"/>
    </row>
    <row r="329" spans="2:7" x14ac:dyDescent="0.25">
      <c r="B329" s="5">
        <v>45935</v>
      </c>
      <c r="C329" s="2" t="s">
        <v>5565</v>
      </c>
      <c r="D329" s="2" t="s">
        <v>5566</v>
      </c>
      <c r="E329" s="2"/>
      <c r="F329" s="2"/>
      <c r="G329" s="2"/>
    </row>
    <row r="330" spans="2:7" x14ac:dyDescent="0.25">
      <c r="B330" s="5">
        <v>45936</v>
      </c>
      <c r="C330" s="2" t="s">
        <v>5573</v>
      </c>
      <c r="D330" s="2"/>
      <c r="E330" s="2"/>
      <c r="F330" s="2"/>
      <c r="G330" s="2"/>
    </row>
    <row r="331" spans="2:7" x14ac:dyDescent="0.25">
      <c r="B331" s="5">
        <v>45937</v>
      </c>
      <c r="C331" s="2" t="s">
        <v>5584</v>
      </c>
      <c r="D331" s="2" t="s">
        <v>5585</v>
      </c>
      <c r="E331" s="2"/>
      <c r="F331" s="2"/>
      <c r="G331" s="2"/>
    </row>
    <row r="332" spans="2:7" x14ac:dyDescent="0.25">
      <c r="B332" s="5">
        <v>45938</v>
      </c>
      <c r="C332" s="2" t="s">
        <v>5593</v>
      </c>
      <c r="D332" s="2"/>
      <c r="E332" s="2"/>
      <c r="F332" s="2"/>
      <c r="G332" s="2"/>
    </row>
    <row r="333" spans="2:7" x14ac:dyDescent="0.25">
      <c r="B333" s="5">
        <v>45939</v>
      </c>
      <c r="C333" s="2"/>
      <c r="D333" s="2"/>
      <c r="E333" s="2"/>
      <c r="F333" s="2"/>
      <c r="G333" s="2"/>
    </row>
    <row r="334" spans="2:7" x14ac:dyDescent="0.25">
      <c r="B334" s="5">
        <v>45940</v>
      </c>
      <c r="C334" s="2"/>
      <c r="D334" s="2"/>
      <c r="E334" s="2"/>
      <c r="F334" s="2"/>
      <c r="G334" s="2"/>
    </row>
    <row r="335" spans="2:7" x14ac:dyDescent="0.25">
      <c r="B335" s="5">
        <v>45941</v>
      </c>
      <c r="C335" s="2"/>
      <c r="D335" s="2"/>
      <c r="E335" s="2"/>
      <c r="F335" s="2"/>
      <c r="G335" s="2"/>
    </row>
    <row r="336" spans="2:7" x14ac:dyDescent="0.25">
      <c r="B336" s="5">
        <v>45942</v>
      </c>
      <c r="C336" s="2"/>
      <c r="D336" s="2"/>
      <c r="E336" s="2"/>
      <c r="F336" s="2"/>
      <c r="G336" s="2"/>
    </row>
    <row r="337" spans="2:7" x14ac:dyDescent="0.25">
      <c r="B337" s="5">
        <v>45943</v>
      </c>
      <c r="C337" s="2"/>
      <c r="D337" s="2"/>
      <c r="E337" s="2"/>
      <c r="F337" s="2"/>
      <c r="G337" s="2"/>
    </row>
    <row r="338" spans="2:7" x14ac:dyDescent="0.25">
      <c r="B338" s="5">
        <v>45944</v>
      </c>
      <c r="C338" s="2"/>
      <c r="D338" s="2"/>
      <c r="E338" s="2"/>
      <c r="F338" s="2"/>
      <c r="G338" s="2"/>
    </row>
    <row r="339" spans="2:7" x14ac:dyDescent="0.25">
      <c r="B339" s="5">
        <v>45945</v>
      </c>
      <c r="C339" s="2"/>
      <c r="D339" s="2"/>
      <c r="E339" s="2"/>
      <c r="F339" s="2"/>
      <c r="G339" s="2"/>
    </row>
    <row r="340" spans="2:7" x14ac:dyDescent="0.25">
      <c r="B340" s="5">
        <v>45946</v>
      </c>
      <c r="C340" s="2"/>
      <c r="D340" s="2"/>
      <c r="E340" s="2"/>
      <c r="F340" s="2"/>
      <c r="G340" s="2"/>
    </row>
    <row r="341" spans="2:7" x14ac:dyDescent="0.25">
      <c r="B341" s="5">
        <v>45947</v>
      </c>
      <c r="C341" s="2"/>
      <c r="D341" s="2"/>
      <c r="E341" s="2"/>
      <c r="F341" s="2"/>
      <c r="G341" s="2"/>
    </row>
  </sheetData>
  <pageMargins left="0.7" right="0.7" top="0.75" bottom="0.75" header="0.3" footer="0.3"/>
  <pageSetup paperSize="9" orientation="landscape" horizontalDpi="4294967293" verticalDpi="0" r:id="rId1"/>
  <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B2:G131"/>
  <sheetViews>
    <sheetView zoomScaleNormal="100" workbookViewId="0">
      <pane ySplit="3" topLeftCell="A119" activePane="bottomLeft" state="frozen"/>
      <selection pane="bottomLeft" activeCell="C125" sqref="C125"/>
    </sheetView>
  </sheetViews>
  <sheetFormatPr defaultRowHeight="15" x14ac:dyDescent="0.25"/>
  <cols>
    <col min="2" max="2" width="18" bestFit="1" customWidth="1"/>
    <col min="3" max="3" width="72" bestFit="1" customWidth="1"/>
    <col min="4" max="4" width="49.85546875" bestFit="1" customWidth="1"/>
    <col min="7" max="7" width="11" bestFit="1" customWidth="1"/>
  </cols>
  <sheetData>
    <row r="2" spans="2:7" x14ac:dyDescent="0.25">
      <c r="B2" s="53" t="s">
        <v>4257</v>
      </c>
    </row>
    <row r="3" spans="2:7" ht="15.75" x14ac:dyDescent="0.25">
      <c r="B3" s="10" t="s">
        <v>0</v>
      </c>
      <c r="C3" s="11" t="s">
        <v>1</v>
      </c>
      <c r="D3" s="11" t="s">
        <v>2</v>
      </c>
      <c r="E3" s="11" t="s">
        <v>934</v>
      </c>
      <c r="F3" s="11" t="s">
        <v>1095</v>
      </c>
      <c r="G3" s="11" t="s">
        <v>1507</v>
      </c>
    </row>
    <row r="4" spans="2:7" x14ac:dyDescent="0.25">
      <c r="B4" s="4">
        <v>45822</v>
      </c>
      <c r="C4" s="2" t="s">
        <v>1528</v>
      </c>
      <c r="D4" s="2"/>
      <c r="E4" s="23">
        <v>0</v>
      </c>
      <c r="F4" s="23"/>
      <c r="G4" s="2"/>
    </row>
    <row r="5" spans="2:7" x14ac:dyDescent="0.25">
      <c r="B5" s="4">
        <v>45823</v>
      </c>
      <c r="C5" s="2" t="s">
        <v>4256</v>
      </c>
      <c r="D5" s="2"/>
      <c r="E5" s="23">
        <v>0</v>
      </c>
      <c r="F5" s="23">
        <f t="shared" ref="F5:F68" si="0">E5-E4</f>
        <v>0</v>
      </c>
      <c r="G5" s="2"/>
    </row>
    <row r="6" spans="2:7" x14ac:dyDescent="0.25">
      <c r="B6" s="4">
        <v>45824</v>
      </c>
      <c r="C6" s="2" t="s">
        <v>1398</v>
      </c>
      <c r="D6" s="2"/>
      <c r="E6" s="23"/>
      <c r="F6" s="23">
        <f t="shared" si="0"/>
        <v>0</v>
      </c>
      <c r="G6" s="2"/>
    </row>
    <row r="7" spans="2:7" x14ac:dyDescent="0.25">
      <c r="B7" s="4">
        <v>45825</v>
      </c>
      <c r="C7" s="2" t="s">
        <v>4298</v>
      </c>
      <c r="D7" s="58"/>
      <c r="E7" s="23"/>
      <c r="F7" s="23">
        <f t="shared" si="0"/>
        <v>0</v>
      </c>
      <c r="G7" s="2"/>
    </row>
    <row r="8" spans="2:7" x14ac:dyDescent="0.25">
      <c r="B8" s="4">
        <v>45826</v>
      </c>
      <c r="C8" s="2" t="s">
        <v>1545</v>
      </c>
      <c r="D8" s="58"/>
      <c r="E8" s="23"/>
      <c r="F8" s="23">
        <f t="shared" si="0"/>
        <v>0</v>
      </c>
      <c r="G8" s="2"/>
    </row>
    <row r="9" spans="2:7" x14ac:dyDescent="0.25">
      <c r="B9" s="4">
        <v>45827</v>
      </c>
      <c r="C9" s="2" t="s">
        <v>4317</v>
      </c>
      <c r="D9" s="58"/>
      <c r="E9" s="23"/>
      <c r="F9" s="23">
        <f t="shared" si="0"/>
        <v>0</v>
      </c>
      <c r="G9" s="2"/>
    </row>
    <row r="10" spans="2:7" x14ac:dyDescent="0.25">
      <c r="B10" s="4">
        <v>45828</v>
      </c>
      <c r="C10" s="2" t="s">
        <v>4346</v>
      </c>
      <c r="D10" s="2"/>
      <c r="E10" s="23"/>
      <c r="F10" s="23">
        <f t="shared" si="0"/>
        <v>0</v>
      </c>
      <c r="G10" s="2"/>
    </row>
    <row r="11" spans="2:7" x14ac:dyDescent="0.25">
      <c r="B11" s="4">
        <v>45829</v>
      </c>
      <c r="C11" s="2"/>
      <c r="D11" s="2"/>
      <c r="E11" s="23"/>
      <c r="F11" s="23">
        <f t="shared" si="0"/>
        <v>0</v>
      </c>
      <c r="G11" s="2"/>
    </row>
    <row r="12" spans="2:7" x14ac:dyDescent="0.25">
      <c r="B12" s="4">
        <v>45830</v>
      </c>
      <c r="C12" s="2" t="s">
        <v>4353</v>
      </c>
      <c r="D12" s="2"/>
      <c r="E12" s="23"/>
      <c r="F12" s="23">
        <f t="shared" si="0"/>
        <v>0</v>
      </c>
      <c r="G12" s="2"/>
    </row>
    <row r="13" spans="2:7" x14ac:dyDescent="0.25">
      <c r="B13" s="4">
        <v>45831</v>
      </c>
      <c r="C13" s="2" t="s">
        <v>4378</v>
      </c>
      <c r="D13" s="2" t="s">
        <v>4386</v>
      </c>
      <c r="E13" s="23">
        <v>0</v>
      </c>
      <c r="F13" s="23">
        <f t="shared" si="0"/>
        <v>0</v>
      </c>
      <c r="G13" s="2"/>
    </row>
    <row r="14" spans="2:7" x14ac:dyDescent="0.25">
      <c r="B14" s="4">
        <v>45832</v>
      </c>
      <c r="C14" s="2" t="s">
        <v>4405</v>
      </c>
      <c r="D14" s="2"/>
      <c r="E14" s="23">
        <v>4</v>
      </c>
      <c r="F14" s="23">
        <f t="shared" si="0"/>
        <v>4</v>
      </c>
      <c r="G14" s="2"/>
    </row>
    <row r="15" spans="2:7" x14ac:dyDescent="0.25">
      <c r="B15" s="4">
        <v>45833</v>
      </c>
      <c r="C15" s="2" t="s">
        <v>4406</v>
      </c>
      <c r="D15" s="2"/>
      <c r="E15" s="23">
        <v>11</v>
      </c>
      <c r="F15" s="23">
        <f t="shared" si="0"/>
        <v>7</v>
      </c>
      <c r="G15" s="2"/>
    </row>
    <row r="16" spans="2:7" x14ac:dyDescent="0.25">
      <c r="B16" s="4">
        <v>45834</v>
      </c>
      <c r="C16" s="2" t="s">
        <v>4430</v>
      </c>
      <c r="D16" s="2" t="s">
        <v>4451</v>
      </c>
      <c r="E16" s="23">
        <v>24.5</v>
      </c>
      <c r="F16" s="23">
        <f t="shared" si="0"/>
        <v>13.5</v>
      </c>
      <c r="G16" s="2"/>
    </row>
    <row r="17" spans="2:7" x14ac:dyDescent="0.25">
      <c r="B17" s="4">
        <v>45835</v>
      </c>
      <c r="C17" s="58" t="s">
        <v>4463</v>
      </c>
      <c r="D17" s="2"/>
      <c r="E17" s="23">
        <v>24.5</v>
      </c>
      <c r="F17" s="23">
        <f>E17-E16</f>
        <v>0</v>
      </c>
      <c r="G17" s="2"/>
    </row>
    <row r="18" spans="2:7" x14ac:dyDescent="0.25">
      <c r="B18" s="4">
        <v>45836</v>
      </c>
      <c r="C18" s="2" t="s">
        <v>4474</v>
      </c>
      <c r="D18" s="2"/>
      <c r="E18" s="23">
        <v>26.5</v>
      </c>
      <c r="F18" s="23">
        <f t="shared" si="0"/>
        <v>2</v>
      </c>
      <c r="G18" s="2"/>
    </row>
    <row r="19" spans="2:7" x14ac:dyDescent="0.25">
      <c r="B19" s="4">
        <v>45837</v>
      </c>
      <c r="C19" s="2" t="s">
        <v>4473</v>
      </c>
      <c r="D19" s="2"/>
      <c r="E19" s="23">
        <v>28.5</v>
      </c>
      <c r="F19" s="23">
        <f t="shared" si="0"/>
        <v>2</v>
      </c>
      <c r="G19" s="2"/>
    </row>
    <row r="20" spans="2:7" x14ac:dyDescent="0.25">
      <c r="B20" s="4">
        <v>45838</v>
      </c>
      <c r="C20" s="2" t="s">
        <v>4472</v>
      </c>
      <c r="D20" s="2"/>
      <c r="E20" s="23">
        <v>30.7</v>
      </c>
      <c r="F20" s="23">
        <f t="shared" si="0"/>
        <v>2.1999999999999993</v>
      </c>
      <c r="G20" s="2"/>
    </row>
    <row r="21" spans="2:7" x14ac:dyDescent="0.25">
      <c r="B21" s="4">
        <v>45839</v>
      </c>
      <c r="C21" s="2" t="s">
        <v>4499</v>
      </c>
      <c r="D21" s="2"/>
      <c r="E21" s="23">
        <v>42</v>
      </c>
      <c r="F21" s="23">
        <f t="shared" si="0"/>
        <v>11.3</v>
      </c>
      <c r="G21" s="2"/>
    </row>
    <row r="22" spans="2:7" x14ac:dyDescent="0.25">
      <c r="B22" s="4">
        <v>45840</v>
      </c>
      <c r="C22" s="2"/>
      <c r="D22" s="2"/>
      <c r="E22" s="23">
        <v>42</v>
      </c>
      <c r="F22" s="23">
        <f t="shared" si="0"/>
        <v>0</v>
      </c>
      <c r="G22" s="2"/>
    </row>
    <row r="23" spans="2:7" x14ac:dyDescent="0.25">
      <c r="B23" s="4">
        <v>45841</v>
      </c>
      <c r="C23" s="2"/>
      <c r="D23" s="2"/>
      <c r="E23" s="23">
        <v>42</v>
      </c>
      <c r="F23" s="23">
        <f t="shared" si="0"/>
        <v>0</v>
      </c>
      <c r="G23" s="2"/>
    </row>
    <row r="24" spans="2:7" x14ac:dyDescent="0.25">
      <c r="B24" s="4">
        <v>45842</v>
      </c>
      <c r="C24" s="2" t="s">
        <v>4523</v>
      </c>
      <c r="D24" s="2"/>
      <c r="E24" s="23">
        <v>45</v>
      </c>
      <c r="F24" s="23">
        <f t="shared" si="0"/>
        <v>3</v>
      </c>
      <c r="G24" s="2"/>
    </row>
    <row r="25" spans="2:7" x14ac:dyDescent="0.25">
      <c r="B25" s="4">
        <v>45843</v>
      </c>
      <c r="C25" s="2" t="s">
        <v>4522</v>
      </c>
      <c r="D25" s="2"/>
      <c r="E25" s="23">
        <v>48</v>
      </c>
      <c r="F25" s="23">
        <f t="shared" si="0"/>
        <v>3</v>
      </c>
      <c r="G25" s="2"/>
    </row>
    <row r="26" spans="2:7" x14ac:dyDescent="0.25">
      <c r="B26" s="4">
        <v>45844</v>
      </c>
      <c r="C26" s="2" t="s">
        <v>4521</v>
      </c>
      <c r="D26" s="2"/>
      <c r="E26" s="23">
        <v>52</v>
      </c>
      <c r="F26" s="23">
        <f t="shared" si="0"/>
        <v>4</v>
      </c>
      <c r="G26" s="2"/>
    </row>
    <row r="27" spans="2:7" x14ac:dyDescent="0.25">
      <c r="B27" s="4">
        <v>45845</v>
      </c>
      <c r="C27" s="2" t="s">
        <v>4543</v>
      </c>
      <c r="D27" s="2"/>
      <c r="E27" s="23">
        <v>53</v>
      </c>
      <c r="F27" s="23">
        <f t="shared" si="0"/>
        <v>1</v>
      </c>
      <c r="G27" s="2"/>
    </row>
    <row r="28" spans="2:7" x14ac:dyDescent="0.25">
      <c r="B28" s="4">
        <v>45846</v>
      </c>
      <c r="C28" s="2" t="s">
        <v>4549</v>
      </c>
      <c r="D28" s="2"/>
      <c r="E28" s="23">
        <v>54.5</v>
      </c>
      <c r="F28" s="23">
        <f t="shared" si="0"/>
        <v>1.5</v>
      </c>
      <c r="G28" s="2"/>
    </row>
    <row r="29" spans="2:7" x14ac:dyDescent="0.25">
      <c r="B29" s="4">
        <v>45847</v>
      </c>
      <c r="C29" s="2" t="s">
        <v>4581</v>
      </c>
      <c r="D29" s="2"/>
      <c r="E29" s="23">
        <v>15</v>
      </c>
      <c r="F29" s="23">
        <f t="shared" si="0"/>
        <v>-39.5</v>
      </c>
      <c r="G29" s="2"/>
    </row>
    <row r="30" spans="2:7" x14ac:dyDescent="0.25">
      <c r="B30" s="4">
        <v>45848</v>
      </c>
      <c r="C30" s="2"/>
      <c r="D30" s="2"/>
      <c r="E30" s="23">
        <v>15</v>
      </c>
      <c r="F30" s="23">
        <f t="shared" si="0"/>
        <v>0</v>
      </c>
      <c r="G30" s="2"/>
    </row>
    <row r="31" spans="2:7" x14ac:dyDescent="0.25">
      <c r="B31" s="4">
        <v>45849</v>
      </c>
      <c r="C31" s="2"/>
      <c r="D31" s="2"/>
      <c r="E31" s="23">
        <v>15</v>
      </c>
      <c r="F31" s="23">
        <f t="shared" si="0"/>
        <v>0</v>
      </c>
      <c r="G31" s="2"/>
    </row>
    <row r="32" spans="2:7" x14ac:dyDescent="0.25">
      <c r="B32" s="4">
        <v>45850</v>
      </c>
      <c r="C32" s="2" t="s">
        <v>4580</v>
      </c>
      <c r="D32" s="2"/>
      <c r="E32" s="23">
        <v>45</v>
      </c>
      <c r="F32" s="23">
        <f t="shared" si="0"/>
        <v>30</v>
      </c>
      <c r="G32" s="2"/>
    </row>
    <row r="33" spans="2:7" x14ac:dyDescent="0.25">
      <c r="B33" s="4">
        <v>45851</v>
      </c>
      <c r="C33" s="2" t="s">
        <v>2269</v>
      </c>
      <c r="D33" s="2"/>
      <c r="E33" s="23"/>
      <c r="F33" s="23">
        <f t="shared" si="0"/>
        <v>-45</v>
      </c>
      <c r="G33" s="2"/>
    </row>
    <row r="34" spans="2:7" x14ac:dyDescent="0.25">
      <c r="B34" s="4">
        <v>45852</v>
      </c>
      <c r="C34" s="2" t="s">
        <v>4579</v>
      </c>
      <c r="D34" s="2"/>
      <c r="E34" s="23"/>
      <c r="F34" s="23">
        <f t="shared" si="0"/>
        <v>0</v>
      </c>
      <c r="G34" s="2"/>
    </row>
    <row r="35" spans="2:7" x14ac:dyDescent="0.25">
      <c r="B35" s="4">
        <v>45853</v>
      </c>
      <c r="C35" s="2"/>
      <c r="D35" s="2"/>
      <c r="E35" s="23"/>
      <c r="F35" s="23">
        <f t="shared" si="0"/>
        <v>0</v>
      </c>
      <c r="G35" s="2"/>
    </row>
    <row r="36" spans="2:7" x14ac:dyDescent="0.25">
      <c r="B36" s="4">
        <v>45854</v>
      </c>
      <c r="C36" s="2" t="s">
        <v>4606</v>
      </c>
      <c r="D36" s="2"/>
      <c r="E36" s="23">
        <v>48</v>
      </c>
      <c r="F36" s="23">
        <f t="shared" si="0"/>
        <v>48</v>
      </c>
      <c r="G36" s="2"/>
    </row>
    <row r="37" spans="2:7" x14ac:dyDescent="0.25">
      <c r="B37" s="4">
        <v>45855</v>
      </c>
      <c r="C37" s="2" t="s">
        <v>2269</v>
      </c>
      <c r="D37" s="2"/>
      <c r="E37" s="23"/>
      <c r="F37" s="23">
        <f t="shared" si="0"/>
        <v>-48</v>
      </c>
      <c r="G37" s="2"/>
    </row>
    <row r="38" spans="2:7" x14ac:dyDescent="0.25">
      <c r="B38" s="4">
        <v>45856</v>
      </c>
      <c r="C38" s="2"/>
      <c r="D38" s="2"/>
      <c r="E38" s="23"/>
      <c r="F38" s="23">
        <f t="shared" si="0"/>
        <v>0</v>
      </c>
      <c r="G38" s="2"/>
    </row>
    <row r="39" spans="2:7" x14ac:dyDescent="0.25">
      <c r="B39" s="4">
        <v>45857</v>
      </c>
      <c r="C39" s="2" t="s">
        <v>2348</v>
      </c>
      <c r="D39" s="2"/>
      <c r="E39" s="23">
        <v>54</v>
      </c>
      <c r="F39" s="23">
        <f t="shared" si="0"/>
        <v>54</v>
      </c>
      <c r="G39" s="2"/>
    </row>
    <row r="40" spans="2:7" x14ac:dyDescent="0.25">
      <c r="B40" s="4">
        <v>45858</v>
      </c>
      <c r="C40" s="2" t="s">
        <v>4637</v>
      </c>
      <c r="D40" s="2"/>
      <c r="E40" s="23">
        <v>55</v>
      </c>
      <c r="F40" s="23">
        <f t="shared" si="0"/>
        <v>1</v>
      </c>
      <c r="G40" s="2"/>
    </row>
    <row r="41" spans="2:7" x14ac:dyDescent="0.25">
      <c r="B41" s="4">
        <v>45859</v>
      </c>
      <c r="C41" s="2"/>
      <c r="D41" s="2"/>
      <c r="E41" s="23">
        <v>55</v>
      </c>
      <c r="F41" s="23">
        <f t="shared" si="0"/>
        <v>0</v>
      </c>
      <c r="G41" s="2"/>
    </row>
    <row r="42" spans="2:7" x14ac:dyDescent="0.25">
      <c r="B42" s="4">
        <v>45860</v>
      </c>
      <c r="C42" s="2" t="s">
        <v>4663</v>
      </c>
      <c r="D42" s="2"/>
      <c r="E42" s="23">
        <v>55</v>
      </c>
      <c r="F42" s="23">
        <f t="shared" si="0"/>
        <v>0</v>
      </c>
      <c r="G42" s="2"/>
    </row>
    <row r="43" spans="2:7" x14ac:dyDescent="0.25">
      <c r="B43" s="4">
        <v>45861</v>
      </c>
      <c r="C43" s="2" t="s">
        <v>1844</v>
      </c>
      <c r="D43" s="2"/>
      <c r="E43" s="23">
        <v>55</v>
      </c>
      <c r="F43" s="23">
        <f t="shared" si="0"/>
        <v>0</v>
      </c>
      <c r="G43" s="2"/>
    </row>
    <row r="44" spans="2:7" x14ac:dyDescent="0.25">
      <c r="B44" s="4">
        <v>45862</v>
      </c>
      <c r="C44" s="2" t="s">
        <v>1844</v>
      </c>
      <c r="D44" s="2"/>
      <c r="E44" s="23">
        <v>55</v>
      </c>
      <c r="F44" s="23">
        <f t="shared" si="0"/>
        <v>0</v>
      </c>
      <c r="G44" s="2"/>
    </row>
    <row r="45" spans="2:7" x14ac:dyDescent="0.25">
      <c r="B45" s="4">
        <v>45863</v>
      </c>
      <c r="C45" s="2" t="s">
        <v>2269</v>
      </c>
      <c r="D45" s="2"/>
      <c r="E45" s="23">
        <v>55</v>
      </c>
      <c r="F45" s="23">
        <f t="shared" si="0"/>
        <v>0</v>
      </c>
      <c r="G45" s="2"/>
    </row>
    <row r="46" spans="2:7" x14ac:dyDescent="0.25">
      <c r="B46" s="4">
        <v>45864</v>
      </c>
      <c r="C46" s="2" t="s">
        <v>4707</v>
      </c>
      <c r="D46" s="2"/>
      <c r="E46" s="23">
        <v>55.5</v>
      </c>
      <c r="F46" s="23">
        <f t="shared" si="0"/>
        <v>0.5</v>
      </c>
      <c r="G46" s="2"/>
    </row>
    <row r="47" spans="2:7" x14ac:dyDescent="0.25">
      <c r="B47" s="4">
        <v>45865</v>
      </c>
      <c r="C47" s="2" t="s">
        <v>4454</v>
      </c>
      <c r="D47" s="2"/>
      <c r="E47" s="23">
        <v>56</v>
      </c>
      <c r="F47" s="23">
        <f t="shared" si="0"/>
        <v>0.5</v>
      </c>
      <c r="G47" s="2"/>
    </row>
    <row r="48" spans="2:7" x14ac:dyDescent="0.25">
      <c r="B48" s="4">
        <v>45866</v>
      </c>
      <c r="C48" s="2" t="s">
        <v>4483</v>
      </c>
      <c r="D48" s="2"/>
      <c r="E48" s="23">
        <v>57</v>
      </c>
      <c r="F48" s="23">
        <f t="shared" si="0"/>
        <v>1</v>
      </c>
      <c r="G48" s="2"/>
    </row>
    <row r="49" spans="2:7" x14ac:dyDescent="0.25">
      <c r="B49" s="4">
        <v>45867</v>
      </c>
      <c r="C49" s="2" t="s">
        <v>3142</v>
      </c>
      <c r="D49" s="2"/>
      <c r="E49" s="23">
        <v>57</v>
      </c>
      <c r="F49" s="23">
        <f t="shared" si="0"/>
        <v>0</v>
      </c>
      <c r="G49" s="2"/>
    </row>
    <row r="50" spans="2:7" x14ac:dyDescent="0.25">
      <c r="B50" s="4">
        <v>45868</v>
      </c>
      <c r="C50" s="2" t="s">
        <v>4498</v>
      </c>
      <c r="D50" s="2"/>
      <c r="E50" s="23">
        <v>58</v>
      </c>
      <c r="F50" s="23">
        <f t="shared" si="0"/>
        <v>1</v>
      </c>
      <c r="G50" s="2"/>
    </row>
    <row r="51" spans="2:7" x14ac:dyDescent="0.25">
      <c r="B51" s="4">
        <v>45869</v>
      </c>
      <c r="C51" s="2" t="s">
        <v>4808</v>
      </c>
      <c r="D51" s="2"/>
      <c r="E51" s="23">
        <v>59</v>
      </c>
      <c r="F51" s="23">
        <f t="shared" si="0"/>
        <v>1</v>
      </c>
      <c r="G51" s="2"/>
    </row>
    <row r="52" spans="2:7" x14ac:dyDescent="0.25">
      <c r="B52" s="4">
        <v>45870</v>
      </c>
      <c r="C52" s="2" t="s">
        <v>4821</v>
      </c>
      <c r="D52" s="2"/>
      <c r="E52" s="23">
        <v>61</v>
      </c>
      <c r="F52" s="23">
        <f t="shared" si="0"/>
        <v>2</v>
      </c>
      <c r="G52" s="2"/>
    </row>
    <row r="53" spans="2:7" x14ac:dyDescent="0.25">
      <c r="B53" s="4">
        <v>45871</v>
      </c>
      <c r="C53" s="2" t="s">
        <v>4848</v>
      </c>
      <c r="D53" s="2"/>
      <c r="E53" s="23">
        <v>62</v>
      </c>
      <c r="F53" s="23">
        <f t="shared" si="0"/>
        <v>1</v>
      </c>
      <c r="G53" s="2"/>
    </row>
    <row r="54" spans="2:7" x14ac:dyDescent="0.25">
      <c r="B54" s="4">
        <v>45872</v>
      </c>
      <c r="C54" s="2" t="s">
        <v>4847</v>
      </c>
      <c r="D54" s="2"/>
      <c r="E54" s="23">
        <v>62.5</v>
      </c>
      <c r="F54" s="23">
        <f t="shared" si="0"/>
        <v>0.5</v>
      </c>
      <c r="G54" s="2"/>
    </row>
    <row r="55" spans="2:7" x14ac:dyDescent="0.25">
      <c r="B55" s="4">
        <v>45873</v>
      </c>
      <c r="C55" s="2" t="s">
        <v>4854</v>
      </c>
      <c r="D55" s="2"/>
      <c r="E55" s="23">
        <v>63.5</v>
      </c>
      <c r="F55" s="23">
        <f t="shared" si="0"/>
        <v>1</v>
      </c>
      <c r="G55" s="2"/>
    </row>
    <row r="56" spans="2:7" x14ac:dyDescent="0.25">
      <c r="B56" s="4">
        <v>45874</v>
      </c>
      <c r="C56" s="2" t="s">
        <v>4865</v>
      </c>
      <c r="D56" s="2"/>
      <c r="E56" s="23">
        <v>64.5</v>
      </c>
      <c r="F56" s="23">
        <f t="shared" si="0"/>
        <v>1</v>
      </c>
      <c r="G56" s="2"/>
    </row>
    <row r="57" spans="2:7" x14ac:dyDescent="0.25">
      <c r="B57" s="4">
        <v>45875</v>
      </c>
      <c r="C57" s="2" t="s">
        <v>4890</v>
      </c>
      <c r="D57" s="2"/>
      <c r="E57" s="23">
        <v>64.5</v>
      </c>
      <c r="F57" s="23">
        <f t="shared" si="0"/>
        <v>0</v>
      </c>
      <c r="G57" s="2"/>
    </row>
    <row r="58" spans="2:7" x14ac:dyDescent="0.25">
      <c r="B58" s="4">
        <v>45876</v>
      </c>
      <c r="C58" s="2" t="s">
        <v>4916</v>
      </c>
      <c r="D58" s="2"/>
      <c r="E58" s="23">
        <v>64.8</v>
      </c>
      <c r="F58" s="23">
        <f t="shared" si="0"/>
        <v>0.29999999999999716</v>
      </c>
      <c r="G58" s="2"/>
    </row>
    <row r="59" spans="2:7" x14ac:dyDescent="0.25">
      <c r="B59" s="4">
        <v>45877</v>
      </c>
      <c r="C59" s="2" t="s">
        <v>4938</v>
      </c>
      <c r="D59" s="2"/>
      <c r="E59" s="23">
        <v>65</v>
      </c>
      <c r="F59" s="23">
        <f t="shared" si="0"/>
        <v>0.20000000000000284</v>
      </c>
      <c r="G59" s="2"/>
    </row>
    <row r="60" spans="2:7" x14ac:dyDescent="0.25">
      <c r="B60" s="4">
        <v>45878</v>
      </c>
      <c r="C60" s="2" t="s">
        <v>4949</v>
      </c>
      <c r="D60" s="2"/>
      <c r="E60" s="23">
        <v>66</v>
      </c>
      <c r="F60" s="23">
        <f t="shared" si="0"/>
        <v>1</v>
      </c>
      <c r="G60" s="2"/>
    </row>
    <row r="61" spans="2:7" x14ac:dyDescent="0.25">
      <c r="B61" s="4">
        <v>45879</v>
      </c>
      <c r="C61" s="2" t="s">
        <v>4979</v>
      </c>
      <c r="D61" s="2"/>
      <c r="E61" s="23">
        <v>66</v>
      </c>
      <c r="F61" s="23">
        <f t="shared" si="0"/>
        <v>0</v>
      </c>
      <c r="G61" s="2"/>
    </row>
    <row r="62" spans="2:7" x14ac:dyDescent="0.25">
      <c r="B62" s="4">
        <v>45880</v>
      </c>
      <c r="C62" s="2" t="s">
        <v>4969</v>
      </c>
      <c r="D62" s="2" t="s">
        <v>4960</v>
      </c>
      <c r="E62" s="23">
        <v>67</v>
      </c>
      <c r="F62" s="23">
        <f t="shared" si="0"/>
        <v>1</v>
      </c>
      <c r="G62" s="2"/>
    </row>
    <row r="63" spans="2:7" x14ac:dyDescent="0.25">
      <c r="B63" s="4">
        <v>45881</v>
      </c>
      <c r="C63" s="2" t="s">
        <v>4978</v>
      </c>
      <c r="D63" s="2" t="s">
        <v>5019</v>
      </c>
      <c r="E63" s="23">
        <v>67.5</v>
      </c>
      <c r="F63" s="23">
        <f t="shared" si="0"/>
        <v>0.5</v>
      </c>
      <c r="G63" s="2"/>
    </row>
    <row r="64" spans="2:7" x14ac:dyDescent="0.25">
      <c r="B64" s="4">
        <v>45882</v>
      </c>
      <c r="C64" s="2" t="s">
        <v>4999</v>
      </c>
      <c r="D64" s="2"/>
      <c r="E64" s="23">
        <v>68</v>
      </c>
      <c r="F64" s="23">
        <f t="shared" si="0"/>
        <v>0.5</v>
      </c>
      <c r="G64" s="2"/>
    </row>
    <row r="65" spans="2:7" x14ac:dyDescent="0.25">
      <c r="B65" s="4">
        <v>45883</v>
      </c>
      <c r="C65" s="2" t="s">
        <v>5014</v>
      </c>
      <c r="D65" s="2" t="s">
        <v>5018</v>
      </c>
      <c r="E65" s="23">
        <v>68.5</v>
      </c>
      <c r="F65" s="23">
        <f t="shared" si="0"/>
        <v>0.5</v>
      </c>
      <c r="G65" s="2"/>
    </row>
    <row r="66" spans="2:7" x14ac:dyDescent="0.25">
      <c r="B66" s="4">
        <v>45884</v>
      </c>
      <c r="C66" s="2" t="s">
        <v>5014</v>
      </c>
      <c r="D66" s="2" t="s">
        <v>5021</v>
      </c>
      <c r="E66" s="23">
        <v>68.5</v>
      </c>
      <c r="F66" s="23">
        <f t="shared" si="0"/>
        <v>0</v>
      </c>
      <c r="G66" s="2"/>
    </row>
    <row r="67" spans="2:7" x14ac:dyDescent="0.25">
      <c r="B67" s="4">
        <v>45885</v>
      </c>
      <c r="C67" s="2"/>
      <c r="D67" s="2" t="s">
        <v>5031</v>
      </c>
      <c r="E67" s="23">
        <v>68.5</v>
      </c>
      <c r="F67" s="23">
        <f t="shared" si="0"/>
        <v>0</v>
      </c>
      <c r="G67" s="2"/>
    </row>
    <row r="68" spans="2:7" x14ac:dyDescent="0.25">
      <c r="B68" s="4">
        <v>45886</v>
      </c>
      <c r="C68" s="2"/>
      <c r="D68" s="2"/>
      <c r="E68" s="23">
        <v>68.5</v>
      </c>
      <c r="F68" s="23">
        <f t="shared" si="0"/>
        <v>0</v>
      </c>
      <c r="G68" s="2"/>
    </row>
    <row r="69" spans="2:7" x14ac:dyDescent="0.25">
      <c r="B69" s="4">
        <v>45887</v>
      </c>
      <c r="C69" s="2" t="s">
        <v>5050</v>
      </c>
      <c r="D69" s="2"/>
      <c r="E69" s="23">
        <v>69.5</v>
      </c>
      <c r="F69" s="23">
        <f t="shared" ref="F69:F83" si="1">E69-E68</f>
        <v>1</v>
      </c>
      <c r="G69" s="2"/>
    </row>
    <row r="70" spans="2:7" x14ac:dyDescent="0.25">
      <c r="B70" s="4">
        <v>45888</v>
      </c>
      <c r="C70" s="2" t="s">
        <v>5067</v>
      </c>
      <c r="D70" s="2" t="s">
        <v>5072</v>
      </c>
      <c r="E70" s="23">
        <v>69.900000000000006</v>
      </c>
      <c r="F70" s="23">
        <f t="shared" si="1"/>
        <v>0.40000000000000568</v>
      </c>
      <c r="G70" s="2"/>
    </row>
    <row r="71" spans="2:7" x14ac:dyDescent="0.25">
      <c r="B71" s="4">
        <v>45889</v>
      </c>
      <c r="C71" s="2" t="s">
        <v>5076</v>
      </c>
      <c r="D71" s="2"/>
      <c r="E71" s="23">
        <v>70.900000000000006</v>
      </c>
      <c r="F71" s="23">
        <f t="shared" si="1"/>
        <v>1</v>
      </c>
      <c r="G71" s="2"/>
    </row>
    <row r="72" spans="2:7" x14ac:dyDescent="0.25">
      <c r="B72" s="4">
        <v>45890</v>
      </c>
      <c r="C72" s="2" t="s">
        <v>5089</v>
      </c>
      <c r="D72" s="2"/>
      <c r="E72" s="23">
        <v>71.900000000000006</v>
      </c>
      <c r="F72" s="23">
        <f t="shared" si="1"/>
        <v>1</v>
      </c>
      <c r="G72" s="2"/>
    </row>
    <row r="73" spans="2:7" x14ac:dyDescent="0.25">
      <c r="B73" s="4">
        <v>45891</v>
      </c>
      <c r="C73" s="2" t="s">
        <v>5107</v>
      </c>
      <c r="D73" s="2"/>
      <c r="E73" s="23">
        <v>73.400000000000006</v>
      </c>
      <c r="F73" s="23">
        <f t="shared" si="1"/>
        <v>1.5</v>
      </c>
      <c r="G73" s="2"/>
    </row>
    <row r="74" spans="2:7" x14ac:dyDescent="0.25">
      <c r="B74" s="4">
        <v>45892</v>
      </c>
      <c r="C74" s="2" t="s">
        <v>5107</v>
      </c>
      <c r="D74" s="2" t="s">
        <v>5126</v>
      </c>
      <c r="E74" s="23">
        <v>73.400000000000006</v>
      </c>
      <c r="F74" s="23">
        <f t="shared" si="1"/>
        <v>0</v>
      </c>
      <c r="G74" s="2"/>
    </row>
    <row r="75" spans="2:7" x14ac:dyDescent="0.25">
      <c r="B75" s="4">
        <v>45893</v>
      </c>
      <c r="C75" s="2" t="s">
        <v>5142</v>
      </c>
      <c r="D75" s="2"/>
      <c r="E75" s="23">
        <v>74.099999999999994</v>
      </c>
      <c r="F75" s="23">
        <f t="shared" si="1"/>
        <v>0.69999999999998863</v>
      </c>
      <c r="G75" s="2"/>
    </row>
    <row r="76" spans="2:7" x14ac:dyDescent="0.25">
      <c r="B76" s="4">
        <v>45894</v>
      </c>
      <c r="C76" s="2" t="s">
        <v>5151</v>
      </c>
      <c r="D76" s="2"/>
      <c r="E76" s="23">
        <v>76.099999999999994</v>
      </c>
      <c r="F76" s="23">
        <f t="shared" si="1"/>
        <v>2</v>
      </c>
      <c r="G76" s="2"/>
    </row>
    <row r="77" spans="2:7" x14ac:dyDescent="0.25">
      <c r="B77" s="4">
        <v>45895</v>
      </c>
      <c r="C77" s="2" t="s">
        <v>5151</v>
      </c>
      <c r="D77" s="2"/>
      <c r="E77" s="23">
        <v>76.099999999999994</v>
      </c>
      <c r="F77" s="23">
        <f t="shared" si="1"/>
        <v>0</v>
      </c>
      <c r="G77" s="2"/>
    </row>
    <row r="78" spans="2:7" x14ac:dyDescent="0.25">
      <c r="B78" s="4">
        <v>45896</v>
      </c>
      <c r="C78" s="2" t="s">
        <v>5171</v>
      </c>
      <c r="D78" s="2"/>
      <c r="E78" s="23">
        <v>76.599999999999994</v>
      </c>
      <c r="F78" s="23">
        <f t="shared" si="1"/>
        <v>0.5</v>
      </c>
      <c r="G78" s="2"/>
    </row>
    <row r="79" spans="2:7" x14ac:dyDescent="0.25">
      <c r="B79" s="4">
        <v>45897</v>
      </c>
      <c r="C79" s="2" t="s">
        <v>5187</v>
      </c>
      <c r="D79" s="2" t="s">
        <v>5197</v>
      </c>
      <c r="E79" s="23">
        <v>76.7</v>
      </c>
      <c r="F79" s="23">
        <f t="shared" si="1"/>
        <v>0.10000000000000853</v>
      </c>
      <c r="G79" s="2"/>
    </row>
    <row r="80" spans="2:7" x14ac:dyDescent="0.25">
      <c r="B80" s="4">
        <v>45898</v>
      </c>
      <c r="C80" s="2" t="s">
        <v>5215</v>
      </c>
      <c r="D80" s="2"/>
      <c r="E80" s="23">
        <v>76.7</v>
      </c>
      <c r="F80" s="23">
        <f t="shared" si="1"/>
        <v>0</v>
      </c>
      <c r="G80" s="2"/>
    </row>
    <row r="81" spans="2:7" x14ac:dyDescent="0.25">
      <c r="B81" s="4">
        <v>45899</v>
      </c>
      <c r="C81" s="2" t="s">
        <v>5233</v>
      </c>
      <c r="D81" s="2"/>
      <c r="E81" s="23">
        <v>76.7</v>
      </c>
      <c r="F81" s="23">
        <f t="shared" si="1"/>
        <v>0</v>
      </c>
      <c r="G81" s="2"/>
    </row>
    <row r="82" spans="2:7" x14ac:dyDescent="0.25">
      <c r="B82" s="4">
        <v>45900</v>
      </c>
      <c r="C82" s="2" t="s">
        <v>5223</v>
      </c>
      <c r="D82" s="2"/>
      <c r="E82" s="23">
        <v>76.7</v>
      </c>
      <c r="F82" s="23">
        <f t="shared" si="1"/>
        <v>0</v>
      </c>
      <c r="G82" s="2"/>
    </row>
    <row r="83" spans="2:7" x14ac:dyDescent="0.25">
      <c r="B83" s="4">
        <v>45901</v>
      </c>
      <c r="C83" s="2" t="s">
        <v>5249</v>
      </c>
      <c r="D83" s="2" t="s">
        <v>5250</v>
      </c>
      <c r="E83" s="23">
        <v>76.7</v>
      </c>
      <c r="F83" s="23">
        <f t="shared" si="1"/>
        <v>0</v>
      </c>
      <c r="G83" s="2"/>
    </row>
    <row r="84" spans="2:7" x14ac:dyDescent="0.25">
      <c r="B84" s="4">
        <v>45902</v>
      </c>
      <c r="C84" s="2" t="s">
        <v>5254</v>
      </c>
      <c r="D84" s="2" t="s">
        <v>5263</v>
      </c>
      <c r="E84" s="23">
        <v>76.900000000000006</v>
      </c>
      <c r="F84" s="23">
        <f>E84-E83</f>
        <v>0.20000000000000284</v>
      </c>
      <c r="G84" s="2"/>
    </row>
    <row r="85" spans="2:7" x14ac:dyDescent="0.25">
      <c r="B85" s="4">
        <v>45903</v>
      </c>
      <c r="C85" s="2" t="s">
        <v>5254</v>
      </c>
      <c r="D85" s="2" t="s">
        <v>5266</v>
      </c>
      <c r="E85" s="23">
        <v>76.900000000000006</v>
      </c>
      <c r="F85" s="23">
        <f>E85-E84</f>
        <v>0</v>
      </c>
      <c r="G85" s="2"/>
    </row>
    <row r="86" spans="2:7" x14ac:dyDescent="0.25">
      <c r="B86" s="4">
        <v>45904</v>
      </c>
      <c r="C86" s="2" t="s">
        <v>5273</v>
      </c>
      <c r="D86" s="2"/>
      <c r="E86" s="23">
        <v>77.400000000000006</v>
      </c>
      <c r="F86" s="23">
        <f t="shared" ref="F86:F107" si="2">E86-E85</f>
        <v>0.5</v>
      </c>
      <c r="G86" s="2"/>
    </row>
    <row r="87" spans="2:7" x14ac:dyDescent="0.25">
      <c r="B87" s="4">
        <v>45905</v>
      </c>
      <c r="C87" s="2" t="s">
        <v>5273</v>
      </c>
      <c r="D87" s="2"/>
      <c r="E87" s="23">
        <v>77.900000000000006</v>
      </c>
      <c r="F87" s="23">
        <f t="shared" si="2"/>
        <v>0.5</v>
      </c>
      <c r="G87" s="2"/>
    </row>
    <row r="88" spans="2:7" x14ac:dyDescent="0.25">
      <c r="B88" s="4">
        <v>45906</v>
      </c>
      <c r="C88" s="2" t="s">
        <v>5292</v>
      </c>
      <c r="D88" s="2"/>
      <c r="E88" s="23">
        <v>78</v>
      </c>
      <c r="F88" s="23">
        <f t="shared" si="2"/>
        <v>9.9999999999994316E-2</v>
      </c>
      <c r="G88" s="2"/>
    </row>
    <row r="89" spans="2:7" x14ac:dyDescent="0.25">
      <c r="B89" s="4">
        <v>45907</v>
      </c>
      <c r="C89" s="2"/>
      <c r="D89" s="2" t="s">
        <v>5288</v>
      </c>
      <c r="E89" s="23">
        <v>78</v>
      </c>
      <c r="F89" s="23">
        <f t="shared" si="2"/>
        <v>0</v>
      </c>
      <c r="G89" s="2"/>
    </row>
    <row r="90" spans="2:7" x14ac:dyDescent="0.25">
      <c r="B90" s="4">
        <v>45908</v>
      </c>
      <c r="C90" s="2" t="s">
        <v>5321</v>
      </c>
      <c r="D90" s="2"/>
      <c r="E90" s="23">
        <v>78</v>
      </c>
      <c r="F90" s="23">
        <f t="shared" si="2"/>
        <v>0</v>
      </c>
      <c r="G90" s="2"/>
    </row>
    <row r="91" spans="2:7" x14ac:dyDescent="0.25">
      <c r="B91" s="4">
        <v>45909</v>
      </c>
      <c r="C91" s="2" t="s">
        <v>5328</v>
      </c>
      <c r="D91" s="2" t="s">
        <v>5329</v>
      </c>
      <c r="E91" s="23"/>
      <c r="F91" s="23">
        <f t="shared" si="2"/>
        <v>-78</v>
      </c>
      <c r="G91" s="2"/>
    </row>
    <row r="92" spans="2:7" x14ac:dyDescent="0.25">
      <c r="B92" s="4">
        <v>45910</v>
      </c>
      <c r="C92" s="2" t="s">
        <v>5375</v>
      </c>
      <c r="D92" s="2"/>
      <c r="E92" s="23">
        <v>52</v>
      </c>
      <c r="F92" s="23">
        <f t="shared" si="2"/>
        <v>52</v>
      </c>
      <c r="G92" s="2"/>
    </row>
    <row r="93" spans="2:7" x14ac:dyDescent="0.25">
      <c r="B93" s="4">
        <v>45911</v>
      </c>
      <c r="C93" s="2" t="s">
        <v>5376</v>
      </c>
      <c r="D93" s="2"/>
      <c r="E93" s="23">
        <v>55</v>
      </c>
      <c r="F93" s="23">
        <f t="shared" si="2"/>
        <v>3</v>
      </c>
      <c r="G93" s="2"/>
    </row>
    <row r="94" spans="2:7" x14ac:dyDescent="0.25">
      <c r="B94" s="4">
        <v>45912</v>
      </c>
      <c r="C94" s="2" t="s">
        <v>5377</v>
      </c>
      <c r="D94" s="2"/>
      <c r="E94" s="23">
        <v>58</v>
      </c>
      <c r="F94" s="23">
        <f t="shared" si="2"/>
        <v>3</v>
      </c>
      <c r="G94" s="2"/>
    </row>
    <row r="95" spans="2:7" x14ac:dyDescent="0.25">
      <c r="B95" s="4">
        <v>45913</v>
      </c>
      <c r="C95" s="2" t="s">
        <v>5378</v>
      </c>
      <c r="D95" s="2"/>
      <c r="E95" s="23">
        <v>60</v>
      </c>
      <c r="F95" s="23">
        <f t="shared" si="2"/>
        <v>2</v>
      </c>
      <c r="G95" s="2"/>
    </row>
    <row r="96" spans="2:7" x14ac:dyDescent="0.25">
      <c r="B96" s="4">
        <v>45914</v>
      </c>
      <c r="C96" s="2" t="s">
        <v>5379</v>
      </c>
      <c r="D96" s="2" t="s">
        <v>5374</v>
      </c>
      <c r="E96" s="23">
        <v>62</v>
      </c>
      <c r="F96" s="23">
        <f t="shared" si="2"/>
        <v>2</v>
      </c>
      <c r="G96" s="2"/>
    </row>
    <row r="97" spans="2:7" x14ac:dyDescent="0.25">
      <c r="B97" s="4">
        <v>45915</v>
      </c>
      <c r="C97" s="2" t="s">
        <v>5386</v>
      </c>
      <c r="D97" s="2"/>
      <c r="E97" s="120">
        <v>63.5</v>
      </c>
      <c r="F97" s="23">
        <f t="shared" si="2"/>
        <v>1.5</v>
      </c>
      <c r="G97" s="2"/>
    </row>
    <row r="98" spans="2:7" x14ac:dyDescent="0.25">
      <c r="B98" s="4">
        <v>45916</v>
      </c>
      <c r="C98" s="2" t="s">
        <v>5396</v>
      </c>
      <c r="D98" s="2"/>
      <c r="E98" s="122">
        <v>64</v>
      </c>
      <c r="F98" s="23">
        <f t="shared" si="2"/>
        <v>0.5</v>
      </c>
      <c r="G98" s="2"/>
    </row>
    <row r="99" spans="2:7" x14ac:dyDescent="0.25">
      <c r="B99" s="4">
        <v>45917</v>
      </c>
      <c r="C99" s="2" t="s">
        <v>5398</v>
      </c>
      <c r="D99" s="2"/>
      <c r="E99" s="122">
        <v>68</v>
      </c>
      <c r="F99" s="23">
        <f t="shared" si="2"/>
        <v>4</v>
      </c>
      <c r="G99" s="2"/>
    </row>
    <row r="100" spans="2:7" x14ac:dyDescent="0.25">
      <c r="B100" s="4">
        <v>45918</v>
      </c>
      <c r="C100" s="2" t="s">
        <v>5405</v>
      </c>
      <c r="D100" s="2" t="s">
        <v>5415</v>
      </c>
      <c r="E100" s="122">
        <v>70</v>
      </c>
      <c r="F100" s="23">
        <f t="shared" si="2"/>
        <v>2</v>
      </c>
      <c r="G100" s="2"/>
    </row>
    <row r="101" spans="2:7" x14ac:dyDescent="0.25">
      <c r="B101" s="4">
        <v>45919</v>
      </c>
      <c r="C101" s="2" t="s">
        <v>5446</v>
      </c>
      <c r="D101" s="2"/>
      <c r="E101" s="120">
        <v>70.5</v>
      </c>
      <c r="F101" s="120">
        <f t="shared" si="2"/>
        <v>0.5</v>
      </c>
      <c r="G101" s="2"/>
    </row>
    <row r="102" spans="2:7" x14ac:dyDescent="0.25">
      <c r="B102" s="4">
        <v>45920</v>
      </c>
      <c r="C102" s="2" t="s">
        <v>5430</v>
      </c>
      <c r="D102" s="2"/>
      <c r="E102" s="122">
        <v>72</v>
      </c>
      <c r="F102" s="120">
        <f t="shared" si="2"/>
        <v>1.5</v>
      </c>
      <c r="G102" s="2"/>
    </row>
    <row r="103" spans="2:7" x14ac:dyDescent="0.25">
      <c r="B103" s="4">
        <v>45921</v>
      </c>
      <c r="C103" s="2" t="s">
        <v>5436</v>
      </c>
      <c r="D103" s="2"/>
      <c r="E103" s="120">
        <v>72.099999999999994</v>
      </c>
      <c r="F103" s="120">
        <f t="shared" si="2"/>
        <v>9.9999999999994316E-2</v>
      </c>
      <c r="G103" s="2"/>
    </row>
    <row r="104" spans="2:7" x14ac:dyDescent="0.25">
      <c r="B104" s="4">
        <v>45922</v>
      </c>
      <c r="C104" s="2" t="s">
        <v>5436</v>
      </c>
      <c r="D104" s="2"/>
      <c r="E104" s="120">
        <v>72.099999999999994</v>
      </c>
      <c r="F104" s="120">
        <f t="shared" si="2"/>
        <v>0</v>
      </c>
      <c r="G104" s="2"/>
    </row>
    <row r="105" spans="2:7" x14ac:dyDescent="0.25">
      <c r="B105" s="4">
        <v>45923</v>
      </c>
      <c r="C105" s="2" t="s">
        <v>5456</v>
      </c>
      <c r="D105" s="2"/>
      <c r="E105" s="120">
        <v>75.400000000000006</v>
      </c>
      <c r="F105" s="122">
        <f t="shared" si="2"/>
        <v>3.3000000000000114</v>
      </c>
      <c r="G105" s="2"/>
    </row>
    <row r="106" spans="2:7" x14ac:dyDescent="0.25">
      <c r="B106" s="4">
        <v>45924</v>
      </c>
      <c r="C106" s="2" t="s">
        <v>5460</v>
      </c>
      <c r="D106" s="2" t="s">
        <v>5464</v>
      </c>
      <c r="E106" s="120">
        <v>78</v>
      </c>
      <c r="F106" s="122">
        <f t="shared" si="2"/>
        <v>2.5999999999999943</v>
      </c>
      <c r="G106" s="2"/>
    </row>
    <row r="107" spans="2:7" x14ac:dyDescent="0.25">
      <c r="B107" s="4">
        <v>45925</v>
      </c>
      <c r="C107" s="2" t="s">
        <v>5467</v>
      </c>
      <c r="D107" s="2" t="s">
        <v>5479</v>
      </c>
      <c r="E107" s="121"/>
      <c r="F107" s="122">
        <f t="shared" si="2"/>
        <v>-78</v>
      </c>
      <c r="G107" s="2"/>
    </row>
    <row r="108" spans="2:7" x14ac:dyDescent="0.25">
      <c r="B108" s="4">
        <v>45926</v>
      </c>
      <c r="C108" s="2" t="s">
        <v>5481</v>
      </c>
      <c r="D108" s="2" t="s">
        <v>5482</v>
      </c>
      <c r="E108" s="121"/>
      <c r="F108" s="122"/>
      <c r="G108" s="2"/>
    </row>
    <row r="109" spans="2:7" x14ac:dyDescent="0.25">
      <c r="B109" s="4">
        <v>45927</v>
      </c>
      <c r="C109" s="2" t="s">
        <v>1178</v>
      </c>
      <c r="D109" s="2" t="s">
        <v>5499</v>
      </c>
      <c r="E109" s="121"/>
      <c r="F109" s="122"/>
      <c r="G109" s="2"/>
    </row>
    <row r="110" spans="2:7" x14ac:dyDescent="0.25">
      <c r="B110" s="4">
        <v>45928</v>
      </c>
      <c r="C110" s="2" t="s">
        <v>149</v>
      </c>
      <c r="D110" s="2"/>
      <c r="E110" s="121"/>
      <c r="F110" s="122"/>
      <c r="G110" s="2"/>
    </row>
    <row r="111" spans="2:7" x14ac:dyDescent="0.25">
      <c r="B111" s="4">
        <v>45929</v>
      </c>
      <c r="C111" s="2" t="s">
        <v>5504</v>
      </c>
      <c r="D111" s="2"/>
      <c r="E111" s="121"/>
      <c r="F111" s="122"/>
      <c r="G111" s="2"/>
    </row>
    <row r="112" spans="2:7" x14ac:dyDescent="0.25">
      <c r="B112" s="4">
        <v>45930</v>
      </c>
      <c r="C112" s="2" t="s">
        <v>5519</v>
      </c>
      <c r="D112" s="2" t="s">
        <v>5073</v>
      </c>
      <c r="E112" s="121"/>
      <c r="F112" s="122"/>
      <c r="G112" s="2"/>
    </row>
    <row r="113" spans="2:7" x14ac:dyDescent="0.25">
      <c r="B113" s="4">
        <v>45931</v>
      </c>
      <c r="C113" s="2" t="s">
        <v>1166</v>
      </c>
      <c r="D113" s="2"/>
      <c r="E113" s="121"/>
      <c r="F113" s="2"/>
      <c r="G113" s="2"/>
    </row>
    <row r="114" spans="2:7" x14ac:dyDescent="0.25">
      <c r="B114" s="4">
        <v>45932</v>
      </c>
      <c r="C114" s="2" t="s">
        <v>5528</v>
      </c>
      <c r="D114" s="2" t="s">
        <v>5529</v>
      </c>
      <c r="E114" s="2"/>
      <c r="F114" s="2"/>
      <c r="G114" s="2"/>
    </row>
    <row r="115" spans="2:7" x14ac:dyDescent="0.25">
      <c r="B115" s="4">
        <v>45933</v>
      </c>
      <c r="C115" s="2" t="s">
        <v>5547</v>
      </c>
      <c r="D115" s="2" t="s">
        <v>5536</v>
      </c>
      <c r="E115" s="2"/>
      <c r="F115" s="2"/>
      <c r="G115" s="2"/>
    </row>
    <row r="116" spans="2:7" x14ac:dyDescent="0.25">
      <c r="B116" s="4">
        <v>45934</v>
      </c>
      <c r="C116" s="2"/>
      <c r="D116" s="2"/>
      <c r="E116" s="2"/>
      <c r="F116" s="2"/>
      <c r="G116" s="2"/>
    </row>
    <row r="117" spans="2:7" x14ac:dyDescent="0.25">
      <c r="B117" s="4">
        <v>45935</v>
      </c>
      <c r="C117" s="2" t="s">
        <v>5553</v>
      </c>
      <c r="D117" s="2"/>
      <c r="E117" s="2"/>
      <c r="F117" s="2"/>
      <c r="G117" s="2"/>
    </row>
    <row r="118" spans="2:7" x14ac:dyDescent="0.25">
      <c r="B118" s="4">
        <v>45936</v>
      </c>
      <c r="C118" s="2"/>
      <c r="D118" s="2"/>
      <c r="E118" s="2"/>
      <c r="F118" s="2"/>
      <c r="G118" s="2"/>
    </row>
    <row r="119" spans="2:7" x14ac:dyDescent="0.25">
      <c r="B119" s="4">
        <v>45937</v>
      </c>
      <c r="C119" s="2" t="s">
        <v>5579</v>
      </c>
      <c r="D119" s="2" t="s">
        <v>5583</v>
      </c>
      <c r="E119" s="2"/>
      <c r="F119" s="2"/>
      <c r="G119" s="2"/>
    </row>
    <row r="120" spans="2:7" x14ac:dyDescent="0.25">
      <c r="B120" s="4">
        <v>45938</v>
      </c>
      <c r="C120" s="2" t="s">
        <v>5594</v>
      </c>
      <c r="D120" s="2" t="s">
        <v>5600</v>
      </c>
      <c r="E120" s="2"/>
      <c r="F120" s="2"/>
      <c r="G120" s="2"/>
    </row>
    <row r="121" spans="2:7" x14ac:dyDescent="0.25">
      <c r="B121" s="4">
        <v>45939</v>
      </c>
      <c r="C121" s="2"/>
      <c r="D121" s="2"/>
      <c r="E121" s="2"/>
      <c r="F121" s="2"/>
      <c r="G121" s="2"/>
    </row>
    <row r="122" spans="2:7" x14ac:dyDescent="0.25">
      <c r="B122" s="4">
        <v>45940</v>
      </c>
      <c r="C122" s="2"/>
      <c r="D122" s="2"/>
      <c r="E122" s="2"/>
      <c r="F122" s="2"/>
      <c r="G122" s="2"/>
    </row>
    <row r="123" spans="2:7" x14ac:dyDescent="0.25">
      <c r="B123" s="4">
        <v>45941</v>
      </c>
      <c r="C123" s="2"/>
      <c r="D123" s="2"/>
      <c r="E123" s="2"/>
      <c r="F123" s="2"/>
      <c r="G123" s="2"/>
    </row>
    <row r="124" spans="2:7" x14ac:dyDescent="0.25">
      <c r="B124" s="4">
        <v>45942</v>
      </c>
      <c r="C124" s="2"/>
      <c r="D124" s="2"/>
      <c r="E124" s="2"/>
      <c r="F124" s="2"/>
      <c r="G124" s="2"/>
    </row>
    <row r="125" spans="2:7" x14ac:dyDescent="0.25">
      <c r="B125" s="4">
        <v>45943</v>
      </c>
      <c r="C125" s="2"/>
      <c r="D125" s="2"/>
      <c r="E125" s="2"/>
      <c r="F125" s="2"/>
      <c r="G125" s="2"/>
    </row>
    <row r="126" spans="2:7" x14ac:dyDescent="0.25">
      <c r="B126" s="4">
        <v>45944</v>
      </c>
      <c r="C126" s="2"/>
      <c r="D126" s="2"/>
      <c r="E126" s="2"/>
      <c r="F126" s="2"/>
      <c r="G126" s="2"/>
    </row>
    <row r="127" spans="2:7" x14ac:dyDescent="0.25">
      <c r="B127" s="4">
        <v>45945</v>
      </c>
      <c r="C127" s="2"/>
      <c r="D127" s="2"/>
      <c r="E127" s="2"/>
      <c r="F127" s="2"/>
      <c r="G127" s="2"/>
    </row>
    <row r="128" spans="2:7" x14ac:dyDescent="0.25">
      <c r="B128" s="4">
        <v>45946</v>
      </c>
      <c r="C128" s="2"/>
      <c r="D128" s="2"/>
      <c r="E128" s="2"/>
      <c r="F128" s="2"/>
      <c r="G128" s="2"/>
    </row>
    <row r="129" spans="2:7" x14ac:dyDescent="0.25">
      <c r="B129" s="4">
        <v>45947</v>
      </c>
      <c r="C129" s="2"/>
      <c r="D129" s="2"/>
      <c r="E129" s="2"/>
      <c r="F129" s="2"/>
      <c r="G129" s="2"/>
    </row>
    <row r="130" spans="2:7" x14ac:dyDescent="0.25">
      <c r="B130" s="4">
        <v>45948</v>
      </c>
      <c r="C130" s="2"/>
      <c r="D130" s="2"/>
      <c r="E130" s="2"/>
      <c r="F130" s="2"/>
      <c r="G130" s="2"/>
    </row>
    <row r="131" spans="2:7" x14ac:dyDescent="0.25">
      <c r="B131" s="4">
        <v>45949</v>
      </c>
      <c r="C131" s="2"/>
      <c r="D131" s="2"/>
      <c r="E131" s="2"/>
      <c r="F131" s="2"/>
      <c r="G131" s="2"/>
    </row>
  </sheetData>
  <pageMargins left="0.7" right="0.7" top="0.75" bottom="0.75" header="0.3" footer="0.3"/>
  <pageSetup paperSize="9" scale="90" orientation="portrait" horizontalDpi="4294967293" verticalDpi="0" r:id="rId1"/>
  <colBreaks count="1" manualBreakCount="1">
    <brk id="3" max="74" man="1"/>
  </colBreak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B2:G234"/>
  <sheetViews>
    <sheetView workbookViewId="0">
      <pane ySplit="3" topLeftCell="A67" activePane="bottomLeft" state="frozen"/>
      <selection pane="bottomLeft" activeCell="C231" sqref="C231"/>
    </sheetView>
  </sheetViews>
  <sheetFormatPr defaultRowHeight="15" x14ac:dyDescent="0.25"/>
  <cols>
    <col min="2" max="2" width="18" bestFit="1" customWidth="1"/>
    <col min="3" max="3" width="72" bestFit="1" customWidth="1"/>
    <col min="4" max="4" width="42.140625" bestFit="1" customWidth="1"/>
    <col min="5" max="5" width="11.85546875" bestFit="1" customWidth="1"/>
    <col min="6" max="6" width="8.42578125" bestFit="1" customWidth="1"/>
    <col min="7" max="7" width="11" bestFit="1" customWidth="1"/>
  </cols>
  <sheetData>
    <row r="2" spans="2:7" x14ac:dyDescent="0.25">
      <c r="B2" s="144" t="s">
        <v>5642</v>
      </c>
    </row>
    <row r="3" spans="2:7" ht="15.75" x14ac:dyDescent="0.25">
      <c r="B3" s="10" t="s">
        <v>0</v>
      </c>
      <c r="C3" s="11" t="s">
        <v>1</v>
      </c>
      <c r="D3" s="11" t="s">
        <v>2</v>
      </c>
      <c r="E3" s="11" t="s">
        <v>934</v>
      </c>
      <c r="F3" s="11" t="s">
        <v>1095</v>
      </c>
      <c r="G3" s="11" t="s">
        <v>1507</v>
      </c>
    </row>
    <row r="4" spans="2:7" x14ac:dyDescent="0.25">
      <c r="B4" s="4">
        <v>45820</v>
      </c>
      <c r="C4" s="2" t="s">
        <v>1528</v>
      </c>
      <c r="D4" s="115" t="s">
        <v>4217</v>
      </c>
      <c r="E4" s="23">
        <v>0</v>
      </c>
      <c r="F4" s="2"/>
      <c r="G4" s="2"/>
    </row>
    <row r="5" spans="2:7" x14ac:dyDescent="0.25">
      <c r="B5" s="4">
        <v>45821</v>
      </c>
      <c r="C5" s="2"/>
      <c r="D5" s="2"/>
      <c r="E5" s="23">
        <v>0</v>
      </c>
      <c r="F5" s="2">
        <f t="shared" ref="F5:F39" si="0">E5-E4</f>
        <v>0</v>
      </c>
      <c r="G5" s="2"/>
    </row>
    <row r="6" spans="2:7" x14ac:dyDescent="0.25">
      <c r="B6" s="4">
        <v>45822</v>
      </c>
      <c r="C6" s="2"/>
      <c r="D6" s="2"/>
      <c r="E6" s="23">
        <v>0</v>
      </c>
      <c r="F6" s="2">
        <f t="shared" si="0"/>
        <v>0</v>
      </c>
      <c r="G6" s="2"/>
    </row>
    <row r="7" spans="2:7" x14ac:dyDescent="0.25">
      <c r="B7" s="4">
        <v>45823</v>
      </c>
      <c r="C7" s="2"/>
      <c r="D7" s="58"/>
      <c r="E7" s="23">
        <v>0</v>
      </c>
      <c r="F7" s="2">
        <f t="shared" si="0"/>
        <v>0</v>
      </c>
      <c r="G7" s="2"/>
    </row>
    <row r="8" spans="2:7" x14ac:dyDescent="0.25">
      <c r="B8" s="4">
        <v>45824</v>
      </c>
      <c r="C8" s="2"/>
      <c r="D8" s="58"/>
      <c r="E8" s="23">
        <v>0</v>
      </c>
      <c r="F8" s="2">
        <f t="shared" si="0"/>
        <v>0</v>
      </c>
      <c r="G8" s="2"/>
    </row>
    <row r="9" spans="2:7" x14ac:dyDescent="0.25">
      <c r="B9" s="4">
        <v>45825</v>
      </c>
      <c r="C9" s="2"/>
      <c r="D9" s="58"/>
      <c r="E9" s="23">
        <v>0</v>
      </c>
      <c r="F9" s="2">
        <f t="shared" si="0"/>
        <v>0</v>
      </c>
      <c r="G9" s="2"/>
    </row>
    <row r="10" spans="2:7" x14ac:dyDescent="0.25">
      <c r="B10" s="4">
        <v>45826</v>
      </c>
      <c r="C10" s="2"/>
      <c r="D10" s="2"/>
      <c r="E10" s="23">
        <v>0</v>
      </c>
      <c r="F10" s="2">
        <f t="shared" si="0"/>
        <v>0</v>
      </c>
      <c r="G10" s="2"/>
    </row>
    <row r="11" spans="2:7" x14ac:dyDescent="0.25">
      <c r="B11" s="4">
        <v>45827</v>
      </c>
      <c r="C11" s="2"/>
      <c r="D11" s="2"/>
      <c r="E11" s="23">
        <v>0</v>
      </c>
      <c r="F11" s="2">
        <f t="shared" si="0"/>
        <v>0</v>
      </c>
      <c r="G11" s="2"/>
    </row>
    <row r="12" spans="2:7" x14ac:dyDescent="0.25">
      <c r="B12" s="4">
        <v>45828</v>
      </c>
      <c r="C12" s="2"/>
      <c r="D12" s="2"/>
      <c r="E12" s="23">
        <v>0</v>
      </c>
      <c r="F12" s="2">
        <f t="shared" si="0"/>
        <v>0</v>
      </c>
      <c r="G12" s="2"/>
    </row>
    <row r="13" spans="2:7" x14ac:dyDescent="0.25">
      <c r="B13" s="4">
        <v>45829</v>
      </c>
      <c r="C13" s="2" t="s">
        <v>4365</v>
      </c>
      <c r="D13" s="2"/>
      <c r="E13" s="23">
        <v>15</v>
      </c>
      <c r="F13" s="2">
        <f t="shared" si="0"/>
        <v>15</v>
      </c>
      <c r="G13" s="2"/>
    </row>
    <row r="14" spans="2:7" x14ac:dyDescent="0.25">
      <c r="B14" s="4">
        <v>45830</v>
      </c>
      <c r="C14" s="2" t="s">
        <v>4364</v>
      </c>
      <c r="D14" s="2"/>
      <c r="E14" s="23">
        <v>30</v>
      </c>
      <c r="F14" s="2">
        <f t="shared" si="0"/>
        <v>15</v>
      </c>
      <c r="G14" s="2"/>
    </row>
    <row r="15" spans="2:7" x14ac:dyDescent="0.25">
      <c r="B15" s="4">
        <v>45831</v>
      </c>
      <c r="C15" s="2" t="s">
        <v>4379</v>
      </c>
      <c r="D15" s="2"/>
      <c r="E15" s="23">
        <v>52</v>
      </c>
      <c r="F15" s="2">
        <f t="shared" si="0"/>
        <v>22</v>
      </c>
      <c r="G15" s="2"/>
    </row>
    <row r="16" spans="2:7" x14ac:dyDescent="0.25">
      <c r="B16" s="4">
        <v>45832</v>
      </c>
      <c r="C16" s="2" t="s">
        <v>4392</v>
      </c>
      <c r="D16" s="2"/>
      <c r="E16" s="23">
        <v>68</v>
      </c>
      <c r="F16" s="2">
        <f t="shared" si="0"/>
        <v>16</v>
      </c>
      <c r="G16" s="2"/>
    </row>
    <row r="17" spans="2:7" x14ac:dyDescent="0.25">
      <c r="B17" s="4">
        <v>45833</v>
      </c>
      <c r="C17" s="2" t="s">
        <v>4409</v>
      </c>
      <c r="D17" s="2"/>
      <c r="E17" s="23">
        <v>68</v>
      </c>
      <c r="F17" s="2">
        <f t="shared" si="0"/>
        <v>0</v>
      </c>
      <c r="G17" s="2"/>
    </row>
    <row r="18" spans="2:7" x14ac:dyDescent="0.25">
      <c r="B18" s="4">
        <v>45834</v>
      </c>
      <c r="C18" s="2" t="s">
        <v>4428</v>
      </c>
      <c r="D18" s="2"/>
      <c r="E18" s="23">
        <v>75</v>
      </c>
      <c r="F18" s="2">
        <f t="shared" si="0"/>
        <v>7</v>
      </c>
      <c r="G18" s="2"/>
    </row>
    <row r="19" spans="2:7" x14ac:dyDescent="0.25">
      <c r="B19" s="4">
        <v>45835</v>
      </c>
      <c r="C19" s="2" t="s">
        <v>4429</v>
      </c>
      <c r="D19" s="2"/>
      <c r="E19" s="23">
        <v>85</v>
      </c>
      <c r="F19" s="2">
        <f t="shared" si="0"/>
        <v>10</v>
      </c>
      <c r="G19" s="2"/>
    </row>
    <row r="20" spans="2:7" x14ac:dyDescent="0.25">
      <c r="B20" s="4">
        <v>45836</v>
      </c>
      <c r="C20" s="2" t="s">
        <v>4506</v>
      </c>
      <c r="D20" s="2"/>
      <c r="E20" s="23">
        <v>100</v>
      </c>
      <c r="F20" s="2">
        <f t="shared" si="0"/>
        <v>15</v>
      </c>
      <c r="G20" s="2"/>
    </row>
    <row r="21" spans="2:7" x14ac:dyDescent="0.25">
      <c r="B21" s="4">
        <v>45837</v>
      </c>
      <c r="C21" s="2" t="s">
        <v>1827</v>
      </c>
      <c r="D21" s="2"/>
      <c r="E21" s="23"/>
      <c r="F21" s="2">
        <f t="shared" si="0"/>
        <v>-100</v>
      </c>
      <c r="G21" s="2"/>
    </row>
    <row r="22" spans="2:7" x14ac:dyDescent="0.25">
      <c r="B22" s="4">
        <v>45838</v>
      </c>
      <c r="C22" s="2" t="s">
        <v>4475</v>
      </c>
      <c r="D22" s="2"/>
      <c r="E22" s="23"/>
      <c r="F22" s="2">
        <f t="shared" si="0"/>
        <v>0</v>
      </c>
      <c r="G22" s="2"/>
    </row>
    <row r="23" spans="2:7" x14ac:dyDescent="0.25">
      <c r="B23" s="4">
        <v>45839</v>
      </c>
      <c r="C23" s="2" t="s">
        <v>4487</v>
      </c>
      <c r="D23" s="2"/>
      <c r="E23" s="23"/>
      <c r="F23" s="2">
        <f t="shared" si="0"/>
        <v>0</v>
      </c>
      <c r="G23" s="2"/>
    </row>
    <row r="24" spans="2:7" x14ac:dyDescent="0.25">
      <c r="B24" s="4">
        <v>45840</v>
      </c>
      <c r="C24" s="2" t="s">
        <v>4496</v>
      </c>
      <c r="D24" s="2"/>
      <c r="E24" s="23"/>
      <c r="F24" s="2">
        <f t="shared" si="0"/>
        <v>0</v>
      </c>
      <c r="G24" s="2"/>
    </row>
    <row r="25" spans="2:7" x14ac:dyDescent="0.25">
      <c r="B25" s="4">
        <v>45841</v>
      </c>
      <c r="C25" s="2" t="s">
        <v>4505</v>
      </c>
      <c r="D25" s="2"/>
      <c r="E25" s="23"/>
      <c r="F25" s="2">
        <f t="shared" si="0"/>
        <v>0</v>
      </c>
      <c r="G25" s="2"/>
    </row>
    <row r="26" spans="2:7" x14ac:dyDescent="0.25">
      <c r="B26" s="4">
        <v>45842</v>
      </c>
      <c r="C26" s="2"/>
      <c r="D26" s="2"/>
      <c r="E26" s="23"/>
      <c r="F26" s="2">
        <f t="shared" si="0"/>
        <v>0</v>
      </c>
      <c r="G26" s="2"/>
    </row>
    <row r="27" spans="2:7" x14ac:dyDescent="0.25">
      <c r="B27" s="4">
        <v>45843</v>
      </c>
      <c r="C27" s="2"/>
      <c r="D27" s="2"/>
      <c r="E27" s="23"/>
      <c r="F27" s="2">
        <f t="shared" si="0"/>
        <v>0</v>
      </c>
      <c r="G27" s="2"/>
    </row>
    <row r="28" spans="2:7" x14ac:dyDescent="0.25">
      <c r="B28" s="4">
        <v>45844</v>
      </c>
      <c r="C28" s="2" t="s">
        <v>4534</v>
      </c>
      <c r="D28" s="2"/>
      <c r="E28" s="23">
        <v>55</v>
      </c>
      <c r="F28" s="2">
        <f t="shared" si="0"/>
        <v>55</v>
      </c>
      <c r="G28" s="2"/>
    </row>
    <row r="29" spans="2:7" x14ac:dyDescent="0.25">
      <c r="B29" s="4">
        <v>45845</v>
      </c>
      <c r="C29" s="2" t="s">
        <v>4544</v>
      </c>
      <c r="D29" s="2"/>
      <c r="E29" s="23">
        <v>60</v>
      </c>
      <c r="F29" s="2">
        <f t="shared" si="0"/>
        <v>5</v>
      </c>
      <c r="G29" s="2"/>
    </row>
    <row r="30" spans="2:7" x14ac:dyDescent="0.25">
      <c r="B30" s="4">
        <v>45846</v>
      </c>
      <c r="C30" s="2" t="s">
        <v>4563</v>
      </c>
      <c r="D30" s="2"/>
      <c r="E30" s="23">
        <v>68</v>
      </c>
      <c r="F30" s="2">
        <f t="shared" si="0"/>
        <v>8</v>
      </c>
      <c r="G30" s="2"/>
    </row>
    <row r="31" spans="2:7" x14ac:dyDescent="0.25">
      <c r="B31" s="4">
        <v>45847</v>
      </c>
      <c r="C31" s="2"/>
      <c r="D31" s="2"/>
      <c r="E31" s="23">
        <v>68</v>
      </c>
      <c r="F31" s="2">
        <f t="shared" si="0"/>
        <v>0</v>
      </c>
      <c r="G31" s="2"/>
    </row>
    <row r="32" spans="2:7" x14ac:dyDescent="0.25">
      <c r="B32" s="4">
        <v>45848</v>
      </c>
      <c r="C32" s="2"/>
      <c r="D32" s="2"/>
      <c r="E32" s="23">
        <v>68</v>
      </c>
      <c r="F32" s="2">
        <f t="shared" si="0"/>
        <v>0</v>
      </c>
      <c r="G32" s="2"/>
    </row>
    <row r="33" spans="2:7" x14ac:dyDescent="0.25">
      <c r="B33" s="4">
        <v>45849</v>
      </c>
      <c r="C33" s="2" t="s">
        <v>4564</v>
      </c>
      <c r="D33" s="2"/>
      <c r="E33" s="23">
        <v>90</v>
      </c>
      <c r="F33" s="2">
        <f t="shared" si="0"/>
        <v>22</v>
      </c>
      <c r="G33" s="2"/>
    </row>
    <row r="34" spans="2:7" x14ac:dyDescent="0.25">
      <c r="B34" s="4">
        <v>45850</v>
      </c>
      <c r="C34" s="2" t="s">
        <v>4578</v>
      </c>
      <c r="D34" s="2"/>
      <c r="E34" s="23">
        <v>100</v>
      </c>
      <c r="F34" s="2">
        <f t="shared" si="0"/>
        <v>10</v>
      </c>
      <c r="G34" s="2"/>
    </row>
    <row r="35" spans="2:7" x14ac:dyDescent="0.25">
      <c r="B35" s="4">
        <v>45851</v>
      </c>
      <c r="C35" s="2"/>
      <c r="D35" s="2"/>
      <c r="E35" s="23"/>
      <c r="F35" s="2">
        <f t="shared" si="0"/>
        <v>-100</v>
      </c>
      <c r="G35" s="2"/>
    </row>
    <row r="36" spans="2:7" x14ac:dyDescent="0.25">
      <c r="B36" s="4">
        <v>45852</v>
      </c>
      <c r="C36" s="2"/>
      <c r="D36" s="2"/>
      <c r="E36" s="23"/>
      <c r="F36" s="2">
        <f t="shared" si="0"/>
        <v>0</v>
      </c>
      <c r="G36" s="2"/>
    </row>
    <row r="37" spans="2:7" x14ac:dyDescent="0.25">
      <c r="B37" s="4">
        <v>45853</v>
      </c>
      <c r="C37" s="2" t="s">
        <v>1827</v>
      </c>
      <c r="D37" s="2"/>
      <c r="E37" s="23"/>
      <c r="F37" s="2">
        <f t="shared" si="0"/>
        <v>0</v>
      </c>
      <c r="G37" s="2"/>
    </row>
    <row r="38" spans="2:7" x14ac:dyDescent="0.25">
      <c r="B38" s="4">
        <v>45854</v>
      </c>
      <c r="C38" s="2" t="s">
        <v>149</v>
      </c>
      <c r="D38" s="2"/>
      <c r="E38" s="23"/>
      <c r="F38" s="2">
        <f t="shared" si="0"/>
        <v>0</v>
      </c>
      <c r="G38" s="2"/>
    </row>
    <row r="39" spans="2:7" x14ac:dyDescent="0.25">
      <c r="B39" s="4">
        <v>45855</v>
      </c>
      <c r="C39" s="2" t="s">
        <v>149</v>
      </c>
      <c r="D39" s="2"/>
      <c r="E39" s="23"/>
      <c r="F39" s="2">
        <f t="shared" si="0"/>
        <v>0</v>
      </c>
      <c r="G39" s="2"/>
    </row>
    <row r="40" spans="2:7" x14ac:dyDescent="0.25">
      <c r="B40" s="4">
        <v>45856</v>
      </c>
      <c r="C40" s="2" t="s">
        <v>4623</v>
      </c>
      <c r="D40" s="2"/>
      <c r="E40" s="23"/>
      <c r="F40" s="2"/>
      <c r="G40" s="2"/>
    </row>
    <row r="41" spans="2:7" x14ac:dyDescent="0.25">
      <c r="B41" s="4">
        <v>45857</v>
      </c>
      <c r="C41" s="2" t="s">
        <v>4623</v>
      </c>
      <c r="D41" s="2"/>
      <c r="E41" s="2"/>
      <c r="F41" s="2"/>
      <c r="G41" s="2"/>
    </row>
    <row r="42" spans="2:7" x14ac:dyDescent="0.25">
      <c r="B42" s="4">
        <v>45858</v>
      </c>
      <c r="C42" s="2" t="s">
        <v>4623</v>
      </c>
      <c r="D42" s="2"/>
      <c r="E42" s="2"/>
      <c r="F42" s="2"/>
      <c r="G42" s="2"/>
    </row>
    <row r="43" spans="2:7" x14ac:dyDescent="0.25">
      <c r="B43" s="4">
        <v>45859</v>
      </c>
      <c r="C43" s="2" t="s">
        <v>900</v>
      </c>
      <c r="D43" s="2"/>
      <c r="E43" s="2"/>
      <c r="F43" s="2"/>
      <c r="G43" s="2"/>
    </row>
    <row r="44" spans="2:7" x14ac:dyDescent="0.25">
      <c r="B44" s="4">
        <v>45860</v>
      </c>
      <c r="C44" s="2" t="s">
        <v>1020</v>
      </c>
      <c r="D44" s="2"/>
      <c r="E44" s="2"/>
      <c r="F44" s="2"/>
      <c r="G44" s="2"/>
    </row>
    <row r="45" spans="2:7" x14ac:dyDescent="0.25">
      <c r="B45" s="4">
        <v>45861</v>
      </c>
      <c r="C45" s="2" t="s">
        <v>1020</v>
      </c>
      <c r="D45" s="2"/>
      <c r="E45" s="2"/>
      <c r="F45" s="2"/>
      <c r="G45" s="2"/>
    </row>
    <row r="46" spans="2:7" x14ac:dyDescent="0.25">
      <c r="B46" s="4">
        <v>45862</v>
      </c>
      <c r="C46" s="2" t="s">
        <v>4680</v>
      </c>
      <c r="D46" s="2"/>
      <c r="E46" s="2"/>
      <c r="F46" s="2"/>
      <c r="G46" s="2"/>
    </row>
    <row r="47" spans="2:7" x14ac:dyDescent="0.25">
      <c r="B47" s="4">
        <v>45863</v>
      </c>
      <c r="C47" s="2" t="s">
        <v>4691</v>
      </c>
      <c r="D47" s="2"/>
      <c r="E47" s="2"/>
      <c r="F47" s="2"/>
      <c r="G47" s="2"/>
    </row>
    <row r="48" spans="2:7" x14ac:dyDescent="0.25">
      <c r="B48" s="4">
        <v>45864</v>
      </c>
      <c r="C48" s="2" t="s">
        <v>4725</v>
      </c>
      <c r="D48" s="2"/>
      <c r="E48" s="2"/>
      <c r="F48" s="2"/>
      <c r="G48" s="2"/>
    </row>
    <row r="49" spans="2:7" x14ac:dyDescent="0.25">
      <c r="B49" s="4">
        <v>45865</v>
      </c>
      <c r="C49" s="2" t="s">
        <v>4725</v>
      </c>
      <c r="D49" s="2"/>
      <c r="E49" s="2"/>
      <c r="F49" s="2"/>
      <c r="G49" s="2"/>
    </row>
    <row r="50" spans="2:7" x14ac:dyDescent="0.25">
      <c r="B50" s="4">
        <v>45866</v>
      </c>
      <c r="C50" s="2" t="s">
        <v>4725</v>
      </c>
      <c r="D50" s="2" t="s">
        <v>4730</v>
      </c>
      <c r="E50" s="2"/>
      <c r="F50" s="2"/>
      <c r="G50" s="2"/>
    </row>
    <row r="51" spans="2:7" x14ac:dyDescent="0.25">
      <c r="B51" s="4">
        <v>45867</v>
      </c>
      <c r="C51" s="2" t="s">
        <v>4802</v>
      </c>
      <c r="D51" s="2"/>
      <c r="E51" s="2"/>
      <c r="F51" s="2"/>
      <c r="G51" s="2"/>
    </row>
    <row r="52" spans="2:7" x14ac:dyDescent="0.25">
      <c r="B52" s="4">
        <v>45868</v>
      </c>
      <c r="C52" s="2" t="s">
        <v>1166</v>
      </c>
      <c r="D52" s="2" t="s">
        <v>4807</v>
      </c>
      <c r="E52" s="2"/>
      <c r="F52" s="2"/>
      <c r="G52" s="2"/>
    </row>
    <row r="53" spans="2:7" x14ac:dyDescent="0.25">
      <c r="B53" s="4">
        <v>45869</v>
      </c>
      <c r="C53" s="2" t="s">
        <v>1166</v>
      </c>
      <c r="D53" s="2"/>
      <c r="E53" s="2"/>
      <c r="F53" s="2"/>
      <c r="G53" s="2"/>
    </row>
    <row r="54" spans="2:7" x14ac:dyDescent="0.25">
      <c r="B54" s="4">
        <v>45870</v>
      </c>
      <c r="C54" s="2" t="s">
        <v>1166</v>
      </c>
      <c r="D54" s="2"/>
      <c r="E54" s="2"/>
      <c r="F54" s="2"/>
      <c r="G54" s="2"/>
    </row>
    <row r="55" spans="2:7" x14ac:dyDescent="0.25">
      <c r="B55" s="4">
        <v>45871</v>
      </c>
      <c r="C55" s="2"/>
      <c r="D55" s="2"/>
      <c r="E55" s="2"/>
      <c r="F55" s="2"/>
      <c r="G55" s="2"/>
    </row>
    <row r="56" spans="2:7" x14ac:dyDescent="0.25">
      <c r="B56" s="4">
        <v>45872</v>
      </c>
      <c r="C56" s="2"/>
      <c r="D56" s="2"/>
      <c r="E56" s="2"/>
      <c r="F56" s="2"/>
      <c r="G56" s="2"/>
    </row>
    <row r="57" spans="2:7" x14ac:dyDescent="0.25">
      <c r="B57" s="4">
        <v>45873</v>
      </c>
      <c r="C57" s="2"/>
      <c r="D57" s="2"/>
      <c r="E57" s="2"/>
      <c r="F57" s="2"/>
      <c r="G57" s="2"/>
    </row>
    <row r="58" spans="2:7" x14ac:dyDescent="0.25">
      <c r="B58" s="4">
        <v>45874</v>
      </c>
      <c r="C58" s="2" t="s">
        <v>4902</v>
      </c>
      <c r="D58" s="2"/>
      <c r="E58" s="2"/>
      <c r="F58" s="2"/>
      <c r="G58" s="2"/>
    </row>
    <row r="59" spans="2:7" x14ac:dyDescent="0.25">
      <c r="B59" s="4">
        <v>45875</v>
      </c>
      <c r="C59" s="2" t="s">
        <v>4903</v>
      </c>
      <c r="D59" s="2"/>
      <c r="E59" s="23"/>
      <c r="F59" s="2"/>
      <c r="G59" s="2"/>
    </row>
    <row r="60" spans="2:7" x14ac:dyDescent="0.25">
      <c r="B60" s="4">
        <v>45876</v>
      </c>
      <c r="C60" s="2" t="s">
        <v>4904</v>
      </c>
      <c r="D60" s="2"/>
      <c r="E60" s="23"/>
      <c r="F60" s="2"/>
      <c r="G60" s="2"/>
    </row>
    <row r="61" spans="2:7" x14ac:dyDescent="0.25">
      <c r="B61" s="4">
        <v>45877</v>
      </c>
      <c r="C61" s="2" t="s">
        <v>4930</v>
      </c>
      <c r="D61" s="2" t="s">
        <v>4939</v>
      </c>
      <c r="E61" s="23"/>
      <c r="F61" s="2"/>
      <c r="G61" s="2"/>
    </row>
    <row r="62" spans="2:7" x14ac:dyDescent="0.25">
      <c r="B62" s="4">
        <v>45878</v>
      </c>
      <c r="C62" s="2"/>
      <c r="D62" s="2"/>
      <c r="E62" s="23"/>
      <c r="F62" s="2"/>
      <c r="G62" s="2"/>
    </row>
    <row r="63" spans="2:7" x14ac:dyDescent="0.25">
      <c r="B63" s="4">
        <v>45879</v>
      </c>
      <c r="C63" s="2"/>
      <c r="D63" s="2"/>
      <c r="E63" s="23"/>
      <c r="F63" s="2"/>
      <c r="G63" s="2"/>
    </row>
    <row r="64" spans="2:7" x14ac:dyDescent="0.25">
      <c r="B64" s="4">
        <v>45880</v>
      </c>
      <c r="C64" s="2"/>
      <c r="D64" s="2"/>
      <c r="E64" s="23"/>
      <c r="F64" s="2"/>
      <c r="G64" s="2"/>
    </row>
    <row r="65" spans="2:7" x14ac:dyDescent="0.25">
      <c r="B65" s="4">
        <v>45881</v>
      </c>
      <c r="C65" s="2"/>
      <c r="D65" s="2"/>
      <c r="E65" s="23"/>
      <c r="F65" s="2"/>
      <c r="G65" s="2"/>
    </row>
    <row r="66" spans="2:7" x14ac:dyDescent="0.25">
      <c r="B66" s="4">
        <v>45882</v>
      </c>
      <c r="C66" s="2"/>
      <c r="D66" s="2"/>
      <c r="E66" s="23"/>
      <c r="F66" s="2"/>
      <c r="G66" s="2"/>
    </row>
    <row r="67" spans="2:7" x14ac:dyDescent="0.25">
      <c r="B67" s="4">
        <v>45883</v>
      </c>
      <c r="C67" s="2"/>
      <c r="D67" s="2"/>
      <c r="E67" s="2"/>
      <c r="F67" s="2"/>
      <c r="G67" s="2"/>
    </row>
    <row r="68" spans="2:7" x14ac:dyDescent="0.25">
      <c r="B68" s="4">
        <v>45884</v>
      </c>
      <c r="C68" s="2" t="s">
        <v>5641</v>
      </c>
      <c r="D68" s="2"/>
      <c r="E68" s="2"/>
      <c r="F68" s="2"/>
      <c r="G68" s="2"/>
    </row>
    <row r="69" spans="2:7" x14ac:dyDescent="0.25">
      <c r="B69" s="4">
        <v>45885</v>
      </c>
      <c r="C69" s="2"/>
      <c r="D69" s="2"/>
      <c r="E69" s="2"/>
      <c r="F69" s="2"/>
      <c r="G69" s="2"/>
    </row>
    <row r="70" spans="2:7" x14ac:dyDescent="0.25">
      <c r="B70" s="4">
        <v>45886</v>
      </c>
      <c r="C70" s="2"/>
      <c r="D70" s="2"/>
      <c r="E70" s="2"/>
      <c r="F70" s="2"/>
      <c r="G70" s="2"/>
    </row>
    <row r="71" spans="2:7" x14ac:dyDescent="0.25">
      <c r="B71" s="4">
        <v>45887</v>
      </c>
      <c r="C71" s="2" t="s">
        <v>5045</v>
      </c>
      <c r="D71" s="2"/>
      <c r="E71" s="23"/>
      <c r="F71" s="2"/>
      <c r="G71" s="2"/>
    </row>
    <row r="72" spans="2:7" x14ac:dyDescent="0.25">
      <c r="B72" s="4">
        <v>45888</v>
      </c>
      <c r="C72" s="2"/>
      <c r="D72" s="2"/>
      <c r="E72" s="23"/>
      <c r="F72" s="2"/>
      <c r="G72" s="2"/>
    </row>
    <row r="73" spans="2:7" x14ac:dyDescent="0.25">
      <c r="B73" s="4">
        <v>45889</v>
      </c>
      <c r="C73" s="2"/>
      <c r="D73" s="2"/>
      <c r="E73" s="23"/>
      <c r="F73" s="2"/>
      <c r="G73" s="2"/>
    </row>
    <row r="74" spans="2:7" x14ac:dyDescent="0.25">
      <c r="B74" s="4">
        <v>45890</v>
      </c>
      <c r="C74" s="2"/>
      <c r="D74" s="2"/>
      <c r="E74" s="23"/>
      <c r="F74" s="2"/>
      <c r="G74" s="2"/>
    </row>
    <row r="75" spans="2:7" x14ac:dyDescent="0.25">
      <c r="B75" s="4">
        <v>45891</v>
      </c>
      <c r="C75" s="2"/>
      <c r="D75" s="2"/>
      <c r="E75" s="23"/>
      <c r="F75" s="2"/>
      <c r="G75" s="2"/>
    </row>
    <row r="76" spans="2:7" x14ac:dyDescent="0.25">
      <c r="B76" s="4">
        <v>45892</v>
      </c>
      <c r="C76" s="2"/>
      <c r="D76" s="2"/>
      <c r="E76" s="23"/>
      <c r="F76" s="2"/>
      <c r="G76" s="2"/>
    </row>
    <row r="77" spans="2:7" x14ac:dyDescent="0.25">
      <c r="B77" s="4">
        <v>45893</v>
      </c>
      <c r="C77" s="2"/>
      <c r="D77" s="2"/>
      <c r="E77" s="2"/>
      <c r="F77" s="2"/>
      <c r="G77" s="2"/>
    </row>
    <row r="78" spans="2:7" x14ac:dyDescent="0.25">
      <c r="B78" s="4">
        <v>45894</v>
      </c>
      <c r="C78" s="2"/>
      <c r="D78" s="2"/>
      <c r="E78" s="2"/>
      <c r="F78" s="2"/>
      <c r="G78" s="2"/>
    </row>
    <row r="79" spans="2:7" x14ac:dyDescent="0.25">
      <c r="B79" s="4">
        <v>45895</v>
      </c>
      <c r="C79" s="2"/>
      <c r="D79" s="2"/>
      <c r="E79" s="2"/>
      <c r="F79" s="2"/>
      <c r="G79" s="2"/>
    </row>
    <row r="80" spans="2:7" x14ac:dyDescent="0.25">
      <c r="B80" s="4">
        <v>45896</v>
      </c>
      <c r="C80" s="2"/>
      <c r="D80" s="2"/>
      <c r="E80" s="2"/>
      <c r="F80" s="2"/>
      <c r="G80" s="2"/>
    </row>
    <row r="81" spans="2:7" x14ac:dyDescent="0.25">
      <c r="B81" s="4">
        <v>45897</v>
      </c>
      <c r="C81" s="2" t="s">
        <v>5196</v>
      </c>
      <c r="D81" s="2"/>
      <c r="E81" s="2"/>
      <c r="F81" s="2"/>
      <c r="G81" s="2"/>
    </row>
    <row r="82" spans="2:7" x14ac:dyDescent="0.25">
      <c r="B82" s="4">
        <v>45898</v>
      </c>
      <c r="C82" s="2"/>
      <c r="D82" s="2"/>
      <c r="E82" s="2"/>
      <c r="F82" s="2"/>
      <c r="G82" s="2"/>
    </row>
    <row r="83" spans="2:7" x14ac:dyDescent="0.25">
      <c r="B83" s="4">
        <v>45899</v>
      </c>
      <c r="C83" s="2"/>
      <c r="D83" s="2"/>
      <c r="E83" s="2"/>
      <c r="F83" s="2"/>
      <c r="G83" s="2"/>
    </row>
    <row r="84" spans="2:7" x14ac:dyDescent="0.25">
      <c r="B84" s="4">
        <v>45900</v>
      </c>
      <c r="C84" s="2" t="s">
        <v>5231</v>
      </c>
      <c r="D84" s="2"/>
      <c r="E84" s="2"/>
      <c r="F84" s="2"/>
      <c r="G84" s="2"/>
    </row>
    <row r="85" spans="2:7" x14ac:dyDescent="0.25">
      <c r="B85" s="4">
        <v>45901</v>
      </c>
      <c r="C85" s="2" t="s">
        <v>5243</v>
      </c>
      <c r="D85" s="2" t="s">
        <v>5244</v>
      </c>
      <c r="E85" s="2"/>
      <c r="F85" s="2"/>
      <c r="G85" s="2"/>
    </row>
    <row r="86" spans="2:7" x14ac:dyDescent="0.25">
      <c r="B86" s="4">
        <v>45902</v>
      </c>
      <c r="C86" s="2"/>
      <c r="D86" s="2"/>
      <c r="E86" s="2"/>
      <c r="F86" s="2">
        <f>E86-E85</f>
        <v>0</v>
      </c>
      <c r="G86" s="2"/>
    </row>
    <row r="87" spans="2:7" x14ac:dyDescent="0.25">
      <c r="B87" s="4">
        <v>45903</v>
      </c>
      <c r="C87" s="2"/>
      <c r="D87" s="2"/>
      <c r="E87" s="2"/>
      <c r="F87" s="2">
        <f t="shared" ref="F87:F93" si="1">E87-E86</f>
        <v>0</v>
      </c>
      <c r="G87" s="2"/>
    </row>
    <row r="88" spans="2:7" x14ac:dyDescent="0.25">
      <c r="B88" s="4">
        <v>45904</v>
      </c>
      <c r="C88" s="2"/>
      <c r="D88" s="2"/>
      <c r="E88" s="2"/>
      <c r="F88" s="2">
        <f t="shared" si="1"/>
        <v>0</v>
      </c>
      <c r="G88" s="2"/>
    </row>
    <row r="89" spans="2:7" x14ac:dyDescent="0.25">
      <c r="B89" s="4">
        <v>45905</v>
      </c>
      <c r="C89" s="2" t="s">
        <v>5289</v>
      </c>
      <c r="D89" s="2"/>
      <c r="E89" s="2"/>
      <c r="F89" s="2">
        <f t="shared" si="1"/>
        <v>0</v>
      </c>
      <c r="G89" s="2"/>
    </row>
    <row r="90" spans="2:7" x14ac:dyDescent="0.25">
      <c r="B90" s="4">
        <v>45906</v>
      </c>
      <c r="C90" s="2"/>
      <c r="D90" s="2"/>
      <c r="E90" s="2"/>
      <c r="F90" s="2">
        <f t="shared" si="1"/>
        <v>0</v>
      </c>
      <c r="G90" s="2"/>
    </row>
    <row r="91" spans="2:7" x14ac:dyDescent="0.25">
      <c r="B91" s="4">
        <v>45907</v>
      </c>
      <c r="C91" s="2"/>
      <c r="D91" s="2"/>
      <c r="E91" s="2"/>
      <c r="F91" s="2">
        <f t="shared" si="1"/>
        <v>0</v>
      </c>
      <c r="G91" s="2"/>
    </row>
    <row r="92" spans="2:7" x14ac:dyDescent="0.25">
      <c r="B92" s="4">
        <v>45908</v>
      </c>
      <c r="C92" s="2"/>
      <c r="D92" s="2"/>
      <c r="E92" s="2"/>
      <c r="F92" s="2">
        <f t="shared" si="1"/>
        <v>0</v>
      </c>
      <c r="G92" s="2"/>
    </row>
    <row r="93" spans="2:7" x14ac:dyDescent="0.25">
      <c r="B93" s="4">
        <v>45909</v>
      </c>
      <c r="C93" s="2"/>
      <c r="D93" s="2"/>
      <c r="E93" s="2"/>
      <c r="F93" s="2">
        <f t="shared" si="1"/>
        <v>0</v>
      </c>
      <c r="G93" s="2"/>
    </row>
    <row r="94" spans="2:7" x14ac:dyDescent="0.25">
      <c r="B94" s="4">
        <v>45910</v>
      </c>
      <c r="C94" s="2"/>
      <c r="D94" s="2"/>
      <c r="E94" s="2"/>
      <c r="F94" s="2"/>
      <c r="G94" s="2"/>
    </row>
    <row r="95" spans="2:7" x14ac:dyDescent="0.25">
      <c r="B95" s="4">
        <v>45911</v>
      </c>
      <c r="C95" s="2"/>
      <c r="D95" s="2"/>
      <c r="E95" s="2"/>
      <c r="F95" s="2"/>
      <c r="G95" s="2"/>
    </row>
    <row r="96" spans="2:7" x14ac:dyDescent="0.25">
      <c r="B96" s="4">
        <v>45912</v>
      </c>
      <c r="C96" s="2"/>
      <c r="D96" s="2"/>
      <c r="E96" s="2"/>
      <c r="F96" s="2"/>
      <c r="G96" s="2"/>
    </row>
    <row r="97" spans="2:7" x14ac:dyDescent="0.25">
      <c r="B97" s="4">
        <v>45913</v>
      </c>
      <c r="C97" s="2"/>
      <c r="D97" s="2"/>
      <c r="E97" s="2"/>
      <c r="F97" s="2"/>
      <c r="G97" s="2"/>
    </row>
    <row r="98" spans="2:7" x14ac:dyDescent="0.25">
      <c r="B98" s="4">
        <v>45914</v>
      </c>
      <c r="C98" s="2"/>
      <c r="D98" s="2"/>
      <c r="E98" s="2"/>
      <c r="F98" s="2"/>
      <c r="G98" s="2"/>
    </row>
    <row r="99" spans="2:7" x14ac:dyDescent="0.25">
      <c r="B99" s="4">
        <v>45915</v>
      </c>
      <c r="C99" s="2"/>
      <c r="D99" s="2"/>
      <c r="E99" s="2"/>
      <c r="F99" s="2"/>
      <c r="G99" s="2"/>
    </row>
    <row r="100" spans="2:7" x14ac:dyDescent="0.25">
      <c r="B100" s="4">
        <v>45916</v>
      </c>
      <c r="C100" s="2"/>
      <c r="D100" s="2"/>
      <c r="E100" s="2"/>
      <c r="F100" s="2"/>
      <c r="G100" s="2"/>
    </row>
    <row r="101" spans="2:7" x14ac:dyDescent="0.25">
      <c r="B101" s="4">
        <v>45917</v>
      </c>
      <c r="C101" s="2"/>
      <c r="D101" s="2"/>
      <c r="E101" s="2"/>
      <c r="F101" s="2"/>
      <c r="G101" s="2"/>
    </row>
    <row r="102" spans="2:7" x14ac:dyDescent="0.25">
      <c r="B102" s="4">
        <v>45918</v>
      </c>
      <c r="C102" s="2"/>
      <c r="D102" s="2"/>
      <c r="E102" s="2"/>
      <c r="F102" s="2"/>
      <c r="G102" s="2"/>
    </row>
    <row r="103" spans="2:7" x14ac:dyDescent="0.25">
      <c r="B103" s="4">
        <v>45919</v>
      </c>
      <c r="C103" s="2"/>
      <c r="D103" s="2"/>
      <c r="E103" s="2"/>
      <c r="F103" s="2"/>
      <c r="G103" s="2"/>
    </row>
    <row r="104" spans="2:7" x14ac:dyDescent="0.25">
      <c r="B104" s="4">
        <v>45920</v>
      </c>
      <c r="C104" s="2" t="s">
        <v>5422</v>
      </c>
      <c r="D104" s="2"/>
      <c r="E104" s="2"/>
      <c r="F104" s="2"/>
      <c r="G104" s="2"/>
    </row>
    <row r="105" spans="2:7" x14ac:dyDescent="0.25">
      <c r="B105" s="4">
        <v>45921</v>
      </c>
      <c r="C105" s="2"/>
      <c r="D105" s="2"/>
      <c r="E105" s="2"/>
      <c r="F105" s="2"/>
      <c r="G105" s="2"/>
    </row>
    <row r="106" spans="2:7" x14ac:dyDescent="0.25">
      <c r="B106" s="4">
        <v>45922</v>
      </c>
      <c r="C106" s="2" t="s">
        <v>1528</v>
      </c>
      <c r="D106" s="2" t="s">
        <v>5438</v>
      </c>
      <c r="E106" s="2"/>
      <c r="F106" s="2"/>
      <c r="G106" s="2"/>
    </row>
    <row r="107" spans="2:7" x14ac:dyDescent="0.25">
      <c r="B107" s="4">
        <v>45923</v>
      </c>
      <c r="C107" s="2"/>
      <c r="D107" s="2"/>
      <c r="E107" s="2"/>
      <c r="F107" s="2"/>
      <c r="G107" s="2"/>
    </row>
    <row r="108" spans="2:7" x14ac:dyDescent="0.25">
      <c r="B108" s="4">
        <v>45924</v>
      </c>
      <c r="C108" s="2" t="s">
        <v>1528</v>
      </c>
      <c r="D108" s="2"/>
      <c r="E108" s="2"/>
      <c r="F108" s="2"/>
      <c r="G108" s="2"/>
    </row>
    <row r="109" spans="2:7" x14ac:dyDescent="0.25">
      <c r="B109" s="4">
        <v>45925</v>
      </c>
      <c r="C109" s="2" t="s">
        <v>5468</v>
      </c>
      <c r="D109" s="2" t="s">
        <v>5470</v>
      </c>
      <c r="E109" s="2"/>
      <c r="F109" s="2"/>
      <c r="G109" s="2"/>
    </row>
    <row r="110" spans="2:7" x14ac:dyDescent="0.25">
      <c r="B110" s="4">
        <v>45926</v>
      </c>
      <c r="C110" s="2" t="s">
        <v>5478</v>
      </c>
      <c r="D110" s="2"/>
      <c r="E110" s="2"/>
      <c r="F110" s="2"/>
      <c r="G110" s="2"/>
    </row>
    <row r="111" spans="2:7" x14ac:dyDescent="0.25">
      <c r="B111" s="4">
        <v>45927</v>
      </c>
      <c r="C111" s="2" t="s">
        <v>5490</v>
      </c>
      <c r="D111" s="2"/>
      <c r="E111" s="2"/>
      <c r="F111" s="2"/>
      <c r="G111" s="2"/>
    </row>
    <row r="112" spans="2:7" x14ac:dyDescent="0.25">
      <c r="B112" s="4">
        <v>45928</v>
      </c>
      <c r="C112" s="2" t="s">
        <v>5492</v>
      </c>
      <c r="D112" s="2" t="s">
        <v>5500</v>
      </c>
      <c r="E112" s="2"/>
      <c r="F112" s="2"/>
      <c r="G112" s="2"/>
    </row>
    <row r="113" spans="2:7" x14ac:dyDescent="0.25">
      <c r="B113" s="4">
        <v>45929</v>
      </c>
      <c r="C113" s="2"/>
      <c r="D113" s="2"/>
      <c r="E113" s="2"/>
      <c r="F113" s="2"/>
      <c r="G113" s="2"/>
    </row>
    <row r="114" spans="2:7" x14ac:dyDescent="0.25">
      <c r="B114" s="4">
        <v>45930</v>
      </c>
      <c r="C114" s="2"/>
      <c r="D114" s="2"/>
      <c r="E114" s="2"/>
      <c r="F114" s="2"/>
      <c r="G114" s="2"/>
    </row>
    <row r="115" spans="2:7" x14ac:dyDescent="0.25">
      <c r="B115" s="4">
        <v>45931</v>
      </c>
      <c r="C115" s="2"/>
      <c r="D115" s="2"/>
      <c r="E115" s="2"/>
      <c r="F115" s="2"/>
      <c r="G115" s="2"/>
    </row>
    <row r="116" spans="2:7" x14ac:dyDescent="0.25">
      <c r="B116" s="4">
        <v>45932</v>
      </c>
      <c r="C116" s="2"/>
      <c r="D116" s="2" t="s">
        <v>3570</v>
      </c>
      <c r="E116" s="2"/>
      <c r="F116" s="2"/>
      <c r="G116" s="2"/>
    </row>
    <row r="117" spans="2:7" x14ac:dyDescent="0.25">
      <c r="B117" s="4">
        <v>45933</v>
      </c>
      <c r="C117" s="2" t="s">
        <v>5551</v>
      </c>
      <c r="D117" s="2"/>
      <c r="E117" s="2"/>
      <c r="F117" s="2"/>
      <c r="G117" s="2"/>
    </row>
    <row r="118" spans="2:7" x14ac:dyDescent="0.25">
      <c r="B118" s="4">
        <v>45934</v>
      </c>
      <c r="C118" s="2"/>
      <c r="D118" s="2"/>
      <c r="E118" s="2"/>
      <c r="F118" s="2"/>
      <c r="G118" s="2"/>
    </row>
    <row r="119" spans="2:7" x14ac:dyDescent="0.25">
      <c r="B119" s="4">
        <v>45935</v>
      </c>
      <c r="C119" s="2"/>
      <c r="D119" s="2"/>
      <c r="E119" s="2"/>
      <c r="F119" s="2"/>
      <c r="G119" s="2"/>
    </row>
    <row r="120" spans="2:7" x14ac:dyDescent="0.25">
      <c r="B120" s="4">
        <v>45936</v>
      </c>
      <c r="C120" s="2"/>
      <c r="D120" s="2"/>
      <c r="E120" s="2"/>
      <c r="F120" s="2"/>
      <c r="G120" s="2"/>
    </row>
    <row r="121" spans="2:7" x14ac:dyDescent="0.25">
      <c r="B121" s="4">
        <v>45937</v>
      </c>
      <c r="C121" s="2"/>
      <c r="D121" s="2"/>
      <c r="E121" s="2"/>
      <c r="F121" s="2"/>
      <c r="G121" s="2"/>
    </row>
    <row r="122" spans="2:7" x14ac:dyDescent="0.25">
      <c r="B122" s="4">
        <v>45938</v>
      </c>
      <c r="C122" s="2"/>
      <c r="D122" s="2"/>
      <c r="E122" s="2"/>
      <c r="F122" s="2"/>
      <c r="G122" s="2"/>
    </row>
    <row r="123" spans="2:7" x14ac:dyDescent="0.25">
      <c r="B123" s="4">
        <v>45939</v>
      </c>
      <c r="C123" s="2"/>
      <c r="D123" s="2"/>
      <c r="E123" s="2"/>
      <c r="F123" s="2"/>
      <c r="G123" s="2"/>
    </row>
    <row r="124" spans="2:7" x14ac:dyDescent="0.25">
      <c r="B124" s="4">
        <v>45940</v>
      </c>
      <c r="C124" s="2"/>
      <c r="D124" s="2"/>
      <c r="E124" s="2"/>
      <c r="F124" s="2"/>
      <c r="G124" s="2"/>
    </row>
    <row r="125" spans="2:7" x14ac:dyDescent="0.25">
      <c r="B125" s="4">
        <v>45941</v>
      </c>
      <c r="C125" s="2"/>
      <c r="D125" s="2"/>
      <c r="E125" s="2"/>
      <c r="F125" s="2"/>
      <c r="G125" s="2"/>
    </row>
    <row r="126" spans="2:7" x14ac:dyDescent="0.25">
      <c r="B126" s="4">
        <v>45942</v>
      </c>
      <c r="C126" s="2"/>
      <c r="D126" s="2"/>
      <c r="E126" s="2"/>
      <c r="F126" s="2"/>
      <c r="G126" s="2"/>
    </row>
    <row r="127" spans="2:7" x14ac:dyDescent="0.25">
      <c r="B127" s="4">
        <v>45943</v>
      </c>
      <c r="C127" s="2"/>
      <c r="D127" s="2"/>
      <c r="E127" s="2"/>
      <c r="F127" s="2"/>
      <c r="G127" s="2"/>
    </row>
    <row r="128" spans="2:7" x14ac:dyDescent="0.25">
      <c r="B128" s="4">
        <v>45944</v>
      </c>
      <c r="C128" s="2"/>
      <c r="D128" s="2"/>
      <c r="E128" s="2"/>
      <c r="F128" s="2"/>
      <c r="G128" s="2"/>
    </row>
    <row r="129" spans="2:7" x14ac:dyDescent="0.25">
      <c r="B129" s="4">
        <v>45945</v>
      </c>
      <c r="C129" s="2" t="s">
        <v>5641</v>
      </c>
      <c r="D129" s="2"/>
      <c r="E129" s="2"/>
      <c r="F129" s="2"/>
      <c r="G129" s="2"/>
    </row>
    <row r="130" spans="2:7" x14ac:dyDescent="0.25">
      <c r="B130" s="4">
        <v>45946</v>
      </c>
      <c r="C130" s="2" t="s">
        <v>5651</v>
      </c>
      <c r="D130" s="2"/>
      <c r="E130" s="2"/>
      <c r="F130" s="2"/>
      <c r="G130" s="2"/>
    </row>
    <row r="131" spans="2:7" x14ac:dyDescent="0.25">
      <c r="B131" s="4">
        <v>45947</v>
      </c>
      <c r="C131" s="2" t="s">
        <v>5661</v>
      </c>
      <c r="D131" s="2"/>
      <c r="E131" s="2"/>
      <c r="F131" s="2"/>
      <c r="G131" s="2"/>
    </row>
    <row r="132" spans="2:7" x14ac:dyDescent="0.25">
      <c r="B132" s="4">
        <v>45948</v>
      </c>
      <c r="C132" s="2" t="s">
        <v>5668</v>
      </c>
      <c r="D132" s="2"/>
      <c r="E132" s="2"/>
      <c r="F132" s="2"/>
      <c r="G132" s="2"/>
    </row>
    <row r="133" spans="2:7" x14ac:dyDescent="0.25">
      <c r="B133" s="4">
        <v>45949</v>
      </c>
      <c r="C133" s="2" t="s">
        <v>5669</v>
      </c>
      <c r="D133" s="2"/>
      <c r="E133" s="2"/>
      <c r="F133" s="2"/>
      <c r="G133" s="2"/>
    </row>
    <row r="134" spans="2:7" x14ac:dyDescent="0.25">
      <c r="B134" s="4">
        <v>45950</v>
      </c>
      <c r="C134" s="2" t="s">
        <v>5687</v>
      </c>
      <c r="D134" s="2"/>
      <c r="E134" s="2"/>
      <c r="F134" s="2"/>
      <c r="G134" s="2"/>
    </row>
    <row r="135" spans="2:7" x14ac:dyDescent="0.25">
      <c r="B135" s="4">
        <v>45951</v>
      </c>
      <c r="C135" s="2" t="s">
        <v>5694</v>
      </c>
      <c r="D135" s="2"/>
      <c r="E135" s="2"/>
      <c r="F135" s="2"/>
      <c r="G135" s="2"/>
    </row>
    <row r="136" spans="2:7" x14ac:dyDescent="0.25">
      <c r="B136" s="4">
        <v>45952</v>
      </c>
      <c r="C136" s="2" t="s">
        <v>5706</v>
      </c>
      <c r="D136" s="2"/>
      <c r="E136" s="2"/>
      <c r="F136" s="2"/>
      <c r="G136" s="2"/>
    </row>
    <row r="137" spans="2:7" x14ac:dyDescent="0.25">
      <c r="B137" s="4">
        <v>45953</v>
      </c>
      <c r="C137" s="2" t="s">
        <v>5710</v>
      </c>
      <c r="D137" s="2"/>
      <c r="E137" s="2"/>
      <c r="F137" s="2"/>
      <c r="G137" s="2"/>
    </row>
    <row r="138" spans="2:7" x14ac:dyDescent="0.25">
      <c r="B138" s="4">
        <v>45954</v>
      </c>
      <c r="C138" s="2" t="s">
        <v>5717</v>
      </c>
      <c r="D138" s="2"/>
      <c r="E138" s="2"/>
      <c r="F138" s="2"/>
      <c r="G138" s="2"/>
    </row>
    <row r="139" spans="2:7" x14ac:dyDescent="0.25">
      <c r="B139" s="4">
        <v>45955</v>
      </c>
      <c r="C139" s="2" t="s">
        <v>5730</v>
      </c>
      <c r="D139" s="2"/>
      <c r="E139" s="2"/>
      <c r="F139" s="2"/>
      <c r="G139" s="2"/>
    </row>
    <row r="140" spans="2:7" x14ac:dyDescent="0.25">
      <c r="B140" s="4">
        <v>45956</v>
      </c>
      <c r="C140" s="2" t="s">
        <v>5752</v>
      </c>
      <c r="D140" s="2"/>
      <c r="E140" s="2"/>
      <c r="F140" s="2"/>
      <c r="G140" s="2"/>
    </row>
    <row r="141" spans="2:7" x14ac:dyDescent="0.25">
      <c r="B141" s="4">
        <v>45957</v>
      </c>
      <c r="C141" s="2" t="s">
        <v>5752</v>
      </c>
      <c r="D141" s="2"/>
      <c r="E141" s="2"/>
      <c r="F141" s="2"/>
      <c r="G141" s="2"/>
    </row>
    <row r="142" spans="2:7" x14ac:dyDescent="0.25">
      <c r="B142" s="4">
        <v>45958</v>
      </c>
      <c r="C142" s="2" t="s">
        <v>5730</v>
      </c>
      <c r="D142" s="2"/>
      <c r="E142" s="2"/>
      <c r="F142" s="2"/>
      <c r="G142" s="2"/>
    </row>
    <row r="143" spans="2:7" x14ac:dyDescent="0.25">
      <c r="B143" s="4">
        <v>45959</v>
      </c>
      <c r="C143" s="2" t="s">
        <v>5753</v>
      </c>
      <c r="D143" s="2"/>
      <c r="E143" s="2"/>
      <c r="F143" s="2"/>
      <c r="G143" s="2"/>
    </row>
    <row r="144" spans="2:7" x14ac:dyDescent="0.25">
      <c r="B144" s="4">
        <v>45960</v>
      </c>
      <c r="C144" s="2" t="s">
        <v>5753</v>
      </c>
      <c r="D144" s="2"/>
      <c r="E144" s="2"/>
      <c r="F144" s="2"/>
      <c r="G144" s="2"/>
    </row>
    <row r="145" spans="2:7" x14ac:dyDescent="0.25">
      <c r="B145" s="4">
        <v>45961</v>
      </c>
      <c r="C145" s="2" t="s">
        <v>5770</v>
      </c>
      <c r="D145" s="2"/>
      <c r="E145" s="2"/>
      <c r="F145" s="2"/>
      <c r="G145" s="2"/>
    </row>
    <row r="146" spans="2:7" x14ac:dyDescent="0.25">
      <c r="B146" s="4">
        <v>45962</v>
      </c>
      <c r="C146" s="2" t="s">
        <v>5777</v>
      </c>
      <c r="D146" s="2"/>
      <c r="E146" s="2"/>
      <c r="F146" s="2"/>
      <c r="G146" s="2"/>
    </row>
    <row r="147" spans="2:7" x14ac:dyDescent="0.25">
      <c r="B147" s="4">
        <v>45963</v>
      </c>
      <c r="C147" s="2" t="s">
        <v>5776</v>
      </c>
      <c r="D147" s="2"/>
      <c r="E147" s="2"/>
      <c r="F147" s="2"/>
      <c r="G147" s="2"/>
    </row>
    <row r="148" spans="2:7" x14ac:dyDescent="0.25">
      <c r="B148" s="4">
        <v>45964</v>
      </c>
      <c r="C148" s="2" t="s">
        <v>5787</v>
      </c>
      <c r="D148" s="2"/>
      <c r="E148" s="2"/>
      <c r="F148" s="2"/>
      <c r="G148" s="2"/>
    </row>
    <row r="149" spans="2:7" x14ac:dyDescent="0.25">
      <c r="B149" s="4">
        <v>45965</v>
      </c>
      <c r="C149" s="2" t="s">
        <v>5799</v>
      </c>
      <c r="D149" s="2"/>
      <c r="E149" s="2"/>
      <c r="F149" s="2"/>
      <c r="G149" s="2"/>
    </row>
    <row r="150" spans="2:7" x14ac:dyDescent="0.25">
      <c r="B150" s="4">
        <v>45966</v>
      </c>
      <c r="C150" s="2" t="s">
        <v>5806</v>
      </c>
      <c r="D150" s="2"/>
      <c r="E150" s="2"/>
      <c r="F150" s="2"/>
      <c r="G150" s="2"/>
    </row>
    <row r="151" spans="2:7" x14ac:dyDescent="0.25">
      <c r="B151" s="4">
        <v>45967</v>
      </c>
      <c r="C151" s="2" t="s">
        <v>5819</v>
      </c>
      <c r="D151" s="2"/>
      <c r="E151" s="2"/>
      <c r="F151" s="2"/>
      <c r="G151" s="2"/>
    </row>
    <row r="152" spans="2:7" x14ac:dyDescent="0.25">
      <c r="B152" s="4">
        <v>45968</v>
      </c>
      <c r="C152" s="2" t="s">
        <v>5819</v>
      </c>
      <c r="D152" s="2"/>
      <c r="E152" s="2"/>
      <c r="F152" s="2"/>
      <c r="G152" s="2"/>
    </row>
    <row r="153" spans="2:7" x14ac:dyDescent="0.25">
      <c r="B153" s="4">
        <v>45969</v>
      </c>
      <c r="C153" s="2" t="s">
        <v>5819</v>
      </c>
      <c r="D153" s="2"/>
      <c r="E153" s="2"/>
      <c r="F153" s="2"/>
      <c r="G153" s="2"/>
    </row>
    <row r="154" spans="2:7" x14ac:dyDescent="0.25">
      <c r="B154" s="4">
        <v>45970</v>
      </c>
      <c r="C154" s="2" t="s">
        <v>5819</v>
      </c>
      <c r="D154" s="2"/>
      <c r="E154" s="2"/>
      <c r="F154" s="2"/>
      <c r="G154" s="2"/>
    </row>
    <row r="155" spans="2:7" x14ac:dyDescent="0.25">
      <c r="B155" s="4">
        <v>45971</v>
      </c>
      <c r="C155" s="2" t="s">
        <v>5819</v>
      </c>
      <c r="D155" s="2" t="s">
        <v>5837</v>
      </c>
      <c r="E155" s="2"/>
      <c r="F155" s="2"/>
      <c r="G155" s="2"/>
    </row>
    <row r="156" spans="2:7" x14ac:dyDescent="0.25">
      <c r="B156" s="4">
        <v>45972</v>
      </c>
      <c r="C156" s="2" t="s">
        <v>5819</v>
      </c>
      <c r="D156" s="2"/>
      <c r="E156" s="2"/>
      <c r="F156" s="2"/>
      <c r="G156" s="2"/>
    </row>
    <row r="157" spans="2:7" x14ac:dyDescent="0.25">
      <c r="B157" s="4">
        <v>45973</v>
      </c>
      <c r="C157" s="2" t="s">
        <v>5819</v>
      </c>
      <c r="D157" s="2"/>
      <c r="E157" s="2"/>
      <c r="F157" s="2"/>
      <c r="G157" s="2"/>
    </row>
    <row r="158" spans="2:7" x14ac:dyDescent="0.25">
      <c r="B158" s="4">
        <v>45974</v>
      </c>
      <c r="C158" s="2" t="s">
        <v>5819</v>
      </c>
      <c r="D158" s="2"/>
      <c r="E158" s="2"/>
      <c r="F158" s="2"/>
      <c r="G158" s="2"/>
    </row>
    <row r="159" spans="2:7" x14ac:dyDescent="0.25">
      <c r="B159" s="4">
        <v>45975</v>
      </c>
      <c r="C159" s="2" t="s">
        <v>5864</v>
      </c>
      <c r="D159" s="2"/>
      <c r="E159" s="2"/>
      <c r="F159" s="2"/>
      <c r="G159" s="2"/>
    </row>
    <row r="160" spans="2:7" x14ac:dyDescent="0.25">
      <c r="B160" s="4">
        <v>45976</v>
      </c>
      <c r="C160" s="2" t="s">
        <v>5874</v>
      </c>
      <c r="D160" s="2"/>
      <c r="E160" s="2"/>
      <c r="F160" s="2"/>
      <c r="G160" s="2"/>
    </row>
    <row r="161" spans="2:7" x14ac:dyDescent="0.25">
      <c r="B161" s="4">
        <v>45977</v>
      </c>
      <c r="C161" s="2" t="s">
        <v>5875</v>
      </c>
      <c r="D161" s="2"/>
      <c r="E161" s="2"/>
      <c r="F161" s="2"/>
      <c r="G161" s="2"/>
    </row>
    <row r="162" spans="2:7" x14ac:dyDescent="0.25">
      <c r="B162" s="4">
        <v>45978</v>
      </c>
      <c r="C162" s="2" t="s">
        <v>5899</v>
      </c>
      <c r="D162" s="2"/>
      <c r="E162" s="2"/>
      <c r="F162" s="2"/>
      <c r="G162" s="2"/>
    </row>
    <row r="163" spans="2:7" x14ac:dyDescent="0.25">
      <c r="B163" s="4">
        <v>45979</v>
      </c>
      <c r="C163" s="2" t="s">
        <v>5911</v>
      </c>
      <c r="D163" s="2"/>
      <c r="E163" s="2"/>
      <c r="F163" s="2"/>
      <c r="G163" s="2"/>
    </row>
    <row r="164" spans="2:7" x14ac:dyDescent="0.25">
      <c r="B164" s="4">
        <v>45980</v>
      </c>
      <c r="C164" s="2" t="s">
        <v>5911</v>
      </c>
      <c r="D164" s="2"/>
      <c r="E164" s="2"/>
      <c r="F164" s="2"/>
      <c r="G164" s="2"/>
    </row>
    <row r="165" spans="2:7" x14ac:dyDescent="0.25">
      <c r="B165" s="4">
        <v>45981</v>
      </c>
      <c r="C165" s="2" t="s">
        <v>5925</v>
      </c>
      <c r="D165" s="2"/>
      <c r="E165" s="2"/>
      <c r="F165" s="2"/>
      <c r="G165" s="2"/>
    </row>
    <row r="166" spans="2:7" x14ac:dyDescent="0.25">
      <c r="B166" s="4">
        <v>45982</v>
      </c>
      <c r="C166" s="2" t="s">
        <v>5936</v>
      </c>
      <c r="D166" s="2"/>
      <c r="E166" s="2"/>
      <c r="F166" s="2"/>
      <c r="G166" s="2"/>
    </row>
    <row r="167" spans="2:7" x14ac:dyDescent="0.25">
      <c r="B167" s="4">
        <v>45983</v>
      </c>
      <c r="C167" s="2" t="s">
        <v>5940</v>
      </c>
      <c r="D167" s="2"/>
      <c r="E167" s="2"/>
      <c r="F167" s="2"/>
      <c r="G167" s="2"/>
    </row>
    <row r="168" spans="2:7" x14ac:dyDescent="0.25">
      <c r="B168" s="4">
        <v>45984</v>
      </c>
      <c r="C168" s="2" t="s">
        <v>5947</v>
      </c>
      <c r="D168" s="2"/>
      <c r="E168" s="2"/>
      <c r="F168" s="2"/>
      <c r="G168" s="2"/>
    </row>
    <row r="169" spans="2:7" x14ac:dyDescent="0.25">
      <c r="B169" s="4">
        <v>45985</v>
      </c>
      <c r="C169" s="2" t="s">
        <v>5963</v>
      </c>
      <c r="D169" s="2"/>
      <c r="E169" s="2"/>
      <c r="F169" s="2"/>
      <c r="G169" s="2"/>
    </row>
    <row r="170" spans="2:7" x14ac:dyDescent="0.25">
      <c r="B170" s="4">
        <v>45986</v>
      </c>
      <c r="C170" s="2" t="s">
        <v>5963</v>
      </c>
      <c r="D170" s="2"/>
      <c r="E170" s="2"/>
      <c r="F170" s="2"/>
      <c r="G170" s="2"/>
    </row>
    <row r="171" spans="2:7" x14ac:dyDescent="0.25">
      <c r="B171" s="4">
        <v>45987</v>
      </c>
      <c r="C171" s="2" t="s">
        <v>5975</v>
      </c>
      <c r="D171" s="2"/>
      <c r="E171" s="2"/>
      <c r="F171" s="2"/>
      <c r="G171" s="2"/>
    </row>
    <row r="172" spans="2:7" x14ac:dyDescent="0.25">
      <c r="B172" s="4">
        <v>45988</v>
      </c>
      <c r="C172" s="2" t="s">
        <v>5985</v>
      </c>
      <c r="D172" s="2"/>
      <c r="E172" s="2"/>
      <c r="F172" s="2"/>
      <c r="G172" s="2"/>
    </row>
    <row r="173" spans="2:7" x14ac:dyDescent="0.25">
      <c r="B173" s="4">
        <v>45989</v>
      </c>
      <c r="C173" s="2" t="s">
        <v>5998</v>
      </c>
      <c r="D173" s="2"/>
      <c r="E173" s="2"/>
      <c r="F173" s="2"/>
      <c r="G173" s="2"/>
    </row>
    <row r="174" spans="2:7" x14ac:dyDescent="0.25">
      <c r="B174" s="4">
        <v>45990</v>
      </c>
      <c r="C174" s="2" t="s">
        <v>6015</v>
      </c>
      <c r="D174" s="2"/>
      <c r="E174" s="2"/>
      <c r="F174" s="2"/>
      <c r="G174" s="2"/>
    </row>
    <row r="175" spans="2:7" x14ac:dyDescent="0.25">
      <c r="B175" s="4">
        <v>45991</v>
      </c>
      <c r="C175" s="2" t="s">
        <v>6014</v>
      </c>
      <c r="D175" s="2"/>
      <c r="E175" s="2"/>
      <c r="F175" s="2"/>
      <c r="G175" s="2"/>
    </row>
    <row r="176" spans="2:7" x14ac:dyDescent="0.25">
      <c r="B176" s="4">
        <v>45992</v>
      </c>
      <c r="C176" s="2" t="s">
        <v>6023</v>
      </c>
      <c r="D176" s="2"/>
      <c r="E176" s="2"/>
      <c r="F176" s="2"/>
      <c r="G176" s="2"/>
    </row>
    <row r="177" spans="2:7" x14ac:dyDescent="0.25">
      <c r="B177" s="4">
        <v>45993</v>
      </c>
      <c r="C177" s="2" t="s">
        <v>6029</v>
      </c>
      <c r="D177" s="2"/>
      <c r="E177" s="2"/>
      <c r="F177" s="2"/>
      <c r="G177" s="2"/>
    </row>
    <row r="178" spans="2:7" x14ac:dyDescent="0.25">
      <c r="B178" s="4">
        <v>45994</v>
      </c>
      <c r="C178" s="2" t="s">
        <v>6039</v>
      </c>
      <c r="D178" s="2"/>
      <c r="E178" s="2"/>
      <c r="F178" s="2"/>
      <c r="G178" s="2"/>
    </row>
    <row r="179" spans="2:7" x14ac:dyDescent="0.25">
      <c r="B179" s="4">
        <v>45995</v>
      </c>
      <c r="C179" s="2" t="s">
        <v>6048</v>
      </c>
      <c r="D179" s="2"/>
      <c r="E179" s="2"/>
      <c r="F179" s="2"/>
      <c r="G179" s="2"/>
    </row>
    <row r="180" spans="2:7" x14ac:dyDescent="0.25">
      <c r="B180" s="4">
        <v>45996</v>
      </c>
      <c r="C180" s="2" t="s">
        <v>6048</v>
      </c>
      <c r="D180" s="2"/>
      <c r="E180" s="2"/>
      <c r="F180" s="2"/>
      <c r="G180" s="2"/>
    </row>
    <row r="181" spans="2:7" x14ac:dyDescent="0.25">
      <c r="B181" s="4">
        <v>45997</v>
      </c>
      <c r="C181" s="2"/>
      <c r="D181" s="2"/>
      <c r="E181" s="2"/>
      <c r="F181" s="2"/>
      <c r="G181" s="2"/>
    </row>
    <row r="182" spans="2:7" x14ac:dyDescent="0.25">
      <c r="B182" s="4">
        <v>45998</v>
      </c>
      <c r="C182" s="2" t="s">
        <v>6078</v>
      </c>
      <c r="D182" s="2"/>
      <c r="E182" s="2"/>
      <c r="F182" s="2"/>
      <c r="G182" s="2"/>
    </row>
    <row r="183" spans="2:7" x14ac:dyDescent="0.25">
      <c r="B183" s="4">
        <v>45999</v>
      </c>
      <c r="C183" s="2"/>
      <c r="D183" s="2"/>
      <c r="E183" s="2"/>
      <c r="F183" s="2"/>
      <c r="G183" s="2"/>
    </row>
    <row r="184" spans="2:7" x14ac:dyDescent="0.25">
      <c r="B184" s="4">
        <v>46000</v>
      </c>
      <c r="C184" s="2"/>
      <c r="D184" s="2"/>
      <c r="E184" s="2"/>
      <c r="F184" s="2"/>
      <c r="G184" s="2"/>
    </row>
    <row r="185" spans="2:7" x14ac:dyDescent="0.25">
      <c r="B185" s="4">
        <v>46001</v>
      </c>
      <c r="C185" s="2"/>
      <c r="D185" s="2"/>
      <c r="E185" s="2"/>
      <c r="F185" s="2"/>
      <c r="G185" s="2"/>
    </row>
    <row r="186" spans="2:7" x14ac:dyDescent="0.25">
      <c r="B186" s="4">
        <v>46002</v>
      </c>
      <c r="C186" s="2"/>
      <c r="D186" s="2"/>
      <c r="E186" s="2"/>
      <c r="F186" s="2"/>
      <c r="G186" s="2"/>
    </row>
    <row r="187" spans="2:7" x14ac:dyDescent="0.25">
      <c r="B187" s="4">
        <v>46003</v>
      </c>
      <c r="C187" s="2"/>
      <c r="D187" s="2"/>
      <c r="E187" s="2"/>
      <c r="F187" s="2"/>
      <c r="G187" s="2"/>
    </row>
    <row r="188" spans="2:7" x14ac:dyDescent="0.25">
      <c r="B188" s="4">
        <v>46004</v>
      </c>
      <c r="C188" s="2" t="s">
        <v>6111</v>
      </c>
      <c r="D188" s="2"/>
      <c r="E188" s="2"/>
      <c r="F188" s="2"/>
      <c r="G188" s="2"/>
    </row>
    <row r="189" spans="2:7" x14ac:dyDescent="0.25">
      <c r="B189" s="4">
        <v>46005</v>
      </c>
      <c r="C189" s="2"/>
      <c r="D189" s="2"/>
      <c r="E189" s="2"/>
      <c r="F189" s="2"/>
      <c r="G189" s="2"/>
    </row>
    <row r="190" spans="2:7" x14ac:dyDescent="0.25">
      <c r="B190" s="4">
        <v>46006</v>
      </c>
      <c r="C190" s="2"/>
      <c r="D190" s="2"/>
      <c r="E190" s="2"/>
      <c r="F190" s="2"/>
      <c r="G190" s="2"/>
    </row>
    <row r="191" spans="2:7" x14ac:dyDescent="0.25">
      <c r="B191" s="4">
        <v>46007</v>
      </c>
      <c r="C191" s="2"/>
      <c r="D191" s="2"/>
      <c r="E191" s="2"/>
      <c r="F191" s="2"/>
      <c r="G191" s="2"/>
    </row>
    <row r="192" spans="2:7" x14ac:dyDescent="0.25">
      <c r="B192" s="4">
        <v>46008</v>
      </c>
      <c r="C192" s="2"/>
      <c r="D192" s="2"/>
      <c r="E192" s="2"/>
      <c r="F192" s="2"/>
      <c r="G192" s="2"/>
    </row>
    <row r="193" spans="2:7" x14ac:dyDescent="0.25">
      <c r="B193" s="4">
        <v>46009</v>
      </c>
      <c r="C193" s="2"/>
      <c r="D193" s="2"/>
      <c r="E193" s="2"/>
      <c r="F193" s="2"/>
      <c r="G193" s="2"/>
    </row>
    <row r="194" spans="2:7" x14ac:dyDescent="0.25">
      <c r="B194" s="4">
        <v>46010</v>
      </c>
      <c r="C194" s="2"/>
      <c r="D194" s="2"/>
      <c r="E194" s="2"/>
      <c r="F194" s="2"/>
      <c r="G194" s="2"/>
    </row>
    <row r="195" spans="2:7" x14ac:dyDescent="0.25">
      <c r="B195" s="4">
        <v>46011</v>
      </c>
      <c r="C195" s="2"/>
      <c r="D195" s="2"/>
      <c r="E195" s="2"/>
      <c r="F195" s="2"/>
      <c r="G195" s="2"/>
    </row>
    <row r="196" spans="2:7" x14ac:dyDescent="0.25">
      <c r="B196" s="4">
        <v>46012</v>
      </c>
      <c r="C196" s="2"/>
      <c r="D196" s="2"/>
      <c r="E196" s="2"/>
      <c r="F196" s="2"/>
      <c r="G196" s="2"/>
    </row>
    <row r="197" spans="2:7" x14ac:dyDescent="0.25">
      <c r="B197" s="4">
        <v>46013</v>
      </c>
      <c r="C197" s="2"/>
      <c r="D197" s="2"/>
      <c r="E197" s="2"/>
      <c r="F197" s="2"/>
      <c r="G197" s="2"/>
    </row>
    <row r="198" spans="2:7" x14ac:dyDescent="0.25">
      <c r="B198" s="4">
        <v>46014</v>
      </c>
      <c r="C198" s="2"/>
      <c r="D198" s="2"/>
      <c r="E198" s="2"/>
      <c r="F198" s="2"/>
      <c r="G198" s="2"/>
    </row>
    <row r="199" spans="2:7" x14ac:dyDescent="0.25">
      <c r="B199" s="4">
        <v>46015</v>
      </c>
      <c r="C199" s="2"/>
      <c r="D199" s="2"/>
      <c r="E199" s="2"/>
      <c r="F199" s="2"/>
      <c r="G199" s="2"/>
    </row>
    <row r="200" spans="2:7" x14ac:dyDescent="0.25">
      <c r="B200" s="4">
        <v>46016</v>
      </c>
      <c r="C200" s="2"/>
      <c r="D200" s="2"/>
      <c r="E200" s="2"/>
      <c r="F200" s="2"/>
      <c r="G200" s="2"/>
    </row>
    <row r="201" spans="2:7" x14ac:dyDescent="0.25">
      <c r="B201" s="4">
        <v>46017</v>
      </c>
      <c r="C201" s="2"/>
      <c r="D201" s="2"/>
      <c r="E201" s="2"/>
      <c r="F201" s="2"/>
      <c r="G201" s="2"/>
    </row>
    <row r="202" spans="2:7" x14ac:dyDescent="0.25">
      <c r="B202" s="4">
        <v>46018</v>
      </c>
      <c r="C202" s="2"/>
      <c r="D202" s="2"/>
      <c r="E202" s="2"/>
      <c r="F202" s="2"/>
      <c r="G202" s="2"/>
    </row>
    <row r="203" spans="2:7" x14ac:dyDescent="0.25">
      <c r="B203" s="4">
        <v>46019</v>
      </c>
      <c r="C203" s="2"/>
      <c r="D203" s="2"/>
      <c r="E203" s="2"/>
      <c r="F203" s="2"/>
      <c r="G203" s="2"/>
    </row>
    <row r="204" spans="2:7" x14ac:dyDescent="0.25">
      <c r="B204" s="4">
        <v>46020</v>
      </c>
      <c r="C204" s="2" t="s">
        <v>6235</v>
      </c>
      <c r="D204" s="2"/>
      <c r="E204" s="2"/>
      <c r="F204" s="2"/>
      <c r="G204" s="2"/>
    </row>
    <row r="205" spans="2:7" x14ac:dyDescent="0.25">
      <c r="B205" s="4">
        <v>46021</v>
      </c>
      <c r="C205" s="2"/>
      <c r="D205" s="2"/>
      <c r="E205" s="2"/>
      <c r="F205" s="2"/>
      <c r="G205" s="2"/>
    </row>
    <row r="206" spans="2:7" x14ac:dyDescent="0.25">
      <c r="B206" s="4">
        <v>46022</v>
      </c>
      <c r="C206" s="2"/>
      <c r="D206" s="2"/>
      <c r="E206" s="2"/>
      <c r="F206" s="2"/>
      <c r="G206" s="2"/>
    </row>
    <row r="207" spans="2:7" x14ac:dyDescent="0.25">
      <c r="B207" s="4">
        <v>46023</v>
      </c>
      <c r="C207" s="2"/>
      <c r="D207" s="2"/>
      <c r="E207" s="2"/>
      <c r="F207" s="2"/>
      <c r="G207" s="2"/>
    </row>
    <row r="208" spans="2:7" x14ac:dyDescent="0.25">
      <c r="B208" s="4">
        <v>46024</v>
      </c>
      <c r="C208" s="2"/>
      <c r="D208" s="2"/>
      <c r="E208" s="2"/>
      <c r="F208" s="2"/>
      <c r="G208" s="2"/>
    </row>
    <row r="209" spans="2:7" x14ac:dyDescent="0.25">
      <c r="B209" s="4">
        <v>46025</v>
      </c>
      <c r="C209" s="2"/>
      <c r="D209" s="2"/>
      <c r="E209" s="2"/>
      <c r="F209" s="2"/>
      <c r="G209" s="2"/>
    </row>
    <row r="210" spans="2:7" x14ac:dyDescent="0.25">
      <c r="B210" s="4">
        <v>46026</v>
      </c>
      <c r="C210" s="2"/>
      <c r="D210" s="2"/>
      <c r="E210" s="2"/>
      <c r="F210" s="2"/>
      <c r="G210" s="2"/>
    </row>
    <row r="211" spans="2:7" x14ac:dyDescent="0.25">
      <c r="B211" s="4">
        <v>46027</v>
      </c>
      <c r="C211" s="2"/>
      <c r="D211" s="2"/>
      <c r="E211" s="2"/>
      <c r="F211" s="2"/>
      <c r="G211" s="2"/>
    </row>
    <row r="212" spans="2:7" x14ac:dyDescent="0.25">
      <c r="B212" s="4">
        <v>46028</v>
      </c>
      <c r="C212" s="2"/>
      <c r="D212" s="2"/>
      <c r="E212" s="2"/>
      <c r="F212" s="2"/>
      <c r="G212" s="2"/>
    </row>
    <row r="213" spans="2:7" x14ac:dyDescent="0.25">
      <c r="B213" s="4">
        <v>46029</v>
      </c>
      <c r="C213" s="2"/>
      <c r="D213" s="2"/>
      <c r="E213" s="2"/>
      <c r="F213" s="2"/>
      <c r="G213" s="2"/>
    </row>
    <row r="214" spans="2:7" x14ac:dyDescent="0.25">
      <c r="B214" s="4">
        <v>46030</v>
      </c>
      <c r="C214" s="2"/>
      <c r="D214" s="2"/>
      <c r="E214" s="2"/>
      <c r="F214" s="2"/>
      <c r="G214" s="2"/>
    </row>
    <row r="215" spans="2:7" x14ac:dyDescent="0.25">
      <c r="B215" s="4">
        <v>46031</v>
      </c>
      <c r="C215" s="2" t="s">
        <v>6294</v>
      </c>
      <c r="D215" s="2"/>
      <c r="E215" s="2"/>
      <c r="F215" s="2"/>
      <c r="G215" s="2"/>
    </row>
    <row r="216" spans="2:7" x14ac:dyDescent="0.25">
      <c r="B216" s="4">
        <v>46032</v>
      </c>
      <c r="C216" s="2" t="s">
        <v>6307</v>
      </c>
      <c r="D216" s="2"/>
      <c r="E216" s="2"/>
      <c r="F216" s="2"/>
      <c r="G216" s="2"/>
    </row>
    <row r="217" spans="2:7" x14ac:dyDescent="0.25">
      <c r="B217" s="4">
        <v>46033</v>
      </c>
      <c r="C217" s="2" t="s">
        <v>6308</v>
      </c>
      <c r="D217" s="2"/>
      <c r="E217" s="2"/>
      <c r="F217" s="2"/>
      <c r="G217" s="2"/>
    </row>
    <row r="218" spans="2:7" x14ac:dyDescent="0.25">
      <c r="B218" s="4">
        <v>46034</v>
      </c>
      <c r="C218" s="2" t="s">
        <v>6314</v>
      </c>
      <c r="D218" s="2"/>
      <c r="E218" s="2"/>
      <c r="F218" s="2"/>
      <c r="G218" s="2"/>
    </row>
    <row r="219" spans="2:7" x14ac:dyDescent="0.25">
      <c r="B219" s="4">
        <v>46035</v>
      </c>
      <c r="C219" s="2" t="s">
        <v>480</v>
      </c>
      <c r="D219" s="2" t="s">
        <v>5598</v>
      </c>
      <c r="E219" s="2"/>
      <c r="F219" s="2"/>
      <c r="G219" s="2"/>
    </row>
    <row r="220" spans="2:7" x14ac:dyDescent="0.25">
      <c r="B220" s="4">
        <v>46036</v>
      </c>
      <c r="C220" s="2" t="s">
        <v>6328</v>
      </c>
      <c r="D220" s="2"/>
      <c r="E220" s="2"/>
      <c r="F220" s="2"/>
      <c r="G220" s="2"/>
    </row>
    <row r="221" spans="2:7" x14ac:dyDescent="0.25">
      <c r="B221" s="4">
        <v>46037</v>
      </c>
      <c r="C221" s="2" t="s">
        <v>6337</v>
      </c>
      <c r="D221" s="2"/>
      <c r="E221" s="2"/>
      <c r="F221" s="2"/>
      <c r="G221" s="2"/>
    </row>
    <row r="222" spans="2:7" x14ac:dyDescent="0.25">
      <c r="B222" s="4">
        <v>46038</v>
      </c>
      <c r="C222" s="2" t="s">
        <v>6338</v>
      </c>
      <c r="D222" s="2" t="s">
        <v>6383</v>
      </c>
      <c r="E222" s="2"/>
      <c r="F222" s="2"/>
      <c r="G222" s="2"/>
    </row>
    <row r="223" spans="2:7" x14ac:dyDescent="0.25">
      <c r="B223" s="4"/>
      <c r="C223" s="2"/>
      <c r="D223" s="2"/>
      <c r="E223" s="2"/>
      <c r="F223" s="2"/>
      <c r="G223" s="2"/>
    </row>
    <row r="224" spans="2:7" x14ac:dyDescent="0.25">
      <c r="B224" s="4"/>
      <c r="C224" s="2"/>
      <c r="D224" s="2"/>
      <c r="E224" s="2"/>
      <c r="F224" s="2"/>
      <c r="G224" s="2"/>
    </row>
    <row r="225" spans="2:7" x14ac:dyDescent="0.25">
      <c r="B225" s="4">
        <v>46061</v>
      </c>
      <c r="C225" s="2" t="s">
        <v>3060</v>
      </c>
      <c r="D225" s="2"/>
      <c r="E225" s="2"/>
      <c r="F225" s="2"/>
      <c r="G225" s="2"/>
    </row>
    <row r="226" spans="2:7" x14ac:dyDescent="0.25">
      <c r="B226" s="4">
        <v>46062</v>
      </c>
      <c r="C226" s="2" t="s">
        <v>5276</v>
      </c>
      <c r="D226" s="2"/>
      <c r="E226" s="2"/>
      <c r="F226" s="2"/>
      <c r="G226" s="2"/>
    </row>
    <row r="227" spans="2:7" x14ac:dyDescent="0.25">
      <c r="B227" s="4"/>
      <c r="C227" s="2"/>
      <c r="D227" s="2"/>
      <c r="E227" s="2"/>
      <c r="F227" s="2"/>
      <c r="G227" s="2"/>
    </row>
    <row r="228" spans="2:7" x14ac:dyDescent="0.25">
      <c r="B228" s="4">
        <v>46066</v>
      </c>
      <c r="C228" s="2" t="s">
        <v>6504</v>
      </c>
      <c r="D228" s="2" t="s">
        <v>6505</v>
      </c>
      <c r="E228" s="2"/>
      <c r="F228" s="2"/>
      <c r="G228" s="2"/>
    </row>
    <row r="229" spans="2:7" x14ac:dyDescent="0.25">
      <c r="B229" s="4"/>
      <c r="C229" s="2"/>
      <c r="D229" s="2"/>
      <c r="E229" s="2"/>
      <c r="F229" s="2"/>
      <c r="G229" s="2"/>
    </row>
    <row r="230" spans="2:7" x14ac:dyDescent="0.25">
      <c r="B230" s="4">
        <v>46093</v>
      </c>
      <c r="C230" s="2" t="s">
        <v>6695</v>
      </c>
      <c r="D230" s="2"/>
      <c r="E230" s="2"/>
      <c r="F230" s="2"/>
      <c r="G230" s="2"/>
    </row>
    <row r="231" spans="2:7" x14ac:dyDescent="0.25">
      <c r="B231" s="4">
        <v>46094</v>
      </c>
      <c r="C231" s="2"/>
      <c r="D231" s="2"/>
      <c r="E231" s="2"/>
      <c r="F231" s="2"/>
      <c r="G231" s="2"/>
    </row>
    <row r="232" spans="2:7" x14ac:dyDescent="0.25">
      <c r="B232" s="4">
        <v>46095</v>
      </c>
      <c r="C232" s="2"/>
      <c r="D232" s="2"/>
      <c r="E232" s="2"/>
      <c r="F232" s="2"/>
      <c r="G232" s="2"/>
    </row>
    <row r="233" spans="2:7" x14ac:dyDescent="0.25">
      <c r="B233" s="4">
        <v>46096</v>
      </c>
      <c r="C233" s="2" t="s">
        <v>6706</v>
      </c>
      <c r="D233" s="2"/>
      <c r="E233" s="2"/>
      <c r="F233" s="2"/>
      <c r="G233" s="2"/>
    </row>
    <row r="234" spans="2:7" x14ac:dyDescent="0.25">
      <c r="B234" s="4">
        <v>46097</v>
      </c>
      <c r="C234" s="2"/>
      <c r="D234" s="2"/>
      <c r="E234" s="2"/>
      <c r="F234" s="2"/>
      <c r="G234" s="2"/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B2:G46"/>
  <sheetViews>
    <sheetView topLeftCell="A28" workbookViewId="0">
      <selection activeCell="C38" sqref="C38"/>
    </sheetView>
  </sheetViews>
  <sheetFormatPr defaultRowHeight="15" x14ac:dyDescent="0.25"/>
  <cols>
    <col min="2" max="2" width="13.85546875" bestFit="1" customWidth="1"/>
    <col min="3" max="3" width="72" bestFit="1" customWidth="1"/>
    <col min="4" max="4" width="42.140625" bestFit="1" customWidth="1"/>
    <col min="5" max="5" width="11.85546875" bestFit="1" customWidth="1"/>
    <col min="7" max="7" width="11" bestFit="1" customWidth="1"/>
  </cols>
  <sheetData>
    <row r="2" spans="2:7" x14ac:dyDescent="0.25">
      <c r="B2" s="53" t="s">
        <v>4382</v>
      </c>
    </row>
    <row r="3" spans="2:7" ht="15.75" x14ac:dyDescent="0.25">
      <c r="B3" s="10" t="s">
        <v>0</v>
      </c>
      <c r="C3" s="11" t="s">
        <v>1</v>
      </c>
      <c r="D3" s="11" t="s">
        <v>2</v>
      </c>
      <c r="E3" s="11" t="s">
        <v>934</v>
      </c>
      <c r="F3" s="11" t="s">
        <v>1095</v>
      </c>
      <c r="G3" s="11" t="s">
        <v>1507</v>
      </c>
    </row>
    <row r="4" spans="2:7" x14ac:dyDescent="0.25">
      <c r="B4" s="4">
        <v>45831</v>
      </c>
      <c r="C4" s="2" t="s">
        <v>1528</v>
      </c>
      <c r="D4" s="2"/>
      <c r="E4" s="23">
        <v>0</v>
      </c>
      <c r="F4" s="2"/>
      <c r="G4" s="2"/>
    </row>
    <row r="5" spans="2:7" x14ac:dyDescent="0.25">
      <c r="B5" s="4">
        <v>45832</v>
      </c>
      <c r="C5" s="2" t="s">
        <v>480</v>
      </c>
      <c r="D5" s="2"/>
      <c r="E5" s="23">
        <v>0</v>
      </c>
      <c r="F5" s="2">
        <f t="shared" ref="F5:F34" si="0">E5-E4</f>
        <v>0</v>
      </c>
      <c r="G5" s="2"/>
    </row>
    <row r="6" spans="2:7" x14ac:dyDescent="0.25">
      <c r="B6" s="4">
        <v>45833</v>
      </c>
      <c r="C6" s="2" t="s">
        <v>480</v>
      </c>
      <c r="D6" s="2"/>
      <c r="E6" s="23">
        <v>0</v>
      </c>
      <c r="F6" s="2">
        <f t="shared" si="0"/>
        <v>0</v>
      </c>
      <c r="G6" s="2"/>
    </row>
    <row r="7" spans="2:7" x14ac:dyDescent="0.25">
      <c r="B7" s="4">
        <v>45834</v>
      </c>
      <c r="C7" s="2" t="s">
        <v>480</v>
      </c>
      <c r="D7" s="58"/>
      <c r="E7" s="23">
        <v>0</v>
      </c>
      <c r="F7" s="2">
        <f t="shared" si="0"/>
        <v>0</v>
      </c>
      <c r="G7" s="2"/>
    </row>
    <row r="8" spans="2:7" x14ac:dyDescent="0.25">
      <c r="B8" s="4">
        <v>45835</v>
      </c>
      <c r="C8" s="2" t="s">
        <v>1418</v>
      </c>
      <c r="D8" s="58"/>
      <c r="E8" s="23">
        <v>0</v>
      </c>
      <c r="F8" s="2">
        <f t="shared" si="0"/>
        <v>0</v>
      </c>
      <c r="G8" s="2"/>
    </row>
    <row r="9" spans="2:7" x14ac:dyDescent="0.25">
      <c r="B9" s="4">
        <v>45836</v>
      </c>
      <c r="C9" s="2" t="s">
        <v>1524</v>
      </c>
      <c r="D9" s="58"/>
      <c r="E9" s="23">
        <v>0</v>
      </c>
      <c r="F9" s="2">
        <f t="shared" si="0"/>
        <v>0</v>
      </c>
      <c r="G9" s="2"/>
    </row>
    <row r="10" spans="2:7" x14ac:dyDescent="0.25">
      <c r="B10" s="4">
        <v>45837</v>
      </c>
      <c r="C10" s="2" t="s">
        <v>1524</v>
      </c>
      <c r="D10" s="2"/>
      <c r="E10" s="23">
        <v>0</v>
      </c>
      <c r="F10" s="2">
        <f t="shared" si="0"/>
        <v>0</v>
      </c>
      <c r="G10" s="2"/>
    </row>
    <row r="11" spans="2:7" x14ac:dyDescent="0.25">
      <c r="B11" s="4">
        <v>45838</v>
      </c>
      <c r="C11" s="2" t="s">
        <v>4477</v>
      </c>
      <c r="D11" s="2"/>
      <c r="E11" s="23">
        <v>0</v>
      </c>
      <c r="F11" s="2">
        <f t="shared" si="0"/>
        <v>0</v>
      </c>
      <c r="G11" s="2"/>
    </row>
    <row r="12" spans="2:7" x14ac:dyDescent="0.25">
      <c r="B12" s="4">
        <v>45839</v>
      </c>
      <c r="C12" s="2" t="s">
        <v>4477</v>
      </c>
      <c r="D12" s="2"/>
      <c r="E12" s="23">
        <v>0</v>
      </c>
      <c r="F12" s="2">
        <f t="shared" si="0"/>
        <v>0</v>
      </c>
      <c r="G12" s="2"/>
    </row>
    <row r="13" spans="2:7" x14ac:dyDescent="0.25">
      <c r="B13" s="4">
        <v>45840</v>
      </c>
      <c r="C13" s="2" t="s">
        <v>1545</v>
      </c>
      <c r="D13" s="2"/>
      <c r="E13" s="23">
        <v>0</v>
      </c>
      <c r="F13" s="2">
        <f t="shared" si="0"/>
        <v>0</v>
      </c>
      <c r="G13" s="2"/>
    </row>
    <row r="14" spans="2:7" x14ac:dyDescent="0.25">
      <c r="B14" s="4">
        <v>45841</v>
      </c>
      <c r="C14" s="2" t="s">
        <v>522</v>
      </c>
      <c r="D14" s="2"/>
      <c r="E14" s="23">
        <v>0</v>
      </c>
      <c r="F14" s="2">
        <f t="shared" si="0"/>
        <v>0</v>
      </c>
      <c r="G14" s="2"/>
    </row>
    <row r="15" spans="2:7" x14ac:dyDescent="0.25">
      <c r="B15" s="4">
        <v>45842</v>
      </c>
      <c r="C15" s="2" t="s">
        <v>522</v>
      </c>
      <c r="D15" s="2"/>
      <c r="E15" s="23">
        <v>0</v>
      </c>
      <c r="F15" s="2">
        <f t="shared" si="0"/>
        <v>0</v>
      </c>
      <c r="G15" s="2"/>
    </row>
    <row r="16" spans="2:7" x14ac:dyDescent="0.25">
      <c r="B16" s="4">
        <v>45843</v>
      </c>
      <c r="C16" s="2" t="s">
        <v>4317</v>
      </c>
      <c r="D16" s="2"/>
      <c r="E16" s="23">
        <v>0</v>
      </c>
      <c r="F16" s="2">
        <f t="shared" si="0"/>
        <v>0</v>
      </c>
      <c r="G16" s="2"/>
    </row>
    <row r="17" spans="2:7" x14ac:dyDescent="0.25">
      <c r="B17" s="4">
        <v>45844</v>
      </c>
      <c r="C17" s="2" t="s">
        <v>4527</v>
      </c>
      <c r="D17" s="2"/>
      <c r="E17" s="23">
        <v>3</v>
      </c>
      <c r="F17" s="2">
        <f t="shared" si="0"/>
        <v>3</v>
      </c>
      <c r="G17" s="2"/>
    </row>
    <row r="18" spans="2:7" x14ac:dyDescent="0.25">
      <c r="B18" s="4">
        <v>45845</v>
      </c>
      <c r="C18" s="2" t="s">
        <v>4541</v>
      </c>
      <c r="D18" s="2"/>
      <c r="E18" s="23">
        <v>24</v>
      </c>
      <c r="F18" s="2">
        <f t="shared" si="0"/>
        <v>21</v>
      </c>
      <c r="G18" s="2"/>
    </row>
    <row r="19" spans="2:7" x14ac:dyDescent="0.25">
      <c r="B19" s="4">
        <v>45846</v>
      </c>
      <c r="C19" s="2" t="s">
        <v>4299</v>
      </c>
      <c r="D19" s="2"/>
      <c r="E19" s="23">
        <v>33</v>
      </c>
      <c r="F19" s="2">
        <f t="shared" si="0"/>
        <v>9</v>
      </c>
      <c r="G19" s="2"/>
    </row>
    <row r="20" spans="2:7" x14ac:dyDescent="0.25">
      <c r="B20" s="4">
        <v>45847</v>
      </c>
      <c r="C20" s="2" t="s">
        <v>4299</v>
      </c>
      <c r="D20" s="2"/>
      <c r="E20" s="23">
        <v>33</v>
      </c>
      <c r="F20" s="2">
        <f t="shared" si="0"/>
        <v>0</v>
      </c>
      <c r="G20" s="2"/>
    </row>
    <row r="21" spans="2:7" x14ac:dyDescent="0.25">
      <c r="B21" s="4">
        <v>45848</v>
      </c>
      <c r="C21" s="2" t="s">
        <v>4565</v>
      </c>
      <c r="D21" s="2"/>
      <c r="E21" s="23">
        <v>38</v>
      </c>
      <c r="F21" s="2">
        <f t="shared" si="0"/>
        <v>5</v>
      </c>
      <c r="G21" s="2"/>
    </row>
    <row r="22" spans="2:7" x14ac:dyDescent="0.25">
      <c r="B22" s="4">
        <v>45849</v>
      </c>
      <c r="C22" s="2" t="s">
        <v>4588</v>
      </c>
      <c r="D22" s="2"/>
      <c r="E22" s="23">
        <v>42</v>
      </c>
      <c r="F22" s="2">
        <f t="shared" si="0"/>
        <v>4</v>
      </c>
      <c r="G22" s="2"/>
    </row>
    <row r="23" spans="2:7" x14ac:dyDescent="0.25">
      <c r="B23" s="4">
        <v>45850</v>
      </c>
      <c r="C23" s="2" t="s">
        <v>4589</v>
      </c>
      <c r="D23" s="2"/>
      <c r="E23" s="23">
        <v>45</v>
      </c>
      <c r="F23" s="2">
        <f t="shared" si="0"/>
        <v>3</v>
      </c>
      <c r="G23" s="2"/>
    </row>
    <row r="24" spans="2:7" x14ac:dyDescent="0.25">
      <c r="B24" s="4">
        <v>45851</v>
      </c>
      <c r="C24" s="2" t="s">
        <v>4590</v>
      </c>
      <c r="D24" s="2"/>
      <c r="E24" s="23">
        <v>60</v>
      </c>
      <c r="F24" s="2">
        <f t="shared" si="0"/>
        <v>15</v>
      </c>
      <c r="G24" s="2"/>
    </row>
    <row r="25" spans="2:7" x14ac:dyDescent="0.25">
      <c r="B25" s="4">
        <v>45852</v>
      </c>
      <c r="C25" s="2" t="s">
        <v>4591</v>
      </c>
      <c r="D25" s="2"/>
      <c r="E25" s="23">
        <v>70</v>
      </c>
      <c r="F25" s="2">
        <f t="shared" si="0"/>
        <v>10</v>
      </c>
      <c r="G25" s="2"/>
    </row>
    <row r="26" spans="2:7" x14ac:dyDescent="0.25">
      <c r="B26" s="4">
        <v>45853</v>
      </c>
      <c r="C26" s="2" t="s">
        <v>4595</v>
      </c>
      <c r="D26" s="2"/>
      <c r="E26" s="23">
        <v>85</v>
      </c>
      <c r="F26" s="2">
        <f t="shared" si="0"/>
        <v>15</v>
      </c>
      <c r="G26" s="2"/>
    </row>
    <row r="27" spans="2:7" x14ac:dyDescent="0.25">
      <c r="B27" s="4">
        <v>45854</v>
      </c>
      <c r="C27" s="2" t="s">
        <v>4596</v>
      </c>
      <c r="D27" s="2" t="s">
        <v>4607</v>
      </c>
      <c r="E27" s="23">
        <v>91</v>
      </c>
      <c r="F27" s="2">
        <f t="shared" si="0"/>
        <v>6</v>
      </c>
      <c r="G27" s="2"/>
    </row>
    <row r="28" spans="2:7" x14ac:dyDescent="0.25">
      <c r="B28" s="4">
        <v>45855</v>
      </c>
      <c r="C28" s="2" t="s">
        <v>4610</v>
      </c>
      <c r="D28" s="2"/>
      <c r="E28" s="23">
        <v>100</v>
      </c>
      <c r="F28" s="2">
        <f t="shared" si="0"/>
        <v>9</v>
      </c>
      <c r="G28" s="2"/>
    </row>
    <row r="29" spans="2:7" x14ac:dyDescent="0.25">
      <c r="B29" s="4">
        <v>45856</v>
      </c>
      <c r="C29" s="2" t="s">
        <v>4629</v>
      </c>
      <c r="D29" s="2"/>
      <c r="E29" s="23">
        <v>30</v>
      </c>
      <c r="F29" s="2">
        <f t="shared" si="0"/>
        <v>-70</v>
      </c>
      <c r="G29" s="2"/>
    </row>
    <row r="30" spans="2:7" x14ac:dyDescent="0.25">
      <c r="B30" s="4">
        <v>45857</v>
      </c>
      <c r="C30" s="2" t="s">
        <v>4627</v>
      </c>
      <c r="D30" s="2"/>
      <c r="E30" s="23">
        <v>51</v>
      </c>
      <c r="F30" s="2">
        <f t="shared" si="0"/>
        <v>21</v>
      </c>
      <c r="G30" s="2"/>
    </row>
    <row r="31" spans="2:7" x14ac:dyDescent="0.25">
      <c r="B31" s="4">
        <v>45858</v>
      </c>
      <c r="C31" s="2" t="s">
        <v>4628</v>
      </c>
      <c r="D31" s="2"/>
      <c r="E31" s="23">
        <v>63</v>
      </c>
      <c r="F31" s="2">
        <f t="shared" si="0"/>
        <v>12</v>
      </c>
      <c r="G31" s="2"/>
    </row>
    <row r="32" spans="2:7" x14ac:dyDescent="0.25">
      <c r="B32" s="4">
        <v>45859</v>
      </c>
      <c r="C32" s="2" t="s">
        <v>4661</v>
      </c>
      <c r="D32" s="2"/>
      <c r="E32" s="23">
        <v>91</v>
      </c>
      <c r="F32" s="2">
        <f t="shared" si="0"/>
        <v>28</v>
      </c>
      <c r="G32" s="2"/>
    </row>
    <row r="33" spans="2:7" x14ac:dyDescent="0.25">
      <c r="B33" s="4">
        <v>45860</v>
      </c>
      <c r="C33" s="2" t="s">
        <v>4662</v>
      </c>
      <c r="D33" s="2" t="s">
        <v>1827</v>
      </c>
      <c r="E33" s="23">
        <v>100</v>
      </c>
      <c r="F33" s="2">
        <f t="shared" si="0"/>
        <v>9</v>
      </c>
      <c r="G33" s="2"/>
    </row>
    <row r="34" spans="2:7" x14ac:dyDescent="0.25">
      <c r="B34" s="4">
        <v>45861</v>
      </c>
      <c r="C34" s="2" t="s">
        <v>1610</v>
      </c>
      <c r="D34" s="2"/>
      <c r="E34" s="23"/>
      <c r="F34" s="2">
        <f t="shared" si="0"/>
        <v>-100</v>
      </c>
      <c r="G34" s="2"/>
    </row>
    <row r="35" spans="2:7" x14ac:dyDescent="0.25">
      <c r="B35" s="4">
        <v>45862</v>
      </c>
      <c r="C35" s="2" t="s">
        <v>149</v>
      </c>
      <c r="D35" s="2"/>
      <c r="E35" s="23"/>
      <c r="F35" s="2"/>
      <c r="G35" s="2"/>
    </row>
    <row r="36" spans="2:7" x14ac:dyDescent="0.25">
      <c r="B36" s="4">
        <v>45863</v>
      </c>
      <c r="C36" s="2" t="s">
        <v>4692</v>
      </c>
      <c r="D36" s="2"/>
      <c r="E36" s="2"/>
      <c r="F36" s="2"/>
      <c r="G36" s="2"/>
    </row>
    <row r="37" spans="2:7" x14ac:dyDescent="0.25">
      <c r="B37" s="4">
        <v>45864</v>
      </c>
      <c r="C37" s="2" t="s">
        <v>3565</v>
      </c>
      <c r="D37" s="2"/>
      <c r="E37" s="2"/>
      <c r="F37" s="2"/>
      <c r="G37" s="2"/>
    </row>
    <row r="38" spans="2:7" x14ac:dyDescent="0.25">
      <c r="B38" s="4">
        <v>45865</v>
      </c>
      <c r="C38" s="2"/>
      <c r="D38" s="2"/>
      <c r="E38" s="2"/>
      <c r="F38" s="2"/>
      <c r="G38" s="2"/>
    </row>
    <row r="39" spans="2:7" x14ac:dyDescent="0.25">
      <c r="B39" s="4">
        <v>45866</v>
      </c>
      <c r="C39" s="2"/>
      <c r="D39" s="2"/>
      <c r="E39" s="2"/>
      <c r="F39" s="2"/>
      <c r="G39" s="2"/>
    </row>
    <row r="40" spans="2:7" x14ac:dyDescent="0.25">
      <c r="B40" s="4">
        <v>45867</v>
      </c>
      <c r="C40" s="2"/>
      <c r="D40" s="2"/>
      <c r="E40" s="2"/>
      <c r="F40" s="2"/>
      <c r="G40" s="2"/>
    </row>
    <row r="41" spans="2:7" x14ac:dyDescent="0.25">
      <c r="B41" s="4">
        <v>45868</v>
      </c>
      <c r="C41" s="2"/>
      <c r="D41" s="2"/>
      <c r="E41" s="2"/>
      <c r="F41" s="2"/>
      <c r="G41" s="2"/>
    </row>
    <row r="42" spans="2:7" x14ac:dyDescent="0.25">
      <c r="B42" s="4">
        <v>45869</v>
      </c>
      <c r="C42" s="2"/>
      <c r="D42" s="2"/>
      <c r="E42" s="2"/>
      <c r="F42" s="2"/>
      <c r="G42" s="2"/>
    </row>
    <row r="43" spans="2:7" x14ac:dyDescent="0.25">
      <c r="B43" s="4">
        <v>45870</v>
      </c>
      <c r="C43" s="2"/>
      <c r="D43" s="2"/>
      <c r="E43" s="2"/>
      <c r="F43" s="2"/>
      <c r="G43" s="2"/>
    </row>
    <row r="44" spans="2:7" x14ac:dyDescent="0.25">
      <c r="B44" s="4">
        <v>45871</v>
      </c>
      <c r="C44" s="2"/>
      <c r="D44" s="2"/>
      <c r="E44" s="2"/>
      <c r="F44" s="2"/>
      <c r="G44" s="2"/>
    </row>
    <row r="45" spans="2:7" x14ac:dyDescent="0.25">
      <c r="B45" s="4">
        <v>45872</v>
      </c>
      <c r="C45" s="2"/>
      <c r="D45" s="2"/>
      <c r="E45" s="2"/>
      <c r="F45" s="2"/>
      <c r="G45" s="2"/>
    </row>
    <row r="46" spans="2:7" x14ac:dyDescent="0.25">
      <c r="B46" s="2"/>
      <c r="C46" s="2"/>
      <c r="D46" s="2"/>
      <c r="E46" s="2"/>
      <c r="F46" s="2"/>
      <c r="G46" s="2"/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B2:G191"/>
  <sheetViews>
    <sheetView workbookViewId="0">
      <pane ySplit="3" topLeftCell="A174" activePane="bottomLeft" state="frozen"/>
      <selection activeCell="D8" sqref="D8"/>
      <selection pane="bottomLeft" activeCell="C187" sqref="C187"/>
    </sheetView>
  </sheetViews>
  <sheetFormatPr defaultRowHeight="15" x14ac:dyDescent="0.25"/>
  <cols>
    <col min="2" max="2" width="18" bestFit="1" customWidth="1"/>
    <col min="3" max="3" width="72" bestFit="1" customWidth="1"/>
    <col min="4" max="4" width="42.140625" bestFit="1" customWidth="1"/>
    <col min="5" max="5" width="11.7109375" customWidth="1"/>
    <col min="7" max="7" width="11.85546875" customWidth="1"/>
  </cols>
  <sheetData>
    <row r="2" spans="2:7" x14ac:dyDescent="0.25">
      <c r="B2" s="144" t="s">
        <v>5744</v>
      </c>
    </row>
    <row r="3" spans="2:7" ht="15.75" x14ac:dyDescent="0.25">
      <c r="B3" s="10" t="s">
        <v>0</v>
      </c>
      <c r="C3" s="11" t="s">
        <v>1</v>
      </c>
      <c r="D3" s="11" t="s">
        <v>2</v>
      </c>
      <c r="E3" s="11" t="s">
        <v>934</v>
      </c>
      <c r="F3" s="11" t="s">
        <v>1095</v>
      </c>
      <c r="G3" s="11" t="s">
        <v>1507</v>
      </c>
    </row>
    <row r="4" spans="2:7" x14ac:dyDescent="0.25">
      <c r="B4" s="4">
        <v>45859</v>
      </c>
      <c r="C4" s="2" t="s">
        <v>1528</v>
      </c>
      <c r="D4" s="2"/>
      <c r="E4" s="23">
        <v>0</v>
      </c>
      <c r="F4" s="2"/>
      <c r="G4" s="2"/>
    </row>
    <row r="5" spans="2:7" x14ac:dyDescent="0.25">
      <c r="B5" s="4">
        <v>45860</v>
      </c>
      <c r="C5" s="2" t="s">
        <v>4665</v>
      </c>
      <c r="D5" s="2"/>
      <c r="E5" s="23">
        <v>0</v>
      </c>
      <c r="F5" s="2">
        <f>E5-E4</f>
        <v>0</v>
      </c>
      <c r="G5" s="2"/>
    </row>
    <row r="6" spans="2:7" x14ac:dyDescent="0.25">
      <c r="B6" s="4">
        <v>45861</v>
      </c>
      <c r="C6" s="2" t="s">
        <v>4665</v>
      </c>
      <c r="D6" s="2"/>
      <c r="E6" s="23">
        <v>0</v>
      </c>
      <c r="F6" s="2">
        <f t="shared" ref="F6:F35" si="0">E6-E5</f>
        <v>0</v>
      </c>
      <c r="G6" s="2"/>
    </row>
    <row r="7" spans="2:7" x14ac:dyDescent="0.25">
      <c r="B7" s="4">
        <v>45862</v>
      </c>
      <c r="C7" s="2" t="s">
        <v>4677</v>
      </c>
      <c r="D7" s="58"/>
      <c r="E7" s="23">
        <v>0</v>
      </c>
      <c r="F7" s="2">
        <f t="shared" si="0"/>
        <v>0</v>
      </c>
      <c r="G7" s="2"/>
    </row>
    <row r="8" spans="2:7" x14ac:dyDescent="0.25">
      <c r="B8" s="4">
        <v>45863</v>
      </c>
      <c r="C8" s="2" t="s">
        <v>4066</v>
      </c>
      <c r="D8" s="58"/>
      <c r="E8" s="23">
        <v>0</v>
      </c>
      <c r="F8" s="2">
        <f t="shared" si="0"/>
        <v>0</v>
      </c>
      <c r="G8" s="2"/>
    </row>
    <row r="9" spans="2:7" x14ac:dyDescent="0.25">
      <c r="B9" s="4">
        <v>45864</v>
      </c>
      <c r="C9" s="2" t="s">
        <v>4699</v>
      </c>
      <c r="D9" s="58"/>
      <c r="E9" s="23">
        <v>20</v>
      </c>
      <c r="F9" s="2">
        <f t="shared" si="0"/>
        <v>20</v>
      </c>
      <c r="G9" s="2"/>
    </row>
    <row r="10" spans="2:7" x14ac:dyDescent="0.25">
      <c r="B10" s="4">
        <v>45865</v>
      </c>
      <c r="C10" s="2" t="s">
        <v>4700</v>
      </c>
      <c r="D10" s="2"/>
      <c r="E10" s="23">
        <v>24</v>
      </c>
      <c r="F10" s="2">
        <f t="shared" si="0"/>
        <v>4</v>
      </c>
      <c r="G10" s="2"/>
    </row>
    <row r="11" spans="2:7" x14ac:dyDescent="0.25">
      <c r="B11" s="4">
        <v>45866</v>
      </c>
      <c r="C11" s="2" t="s">
        <v>4727</v>
      </c>
      <c r="D11" s="2" t="s">
        <v>4731</v>
      </c>
      <c r="E11" s="23">
        <v>24.2</v>
      </c>
      <c r="F11" s="2">
        <f t="shared" si="0"/>
        <v>0.19999999999999929</v>
      </c>
      <c r="G11" s="2"/>
    </row>
    <row r="12" spans="2:7" x14ac:dyDescent="0.25">
      <c r="B12" s="4">
        <v>45867</v>
      </c>
      <c r="C12" s="2" t="s">
        <v>4801</v>
      </c>
      <c r="D12" s="2"/>
      <c r="E12" s="23">
        <v>24.7</v>
      </c>
      <c r="F12" s="2">
        <f t="shared" si="0"/>
        <v>0.5</v>
      </c>
      <c r="G12" s="2"/>
    </row>
    <row r="13" spans="2:7" x14ac:dyDescent="0.25">
      <c r="B13" s="4">
        <v>45868</v>
      </c>
      <c r="C13" s="2" t="s">
        <v>4830</v>
      </c>
      <c r="D13" s="2"/>
      <c r="E13" s="23">
        <v>25.7</v>
      </c>
      <c r="F13" s="2">
        <f t="shared" si="0"/>
        <v>1</v>
      </c>
      <c r="G13" s="2"/>
    </row>
    <row r="14" spans="2:7" x14ac:dyDescent="0.25">
      <c r="B14" s="4">
        <v>45869</v>
      </c>
      <c r="C14" s="2" t="s">
        <v>4831</v>
      </c>
      <c r="D14" s="2"/>
      <c r="E14" s="23">
        <v>26.7</v>
      </c>
      <c r="F14" s="2">
        <f t="shared" si="0"/>
        <v>1</v>
      </c>
      <c r="G14" s="2"/>
    </row>
    <row r="15" spans="2:7" x14ac:dyDescent="0.25">
      <c r="B15" s="4">
        <v>45870</v>
      </c>
      <c r="C15" s="2" t="s">
        <v>4832</v>
      </c>
      <c r="D15" s="2"/>
      <c r="E15" s="23">
        <v>28.7</v>
      </c>
      <c r="F15" s="2">
        <f t="shared" si="0"/>
        <v>2</v>
      </c>
      <c r="G15" s="2"/>
    </row>
    <row r="16" spans="2:7" x14ac:dyDescent="0.25">
      <c r="B16" s="4">
        <v>45871</v>
      </c>
      <c r="C16" s="2" t="s">
        <v>4840</v>
      </c>
      <c r="D16" s="2"/>
      <c r="E16" s="23">
        <v>25</v>
      </c>
      <c r="F16" s="2">
        <f t="shared" si="0"/>
        <v>-3.6999999999999993</v>
      </c>
      <c r="G16" s="2"/>
    </row>
    <row r="17" spans="2:7" x14ac:dyDescent="0.25">
      <c r="B17" s="4">
        <v>45872</v>
      </c>
      <c r="C17" s="2" t="s">
        <v>4841</v>
      </c>
      <c r="D17" s="2"/>
      <c r="E17" s="23">
        <v>25.2</v>
      </c>
      <c r="F17" s="2">
        <f t="shared" si="0"/>
        <v>0.19999999999999929</v>
      </c>
      <c r="G17" s="2"/>
    </row>
    <row r="18" spans="2:7" x14ac:dyDescent="0.25">
      <c r="B18" s="4">
        <v>45873</v>
      </c>
      <c r="C18" s="2" t="s">
        <v>4877</v>
      </c>
      <c r="D18" s="2" t="s">
        <v>4878</v>
      </c>
      <c r="E18" s="23">
        <v>30</v>
      </c>
      <c r="F18" s="2">
        <f t="shared" si="0"/>
        <v>4.8000000000000007</v>
      </c>
      <c r="G18" s="2"/>
    </row>
    <row r="19" spans="2:7" x14ac:dyDescent="0.25">
      <c r="B19" s="4">
        <v>45874</v>
      </c>
      <c r="C19" s="2" t="s">
        <v>4869</v>
      </c>
      <c r="D19" s="2" t="s">
        <v>4879</v>
      </c>
      <c r="E19" s="23">
        <v>33</v>
      </c>
      <c r="F19" s="2">
        <f t="shared" si="0"/>
        <v>3</v>
      </c>
      <c r="G19" s="2"/>
    </row>
    <row r="20" spans="2:7" x14ac:dyDescent="0.25">
      <c r="B20" s="4">
        <v>45875</v>
      </c>
      <c r="C20" s="2" t="s">
        <v>4891</v>
      </c>
      <c r="D20" s="2" t="s">
        <v>4901</v>
      </c>
      <c r="E20" s="23">
        <v>55</v>
      </c>
      <c r="F20" s="2">
        <f t="shared" si="0"/>
        <v>22</v>
      </c>
      <c r="G20" s="2"/>
    </row>
    <row r="21" spans="2:7" x14ac:dyDescent="0.25">
      <c r="B21" s="4">
        <v>45876</v>
      </c>
      <c r="C21" s="2" t="s">
        <v>4918</v>
      </c>
      <c r="D21" s="2"/>
      <c r="E21" s="23">
        <v>61</v>
      </c>
      <c r="F21" s="2">
        <f t="shared" si="0"/>
        <v>6</v>
      </c>
      <c r="G21" s="2"/>
    </row>
    <row r="22" spans="2:7" x14ac:dyDescent="0.25">
      <c r="B22" s="4">
        <v>45877</v>
      </c>
      <c r="C22" s="2" t="s">
        <v>4932</v>
      </c>
      <c r="D22" s="2" t="s">
        <v>4933</v>
      </c>
      <c r="E22" s="23">
        <v>74</v>
      </c>
      <c r="F22" s="2">
        <f t="shared" si="0"/>
        <v>13</v>
      </c>
      <c r="G22" s="2"/>
    </row>
    <row r="23" spans="2:7" x14ac:dyDescent="0.25">
      <c r="B23" s="4">
        <v>45878</v>
      </c>
      <c r="C23" s="2" t="s">
        <v>4982</v>
      </c>
      <c r="D23" s="2" t="s">
        <v>4959</v>
      </c>
      <c r="E23" s="23">
        <v>75</v>
      </c>
      <c r="F23" s="2">
        <f t="shared" si="0"/>
        <v>1</v>
      </c>
      <c r="G23" s="2"/>
    </row>
    <row r="24" spans="2:7" x14ac:dyDescent="0.25">
      <c r="B24" s="4">
        <v>45879</v>
      </c>
      <c r="C24" s="2" t="s">
        <v>4981</v>
      </c>
      <c r="D24" s="2"/>
      <c r="E24" s="23">
        <v>75</v>
      </c>
      <c r="F24" s="2">
        <f t="shared" si="0"/>
        <v>0</v>
      </c>
      <c r="G24" s="2"/>
    </row>
    <row r="25" spans="2:7" x14ac:dyDescent="0.25">
      <c r="B25" s="4">
        <v>45880</v>
      </c>
      <c r="C25" s="2" t="s">
        <v>4983</v>
      </c>
      <c r="D25" s="2"/>
      <c r="E25" s="23">
        <v>78</v>
      </c>
      <c r="F25" s="2">
        <f t="shared" si="0"/>
        <v>3</v>
      </c>
      <c r="G25" s="2"/>
    </row>
    <row r="26" spans="2:7" x14ac:dyDescent="0.25">
      <c r="B26" s="4">
        <v>45881</v>
      </c>
      <c r="C26" s="2" t="s">
        <v>4984</v>
      </c>
      <c r="D26" s="2"/>
      <c r="E26" s="23">
        <v>81</v>
      </c>
      <c r="F26" s="2">
        <f t="shared" si="0"/>
        <v>3</v>
      </c>
      <c r="G26" s="2"/>
    </row>
    <row r="27" spans="2:7" x14ac:dyDescent="0.25">
      <c r="B27" s="4">
        <v>45882</v>
      </c>
      <c r="C27" s="2" t="s">
        <v>5001</v>
      </c>
      <c r="D27" s="2"/>
      <c r="E27" s="23">
        <v>102</v>
      </c>
      <c r="F27" s="2">
        <f t="shared" si="0"/>
        <v>21</v>
      </c>
      <c r="G27" s="2"/>
    </row>
    <row r="28" spans="2:7" x14ac:dyDescent="0.25">
      <c r="B28" s="4">
        <v>45883</v>
      </c>
      <c r="C28" s="2" t="s">
        <v>5032</v>
      </c>
      <c r="D28" s="2"/>
      <c r="E28" s="23">
        <v>30</v>
      </c>
      <c r="F28" s="2">
        <f t="shared" si="0"/>
        <v>-72</v>
      </c>
      <c r="G28" s="2"/>
    </row>
    <row r="29" spans="2:7" x14ac:dyDescent="0.25">
      <c r="B29" s="4">
        <v>45884</v>
      </c>
      <c r="C29" s="2" t="s">
        <v>5033</v>
      </c>
      <c r="D29" s="2"/>
      <c r="E29" s="23">
        <v>51</v>
      </c>
      <c r="F29" s="2">
        <f t="shared" si="0"/>
        <v>21</v>
      </c>
      <c r="G29" s="2"/>
    </row>
    <row r="30" spans="2:7" x14ac:dyDescent="0.25">
      <c r="B30" s="4">
        <v>45885</v>
      </c>
      <c r="C30" s="2" t="s">
        <v>5039</v>
      </c>
      <c r="D30" s="2"/>
      <c r="E30" s="23">
        <v>81</v>
      </c>
      <c r="F30" s="2">
        <f t="shared" si="0"/>
        <v>30</v>
      </c>
      <c r="G30" s="2"/>
    </row>
    <row r="31" spans="2:7" x14ac:dyDescent="0.25">
      <c r="B31" s="4">
        <v>45886</v>
      </c>
      <c r="C31" s="2" t="s">
        <v>5040</v>
      </c>
      <c r="D31" s="2"/>
      <c r="E31" s="23">
        <v>91</v>
      </c>
      <c r="F31" s="2">
        <f t="shared" si="0"/>
        <v>10</v>
      </c>
      <c r="G31" s="2"/>
    </row>
    <row r="32" spans="2:7" x14ac:dyDescent="0.25">
      <c r="B32" s="4">
        <v>45887</v>
      </c>
      <c r="C32" s="2" t="s">
        <v>5059</v>
      </c>
      <c r="D32" s="2"/>
      <c r="E32" s="23">
        <v>102</v>
      </c>
      <c r="F32" s="2">
        <f t="shared" si="0"/>
        <v>11</v>
      </c>
      <c r="G32" s="2"/>
    </row>
    <row r="33" spans="2:7" x14ac:dyDescent="0.25">
      <c r="B33" s="126">
        <v>45888</v>
      </c>
      <c r="C33" s="2" t="s">
        <v>5065</v>
      </c>
      <c r="D33" s="2"/>
      <c r="E33" s="23">
        <v>102</v>
      </c>
      <c r="F33" s="2">
        <f t="shared" si="0"/>
        <v>0</v>
      </c>
      <c r="G33" s="2"/>
    </row>
    <row r="34" spans="2:7" x14ac:dyDescent="0.25">
      <c r="B34" s="4">
        <v>45889</v>
      </c>
      <c r="C34" s="2" t="s">
        <v>5078</v>
      </c>
      <c r="D34" s="2"/>
      <c r="E34" s="23">
        <v>102</v>
      </c>
      <c r="F34" s="2">
        <f t="shared" si="0"/>
        <v>0</v>
      </c>
      <c r="G34" s="2"/>
    </row>
    <row r="35" spans="2:7" x14ac:dyDescent="0.25">
      <c r="B35" s="4">
        <v>45890</v>
      </c>
      <c r="C35" s="2" t="s">
        <v>5091</v>
      </c>
      <c r="D35" s="2"/>
      <c r="E35" s="23">
        <v>102</v>
      </c>
      <c r="F35" s="2">
        <f t="shared" si="0"/>
        <v>0</v>
      </c>
      <c r="G35" s="2"/>
    </row>
    <row r="36" spans="2:7" x14ac:dyDescent="0.25">
      <c r="B36" s="4">
        <v>45891</v>
      </c>
      <c r="C36" s="2" t="s">
        <v>5109</v>
      </c>
      <c r="D36" s="2"/>
      <c r="E36" s="23"/>
      <c r="F36" s="2"/>
      <c r="G36" s="2"/>
    </row>
    <row r="37" spans="2:7" x14ac:dyDescent="0.25">
      <c r="B37" s="4">
        <v>45892</v>
      </c>
      <c r="C37" s="2" t="s">
        <v>5127</v>
      </c>
      <c r="D37" s="2"/>
      <c r="E37" s="23"/>
      <c r="F37" s="2"/>
      <c r="G37" s="2"/>
    </row>
    <row r="38" spans="2:7" x14ac:dyDescent="0.25">
      <c r="B38" s="4">
        <v>45893</v>
      </c>
      <c r="C38" s="2" t="s">
        <v>5133</v>
      </c>
      <c r="D38" s="2"/>
      <c r="E38" s="23">
        <v>24</v>
      </c>
      <c r="F38" s="2">
        <f>E38-F37</f>
        <v>24</v>
      </c>
      <c r="G38" s="2"/>
    </row>
    <row r="39" spans="2:7" x14ac:dyDescent="0.25">
      <c r="B39" s="4">
        <v>45894</v>
      </c>
      <c r="C39" s="2" t="s">
        <v>5152</v>
      </c>
      <c r="D39" s="2"/>
      <c r="E39" s="23">
        <v>24</v>
      </c>
      <c r="F39" s="2">
        <f t="shared" ref="F39:F41" si="1">E39-F38</f>
        <v>0</v>
      </c>
      <c r="G39" s="2"/>
    </row>
    <row r="40" spans="2:7" x14ac:dyDescent="0.25">
      <c r="B40" s="4">
        <v>45895</v>
      </c>
      <c r="C40" s="2" t="s">
        <v>5163</v>
      </c>
      <c r="D40" s="2" t="s">
        <v>5184</v>
      </c>
      <c r="E40" s="23"/>
      <c r="F40" s="2">
        <f t="shared" si="1"/>
        <v>0</v>
      </c>
      <c r="G40" s="2"/>
    </row>
    <row r="41" spans="2:7" x14ac:dyDescent="0.25">
      <c r="B41" s="4">
        <v>45896</v>
      </c>
      <c r="C41" s="2" t="s">
        <v>5189</v>
      </c>
      <c r="D41" s="2"/>
      <c r="E41" s="23"/>
      <c r="F41" s="2">
        <f t="shared" si="1"/>
        <v>0</v>
      </c>
      <c r="G41" s="2"/>
    </row>
    <row r="42" spans="2:7" x14ac:dyDescent="0.25">
      <c r="B42" s="4">
        <v>45897</v>
      </c>
      <c r="C42" s="2" t="s">
        <v>5193</v>
      </c>
      <c r="D42" s="2" t="s">
        <v>5202</v>
      </c>
      <c r="E42" s="2"/>
      <c r="F42" s="2"/>
      <c r="G42" s="2"/>
    </row>
    <row r="43" spans="2:7" x14ac:dyDescent="0.25">
      <c r="B43" s="4">
        <v>45898</v>
      </c>
      <c r="C43" s="2" t="s">
        <v>5204</v>
      </c>
      <c r="D43" s="2"/>
      <c r="E43" s="2"/>
      <c r="F43" s="2"/>
      <c r="G43" s="2"/>
    </row>
    <row r="44" spans="2:7" x14ac:dyDescent="0.25">
      <c r="B44" s="4">
        <v>45899</v>
      </c>
      <c r="C44" s="2" t="s">
        <v>149</v>
      </c>
      <c r="D44" s="2"/>
      <c r="E44" s="2"/>
      <c r="F44" s="2"/>
      <c r="G44" s="2"/>
    </row>
    <row r="45" spans="2:7" x14ac:dyDescent="0.25">
      <c r="B45" s="4">
        <v>45900</v>
      </c>
      <c r="C45" s="2" t="s">
        <v>149</v>
      </c>
      <c r="D45" s="2" t="s">
        <v>5224</v>
      </c>
      <c r="E45" s="2"/>
      <c r="F45" s="2"/>
      <c r="G45" s="2"/>
    </row>
    <row r="46" spans="2:7" x14ac:dyDescent="0.25">
      <c r="B46" s="4">
        <v>45901</v>
      </c>
      <c r="C46" s="2" t="s">
        <v>5240</v>
      </c>
      <c r="D46" s="2"/>
      <c r="E46" s="2"/>
      <c r="F46" s="2"/>
      <c r="G46" s="2"/>
    </row>
    <row r="47" spans="2:7" x14ac:dyDescent="0.25">
      <c r="B47" s="4">
        <v>45902</v>
      </c>
      <c r="C47" s="2" t="s">
        <v>5193</v>
      </c>
      <c r="D47" s="2" t="s">
        <v>5257</v>
      </c>
      <c r="E47" s="2"/>
      <c r="F47" s="2"/>
      <c r="G47" s="2"/>
    </row>
    <row r="48" spans="2:7" x14ac:dyDescent="0.25">
      <c r="B48" s="4">
        <v>45903</v>
      </c>
      <c r="C48" s="2" t="s">
        <v>5193</v>
      </c>
      <c r="D48" s="2"/>
      <c r="E48" s="2"/>
      <c r="F48" s="2"/>
      <c r="G48" s="2"/>
    </row>
    <row r="49" spans="2:7" x14ac:dyDescent="0.25">
      <c r="B49" s="4">
        <v>45904</v>
      </c>
      <c r="C49" s="2" t="s">
        <v>5193</v>
      </c>
      <c r="D49" s="2"/>
      <c r="E49" s="2"/>
      <c r="F49" s="2"/>
      <c r="G49" s="2"/>
    </row>
    <row r="50" spans="2:7" x14ac:dyDescent="0.25">
      <c r="B50" s="126">
        <v>45905</v>
      </c>
      <c r="C50" s="2" t="s">
        <v>5281</v>
      </c>
      <c r="D50" s="2"/>
      <c r="E50" s="2"/>
      <c r="F50" s="2"/>
      <c r="G50" s="2"/>
    </row>
    <row r="51" spans="2:7" x14ac:dyDescent="0.25">
      <c r="B51" s="4">
        <v>45906</v>
      </c>
      <c r="C51" s="2" t="s">
        <v>5297</v>
      </c>
      <c r="D51" s="2"/>
      <c r="E51" s="2"/>
      <c r="F51" s="2"/>
      <c r="G51" s="2"/>
    </row>
    <row r="52" spans="2:7" x14ac:dyDescent="0.25">
      <c r="B52" s="4">
        <v>45907</v>
      </c>
      <c r="C52" s="2"/>
      <c r="D52" s="2"/>
      <c r="E52" s="2"/>
      <c r="F52" s="2"/>
      <c r="G52" s="2"/>
    </row>
    <row r="53" spans="2:7" x14ac:dyDescent="0.25">
      <c r="B53" s="4">
        <v>45908</v>
      </c>
      <c r="C53" s="2" t="s">
        <v>5315</v>
      </c>
      <c r="D53" s="2"/>
      <c r="E53" s="2"/>
      <c r="F53" s="2"/>
      <c r="G53" s="2"/>
    </row>
    <row r="54" spans="2:7" x14ac:dyDescent="0.25">
      <c r="B54" s="4">
        <v>45909</v>
      </c>
      <c r="C54" s="2" t="s">
        <v>5333</v>
      </c>
      <c r="D54" s="2" t="s">
        <v>5334</v>
      </c>
      <c r="E54" s="2"/>
      <c r="F54" s="2"/>
      <c r="G54" s="2"/>
    </row>
    <row r="55" spans="2:7" x14ac:dyDescent="0.25">
      <c r="B55" s="4">
        <v>45910</v>
      </c>
      <c r="C55" s="2" t="s">
        <v>5339</v>
      </c>
      <c r="D55" s="2"/>
      <c r="E55" s="2"/>
      <c r="F55" s="2"/>
      <c r="G55" s="2"/>
    </row>
    <row r="56" spans="2:7" x14ac:dyDescent="0.25">
      <c r="B56" s="4">
        <v>45911</v>
      </c>
      <c r="C56" s="2" t="s">
        <v>5345</v>
      </c>
      <c r="D56" s="2"/>
      <c r="E56" s="2"/>
      <c r="F56" s="2"/>
      <c r="G56" s="2"/>
    </row>
    <row r="57" spans="2:7" x14ac:dyDescent="0.25">
      <c r="B57" s="4">
        <v>45912</v>
      </c>
      <c r="C57" s="2" t="s">
        <v>149</v>
      </c>
      <c r="D57" s="2"/>
      <c r="E57" s="2"/>
      <c r="F57" s="2"/>
      <c r="G57" s="2"/>
    </row>
    <row r="58" spans="2:7" x14ac:dyDescent="0.25">
      <c r="B58" s="4">
        <v>45913</v>
      </c>
      <c r="C58" s="2" t="s">
        <v>4598</v>
      </c>
      <c r="D58" s="2"/>
      <c r="E58" s="2"/>
      <c r="F58" s="2"/>
      <c r="G58" s="2"/>
    </row>
    <row r="59" spans="2:7" x14ac:dyDescent="0.25">
      <c r="B59" s="4">
        <v>45914</v>
      </c>
      <c r="C59" s="2" t="s">
        <v>5371</v>
      </c>
      <c r="D59" s="2" t="s">
        <v>5372</v>
      </c>
      <c r="E59" s="23">
        <v>94</v>
      </c>
      <c r="F59" s="23">
        <f>E59-E58</f>
        <v>94</v>
      </c>
      <c r="G59" s="2"/>
    </row>
    <row r="60" spans="2:7" x14ac:dyDescent="0.25">
      <c r="B60" s="4">
        <v>45915</v>
      </c>
      <c r="C60" s="2" t="s">
        <v>3583</v>
      </c>
      <c r="D60" s="2"/>
      <c r="E60" s="23">
        <v>103</v>
      </c>
      <c r="F60" s="23">
        <f t="shared" ref="F60:F65" si="2">E60-E59</f>
        <v>9</v>
      </c>
      <c r="G60" s="2"/>
    </row>
    <row r="61" spans="2:7" x14ac:dyDescent="0.25">
      <c r="B61" s="4">
        <v>45916</v>
      </c>
      <c r="C61" s="2" t="s">
        <v>5390</v>
      </c>
      <c r="D61" s="2"/>
      <c r="E61" s="23">
        <v>103</v>
      </c>
      <c r="F61" s="23">
        <f t="shared" si="2"/>
        <v>0</v>
      </c>
      <c r="G61" s="2"/>
    </row>
    <row r="62" spans="2:7" x14ac:dyDescent="0.25">
      <c r="B62" s="4">
        <v>45917</v>
      </c>
      <c r="C62" s="2" t="s">
        <v>5402</v>
      </c>
      <c r="D62" s="2" t="s">
        <v>5404</v>
      </c>
      <c r="E62" s="23">
        <v>103</v>
      </c>
      <c r="F62" s="23">
        <f t="shared" si="2"/>
        <v>0</v>
      </c>
      <c r="G62" s="2"/>
    </row>
    <row r="63" spans="2:7" x14ac:dyDescent="0.25">
      <c r="B63" s="4">
        <v>45918</v>
      </c>
      <c r="C63" s="2" t="s">
        <v>5409</v>
      </c>
      <c r="D63" s="2"/>
      <c r="E63" s="23"/>
      <c r="F63" s="23">
        <f t="shared" si="2"/>
        <v>-103</v>
      </c>
      <c r="G63" s="2"/>
    </row>
    <row r="64" spans="2:7" x14ac:dyDescent="0.25">
      <c r="B64" s="4">
        <v>45919</v>
      </c>
      <c r="C64" s="2" t="s">
        <v>5419</v>
      </c>
      <c r="D64" s="2" t="s">
        <v>5428</v>
      </c>
      <c r="E64" s="23"/>
      <c r="F64" s="23">
        <f t="shared" si="2"/>
        <v>0</v>
      </c>
      <c r="G64" s="2"/>
    </row>
    <row r="65" spans="2:7" x14ac:dyDescent="0.25">
      <c r="B65" s="4">
        <v>45920</v>
      </c>
      <c r="C65" s="2" t="s">
        <v>5429</v>
      </c>
      <c r="D65" s="2"/>
      <c r="E65" s="23"/>
      <c r="F65" s="23">
        <f t="shared" si="2"/>
        <v>0</v>
      </c>
      <c r="G65" s="2"/>
    </row>
    <row r="66" spans="2:7" x14ac:dyDescent="0.25">
      <c r="B66" s="4">
        <v>45921</v>
      </c>
      <c r="C66" s="2" t="s">
        <v>5437</v>
      </c>
      <c r="D66" s="2" t="s">
        <v>5439</v>
      </c>
      <c r="E66" s="23"/>
      <c r="F66" s="23"/>
      <c r="G66" s="2"/>
    </row>
    <row r="67" spans="2:7" x14ac:dyDescent="0.25">
      <c r="B67" s="4">
        <v>45922</v>
      </c>
      <c r="C67" s="2"/>
      <c r="D67" s="2"/>
      <c r="E67" s="23"/>
      <c r="F67" s="23"/>
      <c r="G67" s="2"/>
    </row>
    <row r="68" spans="2:7" x14ac:dyDescent="0.25">
      <c r="B68" s="4">
        <v>45923</v>
      </c>
      <c r="C68" s="2"/>
      <c r="D68" s="2" t="s">
        <v>5448</v>
      </c>
      <c r="E68" s="23"/>
      <c r="F68" s="23"/>
      <c r="G68" s="2"/>
    </row>
    <row r="69" spans="2:7" x14ac:dyDescent="0.25">
      <c r="B69" s="4">
        <v>45924</v>
      </c>
      <c r="C69" s="2" t="s">
        <v>5472</v>
      </c>
      <c r="D69" s="2"/>
      <c r="E69" s="23">
        <v>50</v>
      </c>
      <c r="F69" s="23">
        <f>E69-E68</f>
        <v>50</v>
      </c>
      <c r="G69" s="2"/>
    </row>
    <row r="70" spans="2:7" x14ac:dyDescent="0.25">
      <c r="B70" s="4">
        <v>45925</v>
      </c>
      <c r="C70" s="2" t="s">
        <v>5471</v>
      </c>
      <c r="D70" s="2" t="s">
        <v>5473</v>
      </c>
      <c r="E70" s="23">
        <v>70</v>
      </c>
      <c r="F70" s="23">
        <f>E70-E69</f>
        <v>20</v>
      </c>
      <c r="G70" s="2"/>
    </row>
    <row r="71" spans="2:7" x14ac:dyDescent="0.25">
      <c r="B71" s="4">
        <v>45926</v>
      </c>
      <c r="C71" s="2" t="s">
        <v>5476</v>
      </c>
      <c r="D71" s="2" t="s">
        <v>5477</v>
      </c>
      <c r="E71" s="23">
        <v>103</v>
      </c>
      <c r="F71" s="23">
        <f t="shared" ref="F71:F75" si="3">E71-E70</f>
        <v>33</v>
      </c>
      <c r="G71" s="2"/>
    </row>
    <row r="72" spans="2:7" x14ac:dyDescent="0.25">
      <c r="B72" s="4">
        <v>45927</v>
      </c>
      <c r="C72" s="2" t="s">
        <v>5493</v>
      </c>
      <c r="D72" s="2" t="s">
        <v>5494</v>
      </c>
      <c r="E72" s="23"/>
      <c r="F72" s="23">
        <f t="shared" si="3"/>
        <v>-103</v>
      </c>
      <c r="G72" s="2"/>
    </row>
    <row r="73" spans="2:7" x14ac:dyDescent="0.25">
      <c r="B73" s="4">
        <v>45928</v>
      </c>
      <c r="C73" s="2"/>
      <c r="D73" s="2"/>
      <c r="E73" s="23"/>
      <c r="F73" s="23">
        <f t="shared" si="3"/>
        <v>0</v>
      </c>
      <c r="G73" s="2"/>
    </row>
    <row r="74" spans="2:7" x14ac:dyDescent="0.25">
      <c r="B74" s="4">
        <v>45929</v>
      </c>
      <c r="C74" s="2" t="s">
        <v>5506</v>
      </c>
      <c r="D74" s="2"/>
      <c r="E74" s="23"/>
      <c r="F74" s="23">
        <f t="shared" si="3"/>
        <v>0</v>
      </c>
      <c r="G74" s="2"/>
    </row>
    <row r="75" spans="2:7" x14ac:dyDescent="0.25">
      <c r="B75" s="4">
        <v>45930</v>
      </c>
      <c r="C75" s="2" t="s">
        <v>5520</v>
      </c>
      <c r="D75" s="2"/>
      <c r="E75" s="23"/>
      <c r="F75" s="23">
        <f t="shared" si="3"/>
        <v>0</v>
      </c>
      <c r="G75" s="2"/>
    </row>
    <row r="76" spans="2:7" x14ac:dyDescent="0.25">
      <c r="B76" s="4">
        <v>45931</v>
      </c>
      <c r="C76" s="2" t="s">
        <v>5531</v>
      </c>
      <c r="D76" s="2"/>
      <c r="E76" s="2"/>
      <c r="F76" s="2"/>
      <c r="G76" s="2"/>
    </row>
    <row r="77" spans="2:7" x14ac:dyDescent="0.25">
      <c r="B77" s="4">
        <v>45932</v>
      </c>
      <c r="C77" s="2" t="s">
        <v>5542</v>
      </c>
      <c r="D77" s="2"/>
      <c r="E77" s="2"/>
      <c r="F77" s="2"/>
      <c r="G77" s="2"/>
    </row>
    <row r="78" spans="2:7" x14ac:dyDescent="0.25">
      <c r="B78" s="4">
        <v>45933</v>
      </c>
      <c r="C78" s="2" t="s">
        <v>1178</v>
      </c>
      <c r="D78" s="2"/>
      <c r="E78" s="2"/>
      <c r="F78" s="2"/>
      <c r="G78" s="2"/>
    </row>
    <row r="79" spans="2:7" x14ac:dyDescent="0.25">
      <c r="B79" s="4">
        <v>45934</v>
      </c>
      <c r="C79" s="2" t="s">
        <v>5559</v>
      </c>
      <c r="D79" s="2"/>
      <c r="E79" s="2"/>
      <c r="F79" s="2"/>
      <c r="G79" s="2"/>
    </row>
    <row r="80" spans="2:7" x14ac:dyDescent="0.25">
      <c r="B80" s="4">
        <v>45935</v>
      </c>
      <c r="C80" s="2" t="s">
        <v>5569</v>
      </c>
      <c r="D80" s="2" t="s">
        <v>5567</v>
      </c>
      <c r="E80" s="2"/>
      <c r="F80" s="2"/>
      <c r="G80" s="2"/>
    </row>
    <row r="81" spans="2:7" x14ac:dyDescent="0.25">
      <c r="B81" s="4">
        <v>45936</v>
      </c>
      <c r="C81" s="2" t="s">
        <v>5547</v>
      </c>
      <c r="D81" s="2"/>
      <c r="E81" s="2"/>
      <c r="F81" s="2"/>
      <c r="G81" s="2"/>
    </row>
    <row r="82" spans="2:7" x14ac:dyDescent="0.25">
      <c r="B82" s="4">
        <v>45937</v>
      </c>
      <c r="C82" s="2"/>
      <c r="D82" s="2"/>
      <c r="E82" s="2"/>
      <c r="F82" s="2"/>
      <c r="G82" s="2"/>
    </row>
    <row r="83" spans="2:7" x14ac:dyDescent="0.25">
      <c r="B83" s="4">
        <v>45938</v>
      </c>
      <c r="C83" s="2" t="s">
        <v>5289</v>
      </c>
      <c r="D83" s="2"/>
      <c r="E83" s="2"/>
      <c r="F83" s="2"/>
      <c r="G83" s="2"/>
    </row>
    <row r="84" spans="2:7" x14ac:dyDescent="0.25">
      <c r="B84" s="4">
        <v>45939</v>
      </c>
      <c r="C84" s="2"/>
      <c r="D84" s="2"/>
      <c r="E84" s="2"/>
      <c r="F84" s="2"/>
      <c r="G84" s="2"/>
    </row>
    <row r="85" spans="2:7" x14ac:dyDescent="0.25">
      <c r="B85" s="4">
        <v>45940</v>
      </c>
      <c r="C85" s="2"/>
      <c r="D85" s="2"/>
      <c r="E85" s="2"/>
      <c r="F85" s="2"/>
      <c r="G85" s="2"/>
    </row>
    <row r="86" spans="2:7" x14ac:dyDescent="0.25">
      <c r="B86" s="4">
        <v>45941</v>
      </c>
      <c r="C86" s="2"/>
      <c r="D86" s="2"/>
      <c r="E86" s="2"/>
      <c r="F86" s="2"/>
      <c r="G86" s="2"/>
    </row>
    <row r="87" spans="2:7" x14ac:dyDescent="0.25">
      <c r="B87" s="4">
        <v>45942</v>
      </c>
      <c r="C87" s="2"/>
      <c r="D87" s="2"/>
      <c r="E87" s="2"/>
      <c r="F87" s="2"/>
      <c r="G87" s="2"/>
    </row>
    <row r="88" spans="2:7" x14ac:dyDescent="0.25">
      <c r="B88" s="4">
        <v>45943</v>
      </c>
      <c r="C88" s="2"/>
      <c r="D88" s="2"/>
      <c r="E88" s="2"/>
      <c r="F88" s="2"/>
      <c r="G88" s="2"/>
    </row>
    <row r="89" spans="2:7" x14ac:dyDescent="0.25">
      <c r="B89" s="4">
        <v>45944</v>
      </c>
      <c r="C89" s="2"/>
      <c r="D89" s="2"/>
      <c r="E89" s="2"/>
      <c r="F89" s="2"/>
      <c r="G89" s="2"/>
    </row>
    <row r="90" spans="2:7" x14ac:dyDescent="0.25">
      <c r="B90" s="4">
        <v>45945</v>
      </c>
      <c r="C90" s="2"/>
      <c r="D90" s="2"/>
      <c r="E90" s="2"/>
      <c r="F90" s="2"/>
      <c r="G90" s="2"/>
    </row>
    <row r="91" spans="2:7" x14ac:dyDescent="0.25">
      <c r="B91" s="4">
        <v>45946</v>
      </c>
      <c r="C91" s="2"/>
      <c r="D91" s="2"/>
      <c r="E91" s="2"/>
      <c r="F91" s="2"/>
      <c r="G91" s="2"/>
    </row>
    <row r="92" spans="2:7" x14ac:dyDescent="0.25">
      <c r="B92" s="4">
        <v>45947</v>
      </c>
      <c r="C92" s="2" t="s">
        <v>5490</v>
      </c>
      <c r="D92" s="2"/>
      <c r="E92" s="2"/>
      <c r="F92" s="2"/>
      <c r="G92" s="2"/>
    </row>
    <row r="93" spans="2:7" x14ac:dyDescent="0.25">
      <c r="B93" s="4">
        <v>45948</v>
      </c>
      <c r="C93" s="2" t="s">
        <v>1166</v>
      </c>
      <c r="D93" s="2"/>
      <c r="E93" s="2"/>
      <c r="F93" s="2"/>
      <c r="G93" s="2"/>
    </row>
    <row r="94" spans="2:7" x14ac:dyDescent="0.25">
      <c r="B94" s="4">
        <v>45949</v>
      </c>
      <c r="C94" s="2"/>
      <c r="D94" s="2"/>
      <c r="E94" s="2"/>
      <c r="F94" s="2"/>
      <c r="G94" s="2"/>
    </row>
    <row r="95" spans="2:7" x14ac:dyDescent="0.25">
      <c r="B95" s="4">
        <v>45950</v>
      </c>
      <c r="C95" s="2"/>
      <c r="D95" s="2"/>
      <c r="E95" s="2"/>
      <c r="F95" s="2"/>
      <c r="G95" s="2"/>
    </row>
    <row r="96" spans="2:7" x14ac:dyDescent="0.25">
      <c r="B96" s="4">
        <v>45951</v>
      </c>
      <c r="C96" s="2"/>
      <c r="D96" s="2"/>
      <c r="E96" s="2"/>
      <c r="F96" s="2"/>
      <c r="G96" s="2"/>
    </row>
    <row r="97" spans="2:7" x14ac:dyDescent="0.25">
      <c r="B97" s="4">
        <v>45952</v>
      </c>
      <c r="C97" s="2"/>
      <c r="D97" s="2"/>
      <c r="E97" s="2"/>
      <c r="F97" s="2"/>
      <c r="G97" s="2"/>
    </row>
    <row r="98" spans="2:7" x14ac:dyDescent="0.25">
      <c r="B98" s="4">
        <v>45953</v>
      </c>
      <c r="C98" s="2" t="s">
        <v>5714</v>
      </c>
      <c r="D98" s="2"/>
      <c r="E98" s="2"/>
      <c r="F98" s="2"/>
      <c r="G98" s="2"/>
    </row>
    <row r="99" spans="2:7" x14ac:dyDescent="0.25">
      <c r="B99" s="4">
        <v>45954</v>
      </c>
      <c r="C99" s="2" t="s">
        <v>5718</v>
      </c>
      <c r="D99" s="2"/>
      <c r="E99" s="2"/>
      <c r="F99" s="2"/>
      <c r="G99" s="2"/>
    </row>
    <row r="100" spans="2:7" x14ac:dyDescent="0.25">
      <c r="B100" s="4">
        <v>45955</v>
      </c>
      <c r="C100" s="2" t="s">
        <v>5651</v>
      </c>
      <c r="D100" s="2"/>
      <c r="E100" s="2"/>
      <c r="F100" s="2"/>
      <c r="G100" s="2"/>
    </row>
    <row r="101" spans="2:7" x14ac:dyDescent="0.25">
      <c r="B101" s="4">
        <v>45956</v>
      </c>
      <c r="C101" s="2" t="s">
        <v>5734</v>
      </c>
      <c r="D101" s="2"/>
      <c r="E101" s="2"/>
      <c r="F101" s="2"/>
      <c r="G101" s="2"/>
    </row>
    <row r="102" spans="2:7" x14ac:dyDescent="0.25">
      <c r="B102" s="4">
        <v>45957</v>
      </c>
      <c r="C102" s="2" t="s">
        <v>5740</v>
      </c>
      <c r="D102" s="2"/>
      <c r="E102" s="2"/>
      <c r="F102" s="2"/>
      <c r="G102" s="2"/>
    </row>
    <row r="103" spans="2:7" x14ac:dyDescent="0.25">
      <c r="B103" s="4">
        <v>45958</v>
      </c>
      <c r="C103" s="2" t="s">
        <v>5750</v>
      </c>
      <c r="D103" s="2"/>
      <c r="E103" s="2"/>
      <c r="F103" s="2"/>
      <c r="G103" s="2"/>
    </row>
    <row r="104" spans="2:7" x14ac:dyDescent="0.25">
      <c r="B104" s="4">
        <v>45959</v>
      </c>
      <c r="C104" s="2" t="s">
        <v>5755</v>
      </c>
      <c r="D104" s="2"/>
      <c r="E104" s="2"/>
      <c r="F104" s="2"/>
      <c r="G104" s="2"/>
    </row>
    <row r="105" spans="2:7" x14ac:dyDescent="0.25">
      <c r="B105" s="4">
        <v>45960</v>
      </c>
      <c r="C105" s="2" t="s">
        <v>5760</v>
      </c>
      <c r="D105" s="2"/>
      <c r="E105" s="2"/>
      <c r="F105" s="2"/>
      <c r="G105" s="2"/>
    </row>
    <row r="106" spans="2:7" x14ac:dyDescent="0.25">
      <c r="B106" s="4">
        <v>45961</v>
      </c>
      <c r="C106" s="2" t="s">
        <v>5771</v>
      </c>
      <c r="D106" s="2"/>
      <c r="E106" s="2"/>
      <c r="F106" s="2"/>
      <c r="G106" s="2"/>
    </row>
    <row r="107" spans="2:7" x14ac:dyDescent="0.25">
      <c r="B107" s="4">
        <v>45962</v>
      </c>
      <c r="C107" s="2" t="s">
        <v>5668</v>
      </c>
      <c r="D107" s="2"/>
      <c r="E107" s="2"/>
      <c r="F107" s="2"/>
      <c r="G107" s="2"/>
    </row>
    <row r="108" spans="2:7" x14ac:dyDescent="0.25">
      <c r="B108" s="4">
        <v>45963</v>
      </c>
      <c r="C108" s="2" t="s">
        <v>480</v>
      </c>
      <c r="D108" s="2"/>
      <c r="E108" s="2"/>
      <c r="F108" s="2"/>
      <c r="G108" s="2"/>
    </row>
    <row r="109" spans="2:7" x14ac:dyDescent="0.25">
      <c r="B109" s="4">
        <v>45964</v>
      </c>
      <c r="C109" s="2" t="s">
        <v>5669</v>
      </c>
      <c r="D109" s="2"/>
      <c r="E109" s="2"/>
      <c r="F109" s="2"/>
      <c r="G109" s="2"/>
    </row>
    <row r="110" spans="2:7" x14ac:dyDescent="0.25">
      <c r="B110" s="4">
        <v>45965</v>
      </c>
      <c r="C110" s="2" t="s">
        <v>5800</v>
      </c>
      <c r="D110" s="2"/>
      <c r="E110" s="2"/>
      <c r="F110" s="2"/>
      <c r="G110" s="2"/>
    </row>
    <row r="111" spans="2:7" x14ac:dyDescent="0.25">
      <c r="B111" s="4">
        <v>45966</v>
      </c>
      <c r="C111" s="2" t="s">
        <v>5805</v>
      </c>
      <c r="D111" s="2"/>
      <c r="E111" s="2"/>
      <c r="F111" s="2"/>
      <c r="G111" s="2"/>
    </row>
    <row r="112" spans="2:7" x14ac:dyDescent="0.25">
      <c r="B112" s="4">
        <v>45967</v>
      </c>
      <c r="C112" s="2" t="s">
        <v>5813</v>
      </c>
      <c r="D112" s="2"/>
      <c r="E112" s="2"/>
      <c r="F112" s="2"/>
      <c r="G112" s="2"/>
    </row>
    <row r="113" spans="2:7" x14ac:dyDescent="0.25">
      <c r="B113" s="4">
        <v>45968</v>
      </c>
      <c r="C113" s="2" t="s">
        <v>5813</v>
      </c>
      <c r="D113" s="2"/>
      <c r="E113" s="2"/>
      <c r="F113" s="2"/>
      <c r="G113" s="2"/>
    </row>
    <row r="114" spans="2:7" x14ac:dyDescent="0.25">
      <c r="B114" s="4">
        <v>45969</v>
      </c>
      <c r="C114" s="2" t="s">
        <v>5813</v>
      </c>
      <c r="D114" s="2"/>
      <c r="E114" s="2"/>
      <c r="F114" s="2"/>
      <c r="G114" s="2"/>
    </row>
    <row r="115" spans="2:7" x14ac:dyDescent="0.25">
      <c r="B115" s="4">
        <v>45970</v>
      </c>
      <c r="C115" s="2" t="s">
        <v>5813</v>
      </c>
      <c r="D115" s="2"/>
      <c r="E115" s="2"/>
      <c r="F115" s="2"/>
      <c r="G115" s="2"/>
    </row>
    <row r="116" spans="2:7" x14ac:dyDescent="0.25">
      <c r="B116" s="4">
        <v>45971</v>
      </c>
      <c r="C116" s="2" t="s">
        <v>5813</v>
      </c>
      <c r="D116" s="2"/>
      <c r="E116" s="2"/>
      <c r="F116" s="2"/>
      <c r="G116" s="2"/>
    </row>
    <row r="117" spans="2:7" x14ac:dyDescent="0.25">
      <c r="B117" s="4">
        <v>45972</v>
      </c>
      <c r="C117" s="2" t="s">
        <v>5813</v>
      </c>
      <c r="D117" s="2"/>
      <c r="E117" s="2"/>
      <c r="F117" s="2"/>
      <c r="G117" s="2"/>
    </row>
    <row r="118" spans="2:7" x14ac:dyDescent="0.25">
      <c r="B118" s="4">
        <v>45973</v>
      </c>
      <c r="C118" s="2" t="s">
        <v>5851</v>
      </c>
      <c r="D118" s="2"/>
      <c r="E118" s="2"/>
      <c r="F118" s="2"/>
      <c r="G118" s="2"/>
    </row>
    <row r="119" spans="2:7" x14ac:dyDescent="0.25">
      <c r="B119" s="4">
        <v>45974</v>
      </c>
      <c r="C119" s="2" t="s">
        <v>5855</v>
      </c>
      <c r="D119" s="2"/>
      <c r="E119" s="2"/>
      <c r="F119" s="2"/>
      <c r="G119" s="2"/>
    </row>
    <row r="120" spans="2:7" x14ac:dyDescent="0.25">
      <c r="B120" s="4">
        <v>45975</v>
      </c>
      <c r="C120" s="2" t="s">
        <v>5865</v>
      </c>
      <c r="D120" s="2"/>
      <c r="E120" s="2"/>
      <c r="F120" s="2"/>
      <c r="G120" s="2"/>
    </row>
    <row r="121" spans="2:7" x14ac:dyDescent="0.25">
      <c r="B121" s="4">
        <v>45976</v>
      </c>
      <c r="C121" s="2" t="s">
        <v>5873</v>
      </c>
      <c r="D121" s="2"/>
      <c r="E121" s="2"/>
      <c r="F121" s="2"/>
      <c r="G121" s="2"/>
    </row>
    <row r="122" spans="2:7" x14ac:dyDescent="0.25">
      <c r="B122" s="4">
        <v>45977</v>
      </c>
      <c r="C122" s="2" t="s">
        <v>5913</v>
      </c>
      <c r="D122" s="2"/>
      <c r="E122" s="2"/>
      <c r="F122" s="2"/>
      <c r="G122" s="2"/>
    </row>
    <row r="123" spans="2:7" x14ac:dyDescent="0.25">
      <c r="B123" s="4">
        <v>45978</v>
      </c>
      <c r="C123" s="2" t="s">
        <v>5914</v>
      </c>
      <c r="D123" s="2"/>
      <c r="E123" s="2"/>
      <c r="F123" s="2"/>
      <c r="G123" s="2"/>
    </row>
    <row r="124" spans="2:7" x14ac:dyDescent="0.25">
      <c r="B124" s="4">
        <v>45979</v>
      </c>
      <c r="C124" s="2" t="s">
        <v>5915</v>
      </c>
      <c r="D124" s="2"/>
      <c r="E124" s="2"/>
      <c r="F124" s="2"/>
      <c r="G124" s="2"/>
    </row>
    <row r="125" spans="2:7" x14ac:dyDescent="0.25">
      <c r="B125" s="4">
        <v>45980</v>
      </c>
      <c r="C125" s="2" t="s">
        <v>5919</v>
      </c>
      <c r="D125" s="2"/>
      <c r="E125" s="2"/>
      <c r="F125" s="2"/>
      <c r="G125" s="2"/>
    </row>
    <row r="126" spans="2:7" x14ac:dyDescent="0.25">
      <c r="B126" s="4">
        <v>45981</v>
      </c>
      <c r="C126" s="2" t="s">
        <v>5926</v>
      </c>
      <c r="D126" s="2"/>
      <c r="E126" s="2"/>
      <c r="F126" s="2"/>
      <c r="G126" s="2"/>
    </row>
    <row r="127" spans="2:7" x14ac:dyDescent="0.25">
      <c r="B127" s="4">
        <v>45982</v>
      </c>
      <c r="C127" s="2" t="s">
        <v>5937</v>
      </c>
      <c r="D127" s="2"/>
      <c r="E127" s="2"/>
      <c r="F127" s="2"/>
      <c r="G127" s="2"/>
    </row>
    <row r="128" spans="2:7" x14ac:dyDescent="0.25">
      <c r="B128" s="4">
        <v>45983</v>
      </c>
      <c r="C128" s="2" t="s">
        <v>5941</v>
      </c>
      <c r="D128" s="2"/>
      <c r="E128" s="2"/>
      <c r="F128" s="2"/>
      <c r="G128" s="2"/>
    </row>
    <row r="129" spans="2:7" x14ac:dyDescent="0.25">
      <c r="B129" s="4">
        <v>45984</v>
      </c>
      <c r="C129" s="2" t="s">
        <v>5948</v>
      </c>
      <c r="D129" s="2"/>
      <c r="E129" s="2"/>
      <c r="F129" s="2"/>
      <c r="G129" s="2"/>
    </row>
    <row r="130" spans="2:7" x14ac:dyDescent="0.25">
      <c r="B130" s="4">
        <v>45985</v>
      </c>
      <c r="C130" s="2" t="s">
        <v>5962</v>
      </c>
      <c r="D130" s="2"/>
      <c r="E130" s="2"/>
      <c r="F130" s="2"/>
      <c r="G130" s="2"/>
    </row>
    <row r="131" spans="2:7" x14ac:dyDescent="0.25">
      <c r="B131" s="4">
        <v>45986</v>
      </c>
      <c r="C131" s="2" t="s">
        <v>5970</v>
      </c>
      <c r="D131" s="2"/>
      <c r="E131" s="2"/>
      <c r="F131" s="2"/>
      <c r="G131" s="2"/>
    </row>
    <row r="132" spans="2:7" x14ac:dyDescent="0.25">
      <c r="B132" s="4">
        <v>45987</v>
      </c>
      <c r="C132" s="2" t="s">
        <v>5979</v>
      </c>
      <c r="D132" s="2"/>
      <c r="E132" s="2"/>
      <c r="F132" s="2"/>
      <c r="G132" s="2"/>
    </row>
    <row r="133" spans="2:7" x14ac:dyDescent="0.25">
      <c r="B133" s="4">
        <v>45988</v>
      </c>
      <c r="C133" s="2" t="s">
        <v>5984</v>
      </c>
      <c r="D133" s="2"/>
      <c r="E133" s="2"/>
      <c r="F133" s="2"/>
      <c r="G133" s="2"/>
    </row>
    <row r="134" spans="2:7" x14ac:dyDescent="0.25">
      <c r="B134" s="4">
        <v>45989</v>
      </c>
      <c r="C134" s="2" t="s">
        <v>5994</v>
      </c>
      <c r="D134" s="2" t="s">
        <v>5999</v>
      </c>
      <c r="E134" s="2"/>
      <c r="F134" s="2"/>
      <c r="G134" s="2"/>
    </row>
    <row r="135" spans="2:7" x14ac:dyDescent="0.25">
      <c r="B135" s="4">
        <v>45990</v>
      </c>
      <c r="C135" s="2" t="s">
        <v>6012</v>
      </c>
      <c r="D135" s="2"/>
      <c r="E135" s="2"/>
      <c r="F135" s="2"/>
      <c r="G135" s="2"/>
    </row>
    <row r="136" spans="2:7" x14ac:dyDescent="0.25">
      <c r="B136" s="4">
        <v>45991</v>
      </c>
      <c r="C136" s="2" t="s">
        <v>6013</v>
      </c>
      <c r="D136" s="2"/>
      <c r="E136" s="2"/>
      <c r="F136" s="2"/>
      <c r="G136" s="2"/>
    </row>
    <row r="137" spans="2:7" x14ac:dyDescent="0.25">
      <c r="B137" s="4">
        <v>45992</v>
      </c>
      <c r="C137" s="2" t="s">
        <v>6024</v>
      </c>
      <c r="D137" s="2"/>
      <c r="E137" s="2"/>
      <c r="F137" s="2"/>
      <c r="G137" s="2"/>
    </row>
    <row r="138" spans="2:7" x14ac:dyDescent="0.25">
      <c r="B138" s="4">
        <v>45993</v>
      </c>
      <c r="C138" s="2" t="s">
        <v>6030</v>
      </c>
      <c r="D138" s="2"/>
      <c r="E138" s="2"/>
      <c r="F138" s="2"/>
      <c r="G138" s="2"/>
    </row>
    <row r="139" spans="2:7" x14ac:dyDescent="0.25">
      <c r="B139" s="4">
        <v>45994</v>
      </c>
      <c r="C139" s="2" t="s">
        <v>6037</v>
      </c>
      <c r="D139" s="2"/>
      <c r="E139" s="2"/>
      <c r="F139" s="2"/>
      <c r="G139" s="2"/>
    </row>
    <row r="140" spans="2:7" x14ac:dyDescent="0.25">
      <c r="B140" s="4">
        <v>45995</v>
      </c>
      <c r="C140" s="2" t="s">
        <v>6057</v>
      </c>
      <c r="D140" s="2"/>
      <c r="E140" s="2"/>
      <c r="F140" s="2"/>
      <c r="G140" s="2"/>
    </row>
    <row r="141" spans="2:7" x14ac:dyDescent="0.25">
      <c r="B141" s="4">
        <v>45996</v>
      </c>
      <c r="C141" s="2" t="s">
        <v>6058</v>
      </c>
      <c r="D141" s="2"/>
      <c r="E141" s="2"/>
      <c r="F141" s="2"/>
      <c r="G141" s="2"/>
    </row>
    <row r="142" spans="2:7" x14ac:dyDescent="0.25">
      <c r="B142" s="4">
        <v>45997</v>
      </c>
      <c r="C142" s="2" t="s">
        <v>6070</v>
      </c>
      <c r="D142" s="2"/>
      <c r="E142" s="2"/>
      <c r="F142" s="2"/>
      <c r="G142" s="2"/>
    </row>
    <row r="143" spans="2:7" x14ac:dyDescent="0.25">
      <c r="B143" s="4">
        <v>45998</v>
      </c>
      <c r="C143" s="2" t="s">
        <v>6071</v>
      </c>
      <c r="D143" s="2"/>
      <c r="E143" s="2"/>
      <c r="F143" s="2"/>
      <c r="G143" s="2"/>
    </row>
    <row r="144" spans="2:7" x14ac:dyDescent="0.25">
      <c r="B144" s="4">
        <v>45999</v>
      </c>
      <c r="C144" s="2" t="s">
        <v>6080</v>
      </c>
      <c r="D144" s="2"/>
      <c r="E144" s="2"/>
      <c r="F144" s="2"/>
      <c r="G144" s="2"/>
    </row>
    <row r="145" spans="2:7" x14ac:dyDescent="0.25">
      <c r="B145" s="4">
        <v>46000</v>
      </c>
      <c r="C145" s="2" t="s">
        <v>6088</v>
      </c>
      <c r="D145" s="2"/>
      <c r="E145" s="2"/>
      <c r="F145" s="2"/>
      <c r="G145" s="2"/>
    </row>
    <row r="146" spans="2:7" x14ac:dyDescent="0.25">
      <c r="B146" s="4">
        <v>46001</v>
      </c>
      <c r="C146" s="2" t="s">
        <v>6088</v>
      </c>
      <c r="D146" s="2"/>
      <c r="E146" s="2"/>
      <c r="F146" s="2"/>
      <c r="G146" s="2"/>
    </row>
    <row r="147" spans="2:7" x14ac:dyDescent="0.25">
      <c r="B147" s="4">
        <v>46002</v>
      </c>
      <c r="C147" s="2" t="s">
        <v>6099</v>
      </c>
      <c r="D147" s="2"/>
      <c r="E147" s="2"/>
      <c r="F147" s="2"/>
      <c r="G147" s="2"/>
    </row>
    <row r="148" spans="2:7" x14ac:dyDescent="0.25">
      <c r="B148" s="4">
        <v>46003</v>
      </c>
      <c r="C148" s="2" t="s">
        <v>6107</v>
      </c>
      <c r="D148" s="2"/>
      <c r="E148" s="2"/>
      <c r="F148" s="2"/>
      <c r="G148" s="2"/>
    </row>
    <row r="149" spans="2:7" x14ac:dyDescent="0.25">
      <c r="B149" s="4">
        <v>46004</v>
      </c>
      <c r="C149" s="2" t="s">
        <v>6114</v>
      </c>
      <c r="D149" s="2"/>
      <c r="E149" s="2"/>
      <c r="F149" s="2"/>
      <c r="G149" s="2"/>
    </row>
    <row r="150" spans="2:7" x14ac:dyDescent="0.25">
      <c r="B150" s="4">
        <v>46005</v>
      </c>
      <c r="C150" s="2" t="s">
        <v>6119</v>
      </c>
      <c r="D150" s="2"/>
      <c r="E150" s="2"/>
      <c r="F150" s="2"/>
      <c r="G150" s="2"/>
    </row>
    <row r="151" spans="2:7" x14ac:dyDescent="0.25">
      <c r="B151" s="4">
        <v>46006</v>
      </c>
      <c r="C151" s="2" t="s">
        <v>6124</v>
      </c>
      <c r="D151" s="2"/>
      <c r="E151" s="2"/>
      <c r="F151" s="2"/>
      <c r="G151" s="2"/>
    </row>
    <row r="152" spans="2:7" x14ac:dyDescent="0.25">
      <c r="B152" s="4">
        <v>46007</v>
      </c>
      <c r="C152" s="2" t="s">
        <v>6135</v>
      </c>
      <c r="D152" s="2"/>
      <c r="E152" s="2"/>
      <c r="F152" s="2"/>
      <c r="G152" s="2"/>
    </row>
    <row r="153" spans="2:7" x14ac:dyDescent="0.25">
      <c r="B153" s="4">
        <v>46008</v>
      </c>
      <c r="C153" s="2" t="s">
        <v>6144</v>
      </c>
      <c r="D153" s="2"/>
      <c r="E153" s="2"/>
      <c r="F153" s="2"/>
      <c r="G153" s="2"/>
    </row>
    <row r="154" spans="2:7" x14ac:dyDescent="0.25">
      <c r="B154" s="4">
        <v>46009</v>
      </c>
      <c r="C154" s="2" t="s">
        <v>6152</v>
      </c>
      <c r="D154" s="2"/>
      <c r="E154" s="2"/>
      <c r="F154" s="2"/>
      <c r="G154" s="2"/>
    </row>
    <row r="155" spans="2:7" x14ac:dyDescent="0.25">
      <c r="B155" s="4">
        <v>46010</v>
      </c>
      <c r="C155" s="2" t="s">
        <v>6161</v>
      </c>
      <c r="D155" s="2"/>
      <c r="E155" s="2"/>
      <c r="F155" s="2"/>
      <c r="G155" s="2"/>
    </row>
    <row r="156" spans="2:7" x14ac:dyDescent="0.25">
      <c r="B156" s="4">
        <v>46011</v>
      </c>
      <c r="C156" s="2" t="s">
        <v>6166</v>
      </c>
      <c r="D156" s="2"/>
      <c r="E156" s="2"/>
      <c r="F156" s="2"/>
      <c r="G156" s="2"/>
    </row>
    <row r="157" spans="2:7" x14ac:dyDescent="0.25">
      <c r="B157" s="4">
        <v>46012</v>
      </c>
      <c r="C157" s="2" t="s">
        <v>6166</v>
      </c>
      <c r="D157" s="2"/>
      <c r="E157" s="2"/>
      <c r="F157" s="2"/>
      <c r="G157" s="2"/>
    </row>
    <row r="158" spans="2:7" x14ac:dyDescent="0.25">
      <c r="B158" s="4">
        <v>46013</v>
      </c>
      <c r="C158" s="2" t="s">
        <v>6187</v>
      </c>
      <c r="D158" s="2"/>
      <c r="E158" s="2"/>
      <c r="F158" s="2"/>
      <c r="G158" s="2"/>
    </row>
    <row r="159" spans="2:7" x14ac:dyDescent="0.25">
      <c r="B159" s="4">
        <v>46014</v>
      </c>
      <c r="C159" s="2" t="s">
        <v>6191</v>
      </c>
      <c r="D159" s="2"/>
      <c r="E159" s="2"/>
      <c r="F159" s="2"/>
      <c r="G159" s="2"/>
    </row>
    <row r="160" spans="2:7" x14ac:dyDescent="0.25">
      <c r="B160" s="4">
        <v>46015</v>
      </c>
      <c r="C160" s="2" t="s">
        <v>6197</v>
      </c>
      <c r="D160" s="2"/>
      <c r="E160" s="2"/>
      <c r="F160" s="2"/>
      <c r="G160" s="2"/>
    </row>
    <row r="161" spans="2:7" x14ac:dyDescent="0.25">
      <c r="B161" s="4">
        <v>46016</v>
      </c>
      <c r="C161" s="2" t="s">
        <v>6211</v>
      </c>
      <c r="D161" s="2"/>
      <c r="E161" s="2"/>
      <c r="F161" s="2"/>
      <c r="G161" s="2"/>
    </row>
    <row r="162" spans="2:7" x14ac:dyDescent="0.25">
      <c r="B162" s="4">
        <v>46017</v>
      </c>
      <c r="C162" s="2" t="s">
        <v>6217</v>
      </c>
      <c r="D162" s="2"/>
      <c r="E162" s="2"/>
      <c r="F162" s="2"/>
      <c r="G162" s="2"/>
    </row>
    <row r="163" spans="2:7" x14ac:dyDescent="0.25">
      <c r="B163" s="4">
        <v>46018</v>
      </c>
      <c r="C163" s="2" t="s">
        <v>6220</v>
      </c>
      <c r="D163" s="2"/>
      <c r="E163" s="2"/>
      <c r="F163" s="2"/>
      <c r="G163" s="2"/>
    </row>
    <row r="164" spans="2:7" x14ac:dyDescent="0.25">
      <c r="B164" s="4">
        <v>46019</v>
      </c>
      <c r="C164" s="2" t="s">
        <v>6223</v>
      </c>
      <c r="D164" s="2"/>
      <c r="E164" s="2"/>
      <c r="F164" s="2"/>
      <c r="G164" s="2"/>
    </row>
    <row r="165" spans="2:7" x14ac:dyDescent="0.25">
      <c r="B165" s="4">
        <v>46020</v>
      </c>
      <c r="C165" s="2" t="s">
        <v>6231</v>
      </c>
      <c r="D165" s="2"/>
      <c r="E165" s="2"/>
      <c r="F165" s="2"/>
      <c r="G165" s="2"/>
    </row>
    <row r="166" spans="2:7" x14ac:dyDescent="0.25">
      <c r="B166" s="4">
        <v>46021</v>
      </c>
      <c r="C166" s="2" t="s">
        <v>6234</v>
      </c>
      <c r="D166" s="2"/>
      <c r="E166" s="2"/>
      <c r="F166" s="2"/>
      <c r="G166" s="2"/>
    </row>
    <row r="167" spans="2:7" x14ac:dyDescent="0.25">
      <c r="B167" s="4">
        <v>46022</v>
      </c>
      <c r="C167" s="2"/>
      <c r="D167" s="2"/>
      <c r="E167" s="2"/>
      <c r="F167" s="2"/>
      <c r="G167" s="2"/>
    </row>
    <row r="168" spans="2:7" x14ac:dyDescent="0.25">
      <c r="B168" s="4">
        <v>46023</v>
      </c>
      <c r="C168" s="2" t="s">
        <v>6252</v>
      </c>
      <c r="D168" s="2"/>
      <c r="E168" s="2"/>
      <c r="F168" s="2"/>
      <c r="G168" s="2"/>
    </row>
    <row r="169" spans="2:7" x14ac:dyDescent="0.25">
      <c r="B169" s="4">
        <v>46024</v>
      </c>
      <c r="C169" s="2" t="s">
        <v>6253</v>
      </c>
      <c r="D169" s="2"/>
      <c r="E169" s="2"/>
      <c r="F169" s="2"/>
      <c r="G169" s="2"/>
    </row>
    <row r="170" spans="2:7" x14ac:dyDescent="0.25">
      <c r="B170" s="4">
        <v>46025</v>
      </c>
      <c r="C170" s="2" t="s">
        <v>6253</v>
      </c>
      <c r="D170" s="2"/>
      <c r="E170" s="2"/>
      <c r="F170" s="2"/>
      <c r="G170" s="2"/>
    </row>
    <row r="171" spans="2:7" x14ac:dyDescent="0.25">
      <c r="B171" s="4">
        <v>46026</v>
      </c>
      <c r="C171" s="2" t="s">
        <v>6253</v>
      </c>
      <c r="D171" s="2"/>
      <c r="E171" s="2"/>
      <c r="F171" s="2"/>
      <c r="G171" s="2"/>
    </row>
    <row r="172" spans="2:7" x14ac:dyDescent="0.25">
      <c r="B172" s="4">
        <v>46027</v>
      </c>
      <c r="C172" s="2" t="s">
        <v>6269</v>
      </c>
      <c r="D172" s="2"/>
      <c r="E172" s="2"/>
      <c r="F172" s="2"/>
      <c r="G172" s="2"/>
    </row>
    <row r="173" spans="2:7" x14ac:dyDescent="0.25">
      <c r="B173" s="4">
        <v>46028</v>
      </c>
      <c r="C173" s="2" t="s">
        <v>6269</v>
      </c>
      <c r="D173" s="2"/>
      <c r="E173" s="2"/>
      <c r="F173" s="2"/>
      <c r="G173" s="2"/>
    </row>
    <row r="174" spans="2:7" x14ac:dyDescent="0.25">
      <c r="B174" s="4">
        <v>46029</v>
      </c>
      <c r="C174" s="2" t="s">
        <v>6275</v>
      </c>
      <c r="D174" s="2"/>
      <c r="E174" s="2"/>
      <c r="F174" s="2"/>
      <c r="G174" s="2"/>
    </row>
    <row r="175" spans="2:7" x14ac:dyDescent="0.25">
      <c r="B175" s="4">
        <v>46030</v>
      </c>
      <c r="C175" s="2" t="s">
        <v>6282</v>
      </c>
      <c r="D175" s="2"/>
      <c r="E175" s="2"/>
      <c r="F175" s="2"/>
      <c r="G175" s="2"/>
    </row>
    <row r="176" spans="2:7" x14ac:dyDescent="0.25">
      <c r="B176" s="4">
        <v>46031</v>
      </c>
      <c r="C176" s="2" t="s">
        <v>6299</v>
      </c>
      <c r="D176" s="2"/>
      <c r="E176" s="2"/>
      <c r="F176" s="2"/>
      <c r="G176" s="2"/>
    </row>
    <row r="177" spans="2:7" x14ac:dyDescent="0.25">
      <c r="B177" s="4">
        <v>46032</v>
      </c>
      <c r="C177" s="2" t="s">
        <v>6303</v>
      </c>
      <c r="D177" s="2"/>
      <c r="E177" s="2"/>
      <c r="F177" s="2"/>
      <c r="G177" s="2"/>
    </row>
    <row r="178" spans="2:7" x14ac:dyDescent="0.25">
      <c r="B178" s="4">
        <v>46033</v>
      </c>
      <c r="C178" s="2" t="s">
        <v>6318</v>
      </c>
      <c r="D178" s="2"/>
      <c r="E178" s="2"/>
      <c r="F178" s="2"/>
      <c r="G178" s="2"/>
    </row>
    <row r="179" spans="2:7" x14ac:dyDescent="0.25">
      <c r="B179" s="4">
        <v>46034</v>
      </c>
      <c r="C179" s="2" t="s">
        <v>6318</v>
      </c>
      <c r="D179" s="2"/>
      <c r="E179" s="2"/>
      <c r="F179" s="2"/>
      <c r="G179" s="2"/>
    </row>
    <row r="180" spans="2:7" x14ac:dyDescent="0.25">
      <c r="B180" s="4">
        <v>46035</v>
      </c>
      <c r="C180" s="2" t="s">
        <v>6323</v>
      </c>
      <c r="D180" s="2"/>
      <c r="E180" s="2"/>
      <c r="F180" s="2"/>
      <c r="G180" s="2"/>
    </row>
    <row r="181" spans="2:7" x14ac:dyDescent="0.25">
      <c r="B181" s="4">
        <v>46036</v>
      </c>
      <c r="C181" s="2" t="s">
        <v>6332</v>
      </c>
      <c r="D181" s="2"/>
      <c r="E181" s="2"/>
      <c r="F181" s="2"/>
      <c r="G181" s="2"/>
    </row>
    <row r="182" spans="2:7" x14ac:dyDescent="0.25">
      <c r="B182" s="4"/>
      <c r="C182" s="2"/>
      <c r="D182" s="2"/>
      <c r="E182" s="2"/>
      <c r="F182" s="2"/>
      <c r="G182" s="2"/>
    </row>
    <row r="183" spans="2:7" x14ac:dyDescent="0.25">
      <c r="B183" s="4">
        <v>46066</v>
      </c>
      <c r="C183" s="2" t="s">
        <v>6504</v>
      </c>
      <c r="D183" s="2" t="s">
        <v>6505</v>
      </c>
      <c r="E183" s="2"/>
      <c r="F183" s="2"/>
      <c r="G183" s="2"/>
    </row>
    <row r="184" spans="2:7" x14ac:dyDescent="0.25">
      <c r="B184" s="4"/>
      <c r="C184" s="2"/>
      <c r="D184" s="2"/>
      <c r="E184" s="2"/>
      <c r="F184" s="2"/>
      <c r="G184" s="2"/>
    </row>
    <row r="185" spans="2:7" x14ac:dyDescent="0.25">
      <c r="B185" s="4">
        <v>46093</v>
      </c>
      <c r="C185" s="2" t="s">
        <v>6702</v>
      </c>
      <c r="D185" s="2"/>
      <c r="E185" s="2"/>
      <c r="F185" s="2"/>
      <c r="G185" s="2"/>
    </row>
    <row r="186" spans="2:7" x14ac:dyDescent="0.25">
      <c r="B186" s="4">
        <v>46094</v>
      </c>
      <c r="C186" s="2"/>
      <c r="D186" s="2"/>
      <c r="E186" s="2"/>
      <c r="F186" s="2"/>
      <c r="G186" s="2"/>
    </row>
    <row r="187" spans="2:7" x14ac:dyDescent="0.25">
      <c r="B187" s="4">
        <v>46095</v>
      </c>
      <c r="C187" s="2" t="s">
        <v>6706</v>
      </c>
      <c r="D187" s="2"/>
      <c r="E187" s="2"/>
      <c r="F187" s="2"/>
      <c r="G187" s="2"/>
    </row>
    <row r="188" spans="2:7" x14ac:dyDescent="0.25">
      <c r="B188" s="4">
        <v>46096</v>
      </c>
      <c r="C188" s="2"/>
      <c r="D188" s="2"/>
      <c r="E188" s="2"/>
      <c r="F188" s="2"/>
      <c r="G188" s="2"/>
    </row>
    <row r="189" spans="2:7" x14ac:dyDescent="0.25">
      <c r="B189" s="4">
        <v>46097</v>
      </c>
      <c r="C189" s="2"/>
      <c r="D189" s="2"/>
      <c r="E189" s="2"/>
      <c r="F189" s="2"/>
      <c r="G189" s="2"/>
    </row>
    <row r="190" spans="2:7" x14ac:dyDescent="0.25">
      <c r="B190" s="4">
        <v>46098</v>
      </c>
      <c r="C190" s="2"/>
      <c r="D190" s="2"/>
      <c r="E190" s="2"/>
      <c r="F190" s="2"/>
      <c r="G190" s="2"/>
    </row>
    <row r="191" spans="2:7" x14ac:dyDescent="0.25">
      <c r="B191" s="4">
        <v>46099</v>
      </c>
      <c r="C191" s="2"/>
      <c r="D191" s="2"/>
      <c r="E191" s="2"/>
      <c r="F191" s="2"/>
      <c r="G191" s="2"/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B2:G255"/>
  <sheetViews>
    <sheetView workbookViewId="0">
      <pane ySplit="3" topLeftCell="A247" activePane="bottomLeft" state="frozen"/>
      <selection activeCell="D8" sqref="D8"/>
      <selection pane="bottomLeft" activeCell="C253" sqref="C253"/>
    </sheetView>
  </sheetViews>
  <sheetFormatPr defaultRowHeight="15" x14ac:dyDescent="0.25"/>
  <cols>
    <col min="2" max="2" width="18" bestFit="1" customWidth="1"/>
    <col min="3" max="3" width="64.140625" customWidth="1"/>
    <col min="4" max="4" width="47.5703125" customWidth="1"/>
    <col min="5" max="5" width="11.85546875" style="24" bestFit="1" customWidth="1"/>
    <col min="6" max="6" width="9.140625" style="24"/>
    <col min="7" max="7" width="12.7109375" customWidth="1"/>
  </cols>
  <sheetData>
    <row r="2" spans="2:7" x14ac:dyDescent="0.25">
      <c r="B2" s="144" t="s">
        <v>6227</v>
      </c>
    </row>
    <row r="3" spans="2:7" ht="15.75" x14ac:dyDescent="0.25">
      <c r="B3" s="10" t="s">
        <v>0</v>
      </c>
      <c r="C3" s="11" t="s">
        <v>1</v>
      </c>
      <c r="D3" s="11" t="s">
        <v>2</v>
      </c>
      <c r="E3" s="11" t="s">
        <v>934</v>
      </c>
      <c r="F3" s="11" t="s">
        <v>1095</v>
      </c>
      <c r="G3" s="11" t="s">
        <v>1507</v>
      </c>
    </row>
    <row r="4" spans="2:7" x14ac:dyDescent="0.25">
      <c r="B4" s="4">
        <v>45847</v>
      </c>
      <c r="C4" s="2" t="s">
        <v>1528</v>
      </c>
      <c r="D4" s="2"/>
      <c r="E4" s="23">
        <v>0</v>
      </c>
      <c r="F4" s="23"/>
      <c r="G4" s="2"/>
    </row>
    <row r="5" spans="2:7" x14ac:dyDescent="0.25">
      <c r="B5" s="4">
        <v>45848</v>
      </c>
      <c r="C5" s="2" t="s">
        <v>522</v>
      </c>
      <c r="D5" s="2"/>
      <c r="E5" s="23">
        <v>0</v>
      </c>
      <c r="F5" s="23">
        <f>E5-E4</f>
        <v>0</v>
      </c>
      <c r="G5" s="2"/>
    </row>
    <row r="6" spans="2:7" x14ac:dyDescent="0.25">
      <c r="B6" s="4">
        <v>45849</v>
      </c>
      <c r="C6" s="2" t="s">
        <v>522</v>
      </c>
      <c r="D6" s="2"/>
      <c r="E6" s="23">
        <v>0</v>
      </c>
      <c r="F6" s="23">
        <f t="shared" ref="F6:F20" si="0">E6-E5</f>
        <v>0</v>
      </c>
      <c r="G6" s="2"/>
    </row>
    <row r="7" spans="2:7" x14ac:dyDescent="0.25">
      <c r="B7" s="4">
        <v>45850</v>
      </c>
      <c r="C7" s="2" t="s">
        <v>522</v>
      </c>
      <c r="D7" s="58"/>
      <c r="E7" s="23">
        <v>0</v>
      </c>
      <c r="F7" s="23">
        <f t="shared" si="0"/>
        <v>0</v>
      </c>
      <c r="G7" s="2"/>
    </row>
    <row r="8" spans="2:7" x14ac:dyDescent="0.25">
      <c r="B8" s="4">
        <v>45851</v>
      </c>
      <c r="C8" s="2" t="s">
        <v>522</v>
      </c>
      <c r="D8" s="58"/>
      <c r="E8" s="23">
        <v>0</v>
      </c>
      <c r="F8" s="23">
        <f t="shared" si="0"/>
        <v>0</v>
      </c>
      <c r="G8" s="2"/>
    </row>
    <row r="9" spans="2:7" x14ac:dyDescent="0.25">
      <c r="B9" s="4">
        <v>45852</v>
      </c>
      <c r="C9" s="2" t="s">
        <v>4571</v>
      </c>
      <c r="D9" s="58"/>
      <c r="E9" s="23">
        <v>0</v>
      </c>
      <c r="F9" s="23">
        <f t="shared" si="0"/>
        <v>0</v>
      </c>
      <c r="G9" s="2"/>
    </row>
    <row r="10" spans="2:7" x14ac:dyDescent="0.25">
      <c r="B10" s="4">
        <v>45853</v>
      </c>
      <c r="C10" s="2" t="s">
        <v>522</v>
      </c>
      <c r="D10" s="2"/>
      <c r="E10" s="23">
        <v>0</v>
      </c>
      <c r="F10" s="23">
        <f t="shared" si="0"/>
        <v>0</v>
      </c>
      <c r="G10" s="2"/>
    </row>
    <row r="11" spans="2:7" x14ac:dyDescent="0.25">
      <c r="B11" s="4">
        <v>45854</v>
      </c>
      <c r="C11" s="2" t="s">
        <v>522</v>
      </c>
      <c r="D11" s="2"/>
      <c r="E11" s="23">
        <v>0</v>
      </c>
      <c r="F11" s="23">
        <f t="shared" si="0"/>
        <v>0</v>
      </c>
      <c r="G11" s="2"/>
    </row>
    <row r="12" spans="2:7" x14ac:dyDescent="0.25">
      <c r="B12" s="4">
        <v>45855</v>
      </c>
      <c r="C12" s="2" t="s">
        <v>4609</v>
      </c>
      <c r="D12" s="2"/>
      <c r="E12" s="23">
        <v>0</v>
      </c>
      <c r="F12" s="23">
        <f t="shared" si="0"/>
        <v>0</v>
      </c>
      <c r="G12" s="2"/>
    </row>
    <row r="13" spans="2:7" x14ac:dyDescent="0.25">
      <c r="B13" s="4">
        <v>45856</v>
      </c>
      <c r="C13" s="2" t="s">
        <v>4609</v>
      </c>
      <c r="D13" s="2"/>
      <c r="E13" s="23">
        <v>0</v>
      </c>
      <c r="F13" s="23">
        <f t="shared" si="0"/>
        <v>0</v>
      </c>
      <c r="G13" s="2"/>
    </row>
    <row r="14" spans="2:7" x14ac:dyDescent="0.25">
      <c r="B14" s="4">
        <v>45857</v>
      </c>
      <c r="C14" s="2" t="s">
        <v>4609</v>
      </c>
      <c r="D14" s="2"/>
      <c r="E14" s="23">
        <v>0</v>
      </c>
      <c r="F14" s="23">
        <f t="shared" si="0"/>
        <v>0</v>
      </c>
      <c r="G14" s="2"/>
    </row>
    <row r="15" spans="2:7" x14ac:dyDescent="0.25">
      <c r="B15" s="4">
        <v>45858</v>
      </c>
      <c r="C15" s="2" t="s">
        <v>4609</v>
      </c>
      <c r="D15" s="2"/>
      <c r="E15" s="23">
        <v>0</v>
      </c>
      <c r="F15" s="23">
        <f t="shared" si="0"/>
        <v>0</v>
      </c>
      <c r="G15" s="2"/>
    </row>
    <row r="16" spans="2:7" x14ac:dyDescent="0.25">
      <c r="B16" s="4">
        <v>45859</v>
      </c>
      <c r="C16" s="2" t="s">
        <v>4609</v>
      </c>
      <c r="D16" s="2"/>
      <c r="E16" s="23">
        <v>0</v>
      </c>
      <c r="F16" s="23">
        <f t="shared" si="0"/>
        <v>0</v>
      </c>
      <c r="G16" s="2"/>
    </row>
    <row r="17" spans="2:7" x14ac:dyDescent="0.25">
      <c r="B17" s="4">
        <v>45860</v>
      </c>
      <c r="C17" s="2" t="s">
        <v>4609</v>
      </c>
      <c r="D17" s="2"/>
      <c r="E17" s="23">
        <v>0</v>
      </c>
      <c r="F17" s="23">
        <f t="shared" si="0"/>
        <v>0</v>
      </c>
      <c r="G17" s="2"/>
    </row>
    <row r="18" spans="2:7" x14ac:dyDescent="0.25">
      <c r="B18" s="4">
        <v>45861</v>
      </c>
      <c r="C18" s="2" t="s">
        <v>4678</v>
      </c>
      <c r="D18" s="2"/>
      <c r="E18" s="23">
        <v>0</v>
      </c>
      <c r="F18" s="23">
        <f t="shared" si="0"/>
        <v>0</v>
      </c>
      <c r="G18" s="2"/>
    </row>
    <row r="19" spans="2:7" x14ac:dyDescent="0.25">
      <c r="B19" s="4">
        <v>45862</v>
      </c>
      <c r="C19" s="2" t="s">
        <v>4679</v>
      </c>
      <c r="D19" s="2"/>
      <c r="E19" s="23">
        <v>0</v>
      </c>
      <c r="F19" s="23">
        <f t="shared" si="0"/>
        <v>0</v>
      </c>
      <c r="G19" s="2"/>
    </row>
    <row r="20" spans="2:7" x14ac:dyDescent="0.25">
      <c r="B20" s="4">
        <v>45863</v>
      </c>
      <c r="C20" s="2" t="s">
        <v>4679</v>
      </c>
      <c r="D20" s="2"/>
      <c r="E20" s="23">
        <v>0</v>
      </c>
      <c r="F20" s="23">
        <f t="shared" si="0"/>
        <v>0</v>
      </c>
      <c r="G20" s="2"/>
    </row>
    <row r="21" spans="2:7" x14ac:dyDescent="0.25">
      <c r="B21" s="4">
        <v>45864</v>
      </c>
      <c r="C21" s="2"/>
      <c r="D21" s="2"/>
      <c r="E21" s="23">
        <v>0</v>
      </c>
      <c r="F21" s="23">
        <v>0</v>
      </c>
      <c r="G21" s="2"/>
    </row>
    <row r="22" spans="2:7" x14ac:dyDescent="0.25">
      <c r="B22" s="4">
        <v>45865</v>
      </c>
      <c r="C22" s="2"/>
      <c r="D22" s="2"/>
      <c r="E22" s="23">
        <v>0</v>
      </c>
      <c r="F22" s="23">
        <v>0</v>
      </c>
      <c r="G22" s="2"/>
    </row>
    <row r="23" spans="2:7" x14ac:dyDescent="0.25">
      <c r="B23" s="4">
        <v>45866</v>
      </c>
      <c r="C23" s="2"/>
      <c r="D23" s="2"/>
      <c r="E23" s="23">
        <v>0</v>
      </c>
      <c r="F23" s="23">
        <f>E23-E24</f>
        <v>-15</v>
      </c>
      <c r="G23" s="2"/>
    </row>
    <row r="24" spans="2:7" x14ac:dyDescent="0.25">
      <c r="B24" s="4">
        <v>45867</v>
      </c>
      <c r="C24" s="2" t="s">
        <v>4724</v>
      </c>
      <c r="D24" s="2" t="s">
        <v>4723</v>
      </c>
      <c r="E24" s="23">
        <v>15</v>
      </c>
      <c r="F24" s="23">
        <f>E24-E23</f>
        <v>15</v>
      </c>
      <c r="G24" s="2"/>
    </row>
    <row r="25" spans="2:7" x14ac:dyDescent="0.25">
      <c r="B25" s="4">
        <v>45868</v>
      </c>
      <c r="C25" s="2" t="s">
        <v>2269</v>
      </c>
      <c r="D25" s="2" t="s">
        <v>4726</v>
      </c>
      <c r="E25" s="23">
        <v>15</v>
      </c>
      <c r="F25" s="23">
        <f>E25-E26</f>
        <v>0</v>
      </c>
      <c r="G25" s="2"/>
    </row>
    <row r="26" spans="2:7" x14ac:dyDescent="0.25">
      <c r="B26" s="4">
        <v>45869</v>
      </c>
      <c r="C26" s="2" t="s">
        <v>2269</v>
      </c>
      <c r="D26" s="2"/>
      <c r="E26" s="23">
        <v>15</v>
      </c>
      <c r="F26" s="23">
        <f t="shared" ref="F26:F27" si="1">E26-E27</f>
        <v>-1</v>
      </c>
      <c r="G26" s="2"/>
    </row>
    <row r="27" spans="2:7" x14ac:dyDescent="0.25">
      <c r="B27" s="4">
        <v>45870</v>
      </c>
      <c r="C27" s="2" t="s">
        <v>4822</v>
      </c>
      <c r="D27" s="2"/>
      <c r="E27" s="23">
        <v>16</v>
      </c>
      <c r="F27" s="23">
        <f t="shared" si="1"/>
        <v>-1</v>
      </c>
      <c r="G27" s="2"/>
    </row>
    <row r="28" spans="2:7" x14ac:dyDescent="0.25">
      <c r="B28" s="4">
        <v>45871</v>
      </c>
      <c r="C28" s="2" t="s">
        <v>4845</v>
      </c>
      <c r="D28" s="2"/>
      <c r="E28" s="23">
        <v>17</v>
      </c>
      <c r="F28" s="23">
        <f t="shared" ref="F28:F29" si="2">E29-E28</f>
        <v>0</v>
      </c>
      <c r="G28" s="2"/>
    </row>
    <row r="29" spans="2:7" x14ac:dyDescent="0.25">
      <c r="B29" s="4">
        <v>45872</v>
      </c>
      <c r="C29" s="2" t="s">
        <v>4846</v>
      </c>
      <c r="D29" s="2"/>
      <c r="E29" s="23">
        <v>17</v>
      </c>
      <c r="F29" s="23">
        <f t="shared" si="2"/>
        <v>2</v>
      </c>
      <c r="G29" s="2"/>
    </row>
    <row r="30" spans="2:7" x14ac:dyDescent="0.25">
      <c r="B30" s="4">
        <v>45873</v>
      </c>
      <c r="C30" s="2" t="s">
        <v>4858</v>
      </c>
      <c r="D30" s="2" t="s">
        <v>4876</v>
      </c>
      <c r="E30" s="23">
        <v>19</v>
      </c>
      <c r="F30" s="23">
        <f>E30-E29</f>
        <v>2</v>
      </c>
      <c r="G30" s="2"/>
    </row>
    <row r="31" spans="2:7" x14ac:dyDescent="0.25">
      <c r="B31" s="4">
        <v>45874</v>
      </c>
      <c r="C31" s="2" t="s">
        <v>4858</v>
      </c>
      <c r="D31" s="2"/>
      <c r="E31" s="23">
        <v>19.3</v>
      </c>
      <c r="F31" s="23">
        <f>E31-E30</f>
        <v>0.30000000000000071</v>
      </c>
      <c r="G31" s="2"/>
    </row>
    <row r="32" spans="2:7" x14ac:dyDescent="0.25">
      <c r="B32" s="4">
        <v>45875</v>
      </c>
      <c r="C32" s="2" t="s">
        <v>4899</v>
      </c>
      <c r="D32" s="2"/>
      <c r="E32" s="23">
        <v>19.5</v>
      </c>
      <c r="F32" s="23">
        <f>E32-E31</f>
        <v>0.19999999999999929</v>
      </c>
      <c r="G32" s="2"/>
    </row>
    <row r="33" spans="2:7" x14ac:dyDescent="0.25">
      <c r="B33" s="4">
        <v>45876</v>
      </c>
      <c r="C33" s="2" t="s">
        <v>4917</v>
      </c>
      <c r="D33" s="2"/>
      <c r="E33" s="23">
        <v>19.649999999999999</v>
      </c>
      <c r="F33" s="23">
        <f>E33-E32</f>
        <v>0.14999999999999858</v>
      </c>
      <c r="G33" s="2"/>
    </row>
    <row r="34" spans="2:7" x14ac:dyDescent="0.25">
      <c r="B34" s="4">
        <v>45877</v>
      </c>
      <c r="C34" s="2" t="s">
        <v>4931</v>
      </c>
      <c r="D34" s="2" t="s">
        <v>4940</v>
      </c>
      <c r="E34" s="23">
        <v>19.75</v>
      </c>
      <c r="F34" s="23">
        <f>E34-E33</f>
        <v>0.10000000000000142</v>
      </c>
      <c r="G34" s="2"/>
    </row>
    <row r="35" spans="2:7" x14ac:dyDescent="0.25">
      <c r="B35" s="4">
        <v>45878</v>
      </c>
      <c r="C35" s="2" t="s">
        <v>4950</v>
      </c>
      <c r="D35" s="2"/>
      <c r="E35" s="23">
        <v>19.850000000000001</v>
      </c>
      <c r="F35" s="23">
        <f t="shared" ref="F35:F37" si="3">E35-E34</f>
        <v>0.10000000000000142</v>
      </c>
      <c r="G35" s="2"/>
    </row>
    <row r="36" spans="2:7" x14ac:dyDescent="0.25">
      <c r="B36" s="4">
        <v>45879</v>
      </c>
      <c r="C36" s="2" t="s">
        <v>4951</v>
      </c>
      <c r="D36" s="2"/>
      <c r="E36" s="23">
        <v>20.5</v>
      </c>
      <c r="F36" s="23">
        <f t="shared" si="3"/>
        <v>0.64999999999999858</v>
      </c>
      <c r="G36" s="2"/>
    </row>
    <row r="37" spans="2:7" x14ac:dyDescent="0.25">
      <c r="B37" s="4">
        <v>45880</v>
      </c>
      <c r="C37" s="2" t="s">
        <v>4970</v>
      </c>
      <c r="D37" s="2"/>
      <c r="E37" s="23">
        <v>21</v>
      </c>
      <c r="F37" s="23">
        <f t="shared" si="3"/>
        <v>0.5</v>
      </c>
      <c r="G37" s="2"/>
    </row>
    <row r="38" spans="2:7" x14ac:dyDescent="0.25">
      <c r="B38" s="4">
        <v>45881</v>
      </c>
      <c r="C38" s="2" t="s">
        <v>4980</v>
      </c>
      <c r="D38" s="2"/>
      <c r="E38" s="23">
        <v>21.2</v>
      </c>
      <c r="F38" s="23">
        <f>E38-E37</f>
        <v>0.19999999999999929</v>
      </c>
      <c r="G38" s="2"/>
    </row>
    <row r="39" spans="2:7" x14ac:dyDescent="0.25">
      <c r="B39" s="4">
        <v>45882</v>
      </c>
      <c r="C39" s="2" t="s">
        <v>5000</v>
      </c>
      <c r="D39" s="2"/>
      <c r="E39" s="23">
        <v>23</v>
      </c>
      <c r="F39" s="23">
        <f>E39-E38</f>
        <v>1.8000000000000007</v>
      </c>
      <c r="G39" s="2"/>
    </row>
    <row r="40" spans="2:7" x14ac:dyDescent="0.25">
      <c r="B40" s="4">
        <v>45883</v>
      </c>
      <c r="C40" s="2" t="s">
        <v>5015</v>
      </c>
      <c r="D40" s="2"/>
      <c r="E40" s="23">
        <v>28</v>
      </c>
      <c r="F40" s="23">
        <f>E40-E39</f>
        <v>5</v>
      </c>
      <c r="G40" s="2"/>
    </row>
    <row r="41" spans="2:7" x14ac:dyDescent="0.25">
      <c r="B41" s="4">
        <v>45884</v>
      </c>
      <c r="C41" s="2" t="s">
        <v>5022</v>
      </c>
      <c r="D41" s="2"/>
      <c r="E41" s="23">
        <v>28.5</v>
      </c>
      <c r="F41" s="23">
        <f>E41-E40</f>
        <v>0.5</v>
      </c>
      <c r="G41" s="2"/>
    </row>
    <row r="42" spans="2:7" x14ac:dyDescent="0.25">
      <c r="B42" s="4">
        <v>45885</v>
      </c>
      <c r="C42" s="2" t="s">
        <v>5035</v>
      </c>
      <c r="D42" s="2"/>
      <c r="E42" s="23">
        <v>29.5</v>
      </c>
      <c r="F42" s="23">
        <f>E42-E41</f>
        <v>1</v>
      </c>
      <c r="G42" s="2"/>
    </row>
    <row r="43" spans="2:7" x14ac:dyDescent="0.25">
      <c r="B43" s="4">
        <v>45886</v>
      </c>
      <c r="C43" s="2" t="s">
        <v>5042</v>
      </c>
      <c r="D43" s="2"/>
      <c r="E43" s="23">
        <v>30</v>
      </c>
      <c r="F43" s="23">
        <f t="shared" ref="F43:F56" si="4">E43-E42</f>
        <v>0.5</v>
      </c>
      <c r="G43" s="2"/>
    </row>
    <row r="44" spans="2:7" x14ac:dyDescent="0.25">
      <c r="B44" s="4">
        <v>45887</v>
      </c>
      <c r="C44" s="2" t="s">
        <v>5053</v>
      </c>
      <c r="D44" s="2"/>
      <c r="E44" s="23">
        <v>30.5</v>
      </c>
      <c r="F44" s="23">
        <f t="shared" si="4"/>
        <v>0.5</v>
      </c>
      <c r="G44" s="2"/>
    </row>
    <row r="45" spans="2:7" x14ac:dyDescent="0.25">
      <c r="B45" s="4">
        <v>45888</v>
      </c>
      <c r="C45" s="2" t="s">
        <v>5063</v>
      </c>
      <c r="D45" s="2"/>
      <c r="E45" s="23">
        <v>30.5</v>
      </c>
      <c r="F45" s="23">
        <f t="shared" si="4"/>
        <v>0</v>
      </c>
      <c r="G45" s="2"/>
    </row>
    <row r="46" spans="2:7" x14ac:dyDescent="0.25">
      <c r="B46" s="4">
        <v>45889</v>
      </c>
      <c r="C46" s="2" t="s">
        <v>5063</v>
      </c>
      <c r="D46" s="2"/>
      <c r="E46" s="23">
        <v>30.5</v>
      </c>
      <c r="F46" s="23">
        <f t="shared" si="4"/>
        <v>0</v>
      </c>
      <c r="G46" s="2"/>
    </row>
    <row r="47" spans="2:7" x14ac:dyDescent="0.25">
      <c r="B47" s="4">
        <v>45890</v>
      </c>
      <c r="C47" s="2" t="s">
        <v>5092</v>
      </c>
      <c r="D47" s="2"/>
      <c r="E47" s="23">
        <v>30.5</v>
      </c>
      <c r="F47" s="23">
        <f t="shared" si="4"/>
        <v>0</v>
      </c>
      <c r="G47" s="2"/>
    </row>
    <row r="48" spans="2:7" x14ac:dyDescent="0.25">
      <c r="B48" s="4">
        <v>45891</v>
      </c>
      <c r="C48" s="2" t="s">
        <v>5108</v>
      </c>
      <c r="D48" s="2"/>
      <c r="E48" s="23">
        <v>30.5</v>
      </c>
      <c r="F48" s="23">
        <f t="shared" si="4"/>
        <v>0</v>
      </c>
      <c r="G48" s="2"/>
    </row>
    <row r="49" spans="2:7" x14ac:dyDescent="0.25">
      <c r="B49" s="4">
        <v>45892</v>
      </c>
      <c r="C49" s="2" t="s">
        <v>5120</v>
      </c>
      <c r="D49" s="2"/>
      <c r="E49" s="23">
        <v>30.5</v>
      </c>
      <c r="F49" s="23">
        <f t="shared" si="4"/>
        <v>0</v>
      </c>
      <c r="G49" s="2"/>
    </row>
    <row r="50" spans="2:7" x14ac:dyDescent="0.25">
      <c r="B50" s="4">
        <v>45893</v>
      </c>
      <c r="C50" s="2" t="s">
        <v>5141</v>
      </c>
      <c r="D50" s="2"/>
      <c r="E50" s="23">
        <v>30.5</v>
      </c>
      <c r="F50" s="23">
        <f t="shared" si="4"/>
        <v>0</v>
      </c>
      <c r="G50" s="2"/>
    </row>
    <row r="51" spans="2:7" x14ac:dyDescent="0.25">
      <c r="B51" s="4">
        <v>45894</v>
      </c>
      <c r="C51" s="2"/>
      <c r="D51" s="2"/>
      <c r="E51" s="23">
        <v>30.5</v>
      </c>
      <c r="F51" s="23">
        <f t="shared" si="4"/>
        <v>0</v>
      </c>
      <c r="G51" s="2"/>
    </row>
    <row r="52" spans="2:7" x14ac:dyDescent="0.25">
      <c r="B52" s="4">
        <v>45895</v>
      </c>
      <c r="C52" s="2"/>
      <c r="D52" s="2"/>
      <c r="E52" s="23">
        <v>30.5</v>
      </c>
      <c r="F52" s="23">
        <f t="shared" si="4"/>
        <v>0</v>
      </c>
      <c r="G52" s="2"/>
    </row>
    <row r="53" spans="2:7" x14ac:dyDescent="0.25">
      <c r="B53" s="4">
        <v>45896</v>
      </c>
      <c r="C53" s="2" t="s">
        <v>5175</v>
      </c>
      <c r="D53" s="2" t="s">
        <v>5176</v>
      </c>
      <c r="E53" s="23">
        <v>30.5</v>
      </c>
      <c r="F53" s="23">
        <f t="shared" si="4"/>
        <v>0</v>
      </c>
      <c r="G53" s="2"/>
    </row>
    <row r="54" spans="2:7" x14ac:dyDescent="0.25">
      <c r="B54" s="4">
        <v>45897</v>
      </c>
      <c r="C54" s="2" t="s">
        <v>5188</v>
      </c>
      <c r="D54" s="2"/>
      <c r="E54" s="23">
        <v>30.5</v>
      </c>
      <c r="F54" s="23">
        <f t="shared" si="4"/>
        <v>0</v>
      </c>
      <c r="G54" s="2"/>
    </row>
    <row r="55" spans="2:7" x14ac:dyDescent="0.25">
      <c r="B55" s="4">
        <v>45898</v>
      </c>
      <c r="C55" s="2"/>
      <c r="D55" s="2"/>
      <c r="E55" s="23">
        <v>30.5</v>
      </c>
      <c r="F55" s="23">
        <f t="shared" si="4"/>
        <v>0</v>
      </c>
      <c r="G55" s="2"/>
    </row>
    <row r="56" spans="2:7" x14ac:dyDescent="0.25">
      <c r="B56" s="4">
        <v>45899</v>
      </c>
      <c r="C56" s="2"/>
      <c r="D56" s="2"/>
      <c r="E56" s="23">
        <v>30.5</v>
      </c>
      <c r="F56" s="23">
        <f t="shared" si="4"/>
        <v>0</v>
      </c>
      <c r="G56" s="2"/>
    </row>
    <row r="57" spans="2:7" x14ac:dyDescent="0.25">
      <c r="B57" s="4">
        <v>45900</v>
      </c>
      <c r="C57" s="2"/>
      <c r="D57" s="2"/>
      <c r="E57" s="23">
        <v>30.5</v>
      </c>
      <c r="F57" s="23"/>
      <c r="G57" s="2"/>
    </row>
    <row r="58" spans="2:7" x14ac:dyDescent="0.25">
      <c r="B58" s="4">
        <v>45901</v>
      </c>
      <c r="C58" s="2"/>
      <c r="D58" s="2"/>
      <c r="E58" s="23">
        <v>30.5</v>
      </c>
      <c r="F58" s="23"/>
      <c r="G58" s="2"/>
    </row>
    <row r="59" spans="2:7" x14ac:dyDescent="0.25">
      <c r="B59" s="4">
        <v>45902</v>
      </c>
      <c r="C59" s="2"/>
      <c r="D59" s="2"/>
      <c r="E59" s="23">
        <v>30.5</v>
      </c>
      <c r="F59" s="23"/>
      <c r="G59" s="2"/>
    </row>
    <row r="60" spans="2:7" x14ac:dyDescent="0.25">
      <c r="B60" s="4">
        <v>45903</v>
      </c>
      <c r="C60" s="2" t="s">
        <v>5262</v>
      </c>
      <c r="D60" s="2"/>
      <c r="E60" s="23">
        <v>30.5</v>
      </c>
      <c r="F60" s="23"/>
      <c r="G60" s="2"/>
    </row>
    <row r="61" spans="2:7" x14ac:dyDescent="0.25">
      <c r="B61" s="4">
        <v>45904</v>
      </c>
      <c r="C61" s="2" t="s">
        <v>480</v>
      </c>
      <c r="D61" s="2" t="s">
        <v>5282</v>
      </c>
      <c r="E61" s="23">
        <v>30.5</v>
      </c>
      <c r="F61" s="23"/>
      <c r="G61" s="2"/>
    </row>
    <row r="62" spans="2:7" x14ac:dyDescent="0.25">
      <c r="B62" s="4">
        <v>45905</v>
      </c>
      <c r="C62" s="2" t="s">
        <v>480</v>
      </c>
      <c r="D62" s="2" t="s">
        <v>5283</v>
      </c>
      <c r="E62" s="23">
        <v>30.5</v>
      </c>
      <c r="F62" s="23"/>
      <c r="G62" s="2"/>
    </row>
    <row r="63" spans="2:7" x14ac:dyDescent="0.25">
      <c r="B63" s="4">
        <v>45906</v>
      </c>
      <c r="C63" s="2" t="s">
        <v>480</v>
      </c>
      <c r="D63" s="2"/>
      <c r="E63" s="23">
        <v>30.5</v>
      </c>
      <c r="F63" s="23"/>
      <c r="G63" s="2"/>
    </row>
    <row r="64" spans="2:7" x14ac:dyDescent="0.25">
      <c r="B64" s="4">
        <v>45907</v>
      </c>
      <c r="C64" s="2" t="s">
        <v>480</v>
      </c>
      <c r="D64" s="2"/>
      <c r="E64" s="23">
        <v>30.5</v>
      </c>
      <c r="F64" s="23"/>
      <c r="G64" s="2"/>
    </row>
    <row r="65" spans="2:7" x14ac:dyDescent="0.25">
      <c r="B65" s="4">
        <v>45908</v>
      </c>
      <c r="C65" s="2" t="s">
        <v>5323</v>
      </c>
      <c r="D65" s="2"/>
      <c r="E65" s="23">
        <v>30.5</v>
      </c>
      <c r="F65" s="23">
        <f>E65-E64</f>
        <v>0</v>
      </c>
      <c r="G65" s="2"/>
    </row>
    <row r="66" spans="2:7" x14ac:dyDescent="0.25">
      <c r="B66" s="4">
        <v>45909</v>
      </c>
      <c r="C66" s="2" t="s">
        <v>5330</v>
      </c>
      <c r="D66" s="2"/>
      <c r="E66" s="23">
        <v>31</v>
      </c>
      <c r="F66" s="23">
        <f t="shared" ref="F66:F68" si="5">E66-E65</f>
        <v>0.5</v>
      </c>
      <c r="G66" s="2"/>
    </row>
    <row r="67" spans="2:7" x14ac:dyDescent="0.25">
      <c r="B67" s="4">
        <v>45910</v>
      </c>
      <c r="C67" s="2" t="s">
        <v>5330</v>
      </c>
      <c r="D67" s="2" t="s">
        <v>5340</v>
      </c>
      <c r="E67" s="23">
        <v>31</v>
      </c>
      <c r="F67" s="23">
        <f t="shared" si="5"/>
        <v>0</v>
      </c>
      <c r="G67" s="2"/>
    </row>
    <row r="68" spans="2:7" x14ac:dyDescent="0.25">
      <c r="B68" s="4">
        <v>45911</v>
      </c>
      <c r="C68" s="2" t="s">
        <v>5382</v>
      </c>
      <c r="D68" s="2"/>
      <c r="E68" s="23">
        <v>31</v>
      </c>
      <c r="F68" s="23">
        <f t="shared" si="5"/>
        <v>0</v>
      </c>
      <c r="G68" s="2"/>
    </row>
    <row r="69" spans="2:7" x14ac:dyDescent="0.25">
      <c r="B69" s="4">
        <v>45912</v>
      </c>
      <c r="C69" s="2" t="s">
        <v>5355</v>
      </c>
      <c r="D69" s="2" t="s">
        <v>5361</v>
      </c>
      <c r="E69" s="23">
        <v>31.15</v>
      </c>
      <c r="F69" s="23">
        <f>E69-E68</f>
        <v>0.14999999999999858</v>
      </c>
      <c r="G69" s="2"/>
    </row>
    <row r="70" spans="2:7" x14ac:dyDescent="0.25">
      <c r="B70" s="4">
        <v>45913</v>
      </c>
      <c r="C70" s="2" t="s">
        <v>5381</v>
      </c>
      <c r="D70" s="2"/>
      <c r="E70" s="23">
        <v>31.25</v>
      </c>
      <c r="F70" s="120">
        <f t="shared" ref="F70:F76" si="6">E70-E69</f>
        <v>0.10000000000000142</v>
      </c>
      <c r="G70" s="2"/>
    </row>
    <row r="71" spans="2:7" x14ac:dyDescent="0.25">
      <c r="B71" s="4">
        <v>45914</v>
      </c>
      <c r="C71" s="2" t="s">
        <v>5367</v>
      </c>
      <c r="D71" s="2"/>
      <c r="E71" s="120">
        <v>31.4</v>
      </c>
      <c r="F71" s="120">
        <f t="shared" si="6"/>
        <v>0.14999999999999858</v>
      </c>
      <c r="G71" s="2"/>
    </row>
    <row r="72" spans="2:7" x14ac:dyDescent="0.25">
      <c r="B72" s="4">
        <v>45915</v>
      </c>
      <c r="C72" s="2" t="s">
        <v>5384</v>
      </c>
      <c r="D72" s="2" t="s">
        <v>5383</v>
      </c>
      <c r="E72" s="120">
        <v>31.4</v>
      </c>
      <c r="F72" s="120">
        <f t="shared" si="6"/>
        <v>0</v>
      </c>
      <c r="G72" s="2"/>
    </row>
    <row r="73" spans="2:7" x14ac:dyDescent="0.25">
      <c r="B73" s="4">
        <v>45916</v>
      </c>
      <c r="C73" s="2" t="s">
        <v>5392</v>
      </c>
      <c r="D73" s="2"/>
      <c r="E73" s="120">
        <v>31.5</v>
      </c>
      <c r="F73" s="120">
        <f t="shared" si="6"/>
        <v>0.10000000000000142</v>
      </c>
      <c r="G73" s="2"/>
    </row>
    <row r="74" spans="2:7" x14ac:dyDescent="0.25">
      <c r="B74" s="4">
        <v>45917</v>
      </c>
      <c r="C74" s="2" t="s">
        <v>5401</v>
      </c>
      <c r="D74" s="2"/>
      <c r="E74" s="120">
        <v>31.7</v>
      </c>
      <c r="F74" s="120">
        <f t="shared" si="6"/>
        <v>0.19999999999999929</v>
      </c>
      <c r="G74" s="2"/>
    </row>
    <row r="75" spans="2:7" x14ac:dyDescent="0.25">
      <c r="B75" s="4">
        <v>45918</v>
      </c>
      <c r="C75" s="2" t="s">
        <v>5407</v>
      </c>
      <c r="D75" s="2"/>
      <c r="E75" s="120"/>
      <c r="F75" s="120">
        <f t="shared" si="6"/>
        <v>-31.7</v>
      </c>
      <c r="G75" s="2"/>
    </row>
    <row r="76" spans="2:7" x14ac:dyDescent="0.25">
      <c r="B76" s="4">
        <v>45919</v>
      </c>
      <c r="C76" s="2"/>
      <c r="D76" s="2"/>
      <c r="E76" s="120"/>
      <c r="F76" s="120">
        <f t="shared" si="6"/>
        <v>0</v>
      </c>
      <c r="G76" s="2"/>
    </row>
    <row r="77" spans="2:7" x14ac:dyDescent="0.25">
      <c r="B77" s="4">
        <v>45920</v>
      </c>
      <c r="C77" s="2" t="s">
        <v>5423</v>
      </c>
      <c r="D77" s="2"/>
      <c r="E77" s="120"/>
      <c r="F77" s="120"/>
      <c r="G77" s="2"/>
    </row>
    <row r="78" spans="2:7" x14ac:dyDescent="0.25">
      <c r="B78" s="4">
        <v>45921</v>
      </c>
      <c r="C78" s="2" t="s">
        <v>480</v>
      </c>
      <c r="D78" s="2"/>
      <c r="E78" s="120"/>
      <c r="F78" s="120"/>
      <c r="G78" s="2"/>
    </row>
    <row r="79" spans="2:7" x14ac:dyDescent="0.25">
      <c r="B79" s="4">
        <v>45922</v>
      </c>
      <c r="C79" s="2" t="s">
        <v>5444</v>
      </c>
      <c r="D79" s="2"/>
      <c r="E79" s="120"/>
      <c r="F79" s="120"/>
      <c r="G79" s="2"/>
    </row>
    <row r="80" spans="2:7" x14ac:dyDescent="0.25">
      <c r="B80" s="4">
        <v>45923</v>
      </c>
      <c r="C80" s="2" t="s">
        <v>5447</v>
      </c>
      <c r="D80" s="2"/>
      <c r="E80" s="120"/>
      <c r="F80" s="120"/>
      <c r="G80" s="2"/>
    </row>
    <row r="81" spans="2:7" x14ac:dyDescent="0.25">
      <c r="B81" s="4">
        <v>45924</v>
      </c>
      <c r="C81" s="2" t="s">
        <v>5457</v>
      </c>
      <c r="D81" s="2"/>
      <c r="E81" s="23"/>
      <c r="F81" s="23"/>
      <c r="G81" s="2"/>
    </row>
    <row r="82" spans="2:7" x14ac:dyDescent="0.25">
      <c r="B82" s="4">
        <v>45925</v>
      </c>
      <c r="C82" s="2" t="s">
        <v>5457</v>
      </c>
      <c r="D82" s="2"/>
      <c r="E82" s="23"/>
      <c r="F82" s="23"/>
      <c r="G82" s="2"/>
    </row>
    <row r="83" spans="2:7" x14ac:dyDescent="0.25">
      <c r="B83" s="4">
        <v>45926</v>
      </c>
      <c r="C83" s="2" t="s">
        <v>5483</v>
      </c>
      <c r="D83" s="2"/>
      <c r="E83" s="23"/>
      <c r="F83" s="23"/>
      <c r="G83" s="2"/>
    </row>
    <row r="84" spans="2:7" x14ac:dyDescent="0.25">
      <c r="B84" s="4">
        <v>45927</v>
      </c>
      <c r="C84" s="2" t="s">
        <v>5491</v>
      </c>
      <c r="D84" s="2"/>
      <c r="E84" s="23"/>
      <c r="F84" s="23"/>
      <c r="G84" s="2"/>
    </row>
    <row r="85" spans="2:7" x14ac:dyDescent="0.25">
      <c r="B85" s="4">
        <v>45928</v>
      </c>
      <c r="C85" s="2" t="s">
        <v>5509</v>
      </c>
      <c r="D85" s="2" t="s">
        <v>5510</v>
      </c>
      <c r="E85" s="23">
        <v>33</v>
      </c>
      <c r="F85" s="23">
        <f>E85-E84</f>
        <v>33</v>
      </c>
      <c r="G85" s="2"/>
    </row>
    <row r="86" spans="2:7" x14ac:dyDescent="0.25">
      <c r="B86" s="4">
        <v>45929</v>
      </c>
      <c r="C86" s="2" t="s">
        <v>5505</v>
      </c>
      <c r="D86" s="2" t="s">
        <v>5511</v>
      </c>
      <c r="E86" s="23">
        <v>33</v>
      </c>
      <c r="F86" s="23">
        <f t="shared" ref="F86:F127" si="7">E86-E85</f>
        <v>0</v>
      </c>
      <c r="G86" s="2"/>
    </row>
    <row r="87" spans="2:7" x14ac:dyDescent="0.25">
      <c r="B87" s="4">
        <v>45930</v>
      </c>
      <c r="C87" s="2"/>
      <c r="D87" s="2"/>
      <c r="E87" s="23"/>
      <c r="F87" s="23">
        <f t="shared" si="7"/>
        <v>-33</v>
      </c>
      <c r="G87" s="2"/>
    </row>
    <row r="88" spans="2:7" x14ac:dyDescent="0.25">
      <c r="B88" s="4">
        <v>45931</v>
      </c>
      <c r="C88" s="2" t="s">
        <v>5555</v>
      </c>
      <c r="D88" s="2"/>
      <c r="E88" s="23">
        <v>15</v>
      </c>
      <c r="F88" s="23">
        <f t="shared" si="7"/>
        <v>15</v>
      </c>
      <c r="G88" s="2"/>
    </row>
    <row r="89" spans="2:7" x14ac:dyDescent="0.25">
      <c r="B89" s="4">
        <v>45932</v>
      </c>
      <c r="C89" s="2" t="s">
        <v>5530</v>
      </c>
      <c r="D89" s="2" t="s">
        <v>5537</v>
      </c>
      <c r="E89" s="23">
        <v>15</v>
      </c>
      <c r="F89" s="23">
        <f t="shared" si="7"/>
        <v>0</v>
      </c>
      <c r="G89" s="2"/>
    </row>
    <row r="90" spans="2:7" x14ac:dyDescent="0.25">
      <c r="B90" s="4">
        <v>45933</v>
      </c>
      <c r="C90" s="2" t="s">
        <v>5539</v>
      </c>
      <c r="D90" s="2" t="s">
        <v>5540</v>
      </c>
      <c r="E90" s="23">
        <v>36</v>
      </c>
      <c r="F90" s="23">
        <f t="shared" si="7"/>
        <v>21</v>
      </c>
      <c r="G90" s="2"/>
    </row>
    <row r="91" spans="2:7" x14ac:dyDescent="0.25">
      <c r="B91" s="4">
        <v>45934</v>
      </c>
      <c r="C91" s="2" t="s">
        <v>5557</v>
      </c>
      <c r="D91" s="2" t="s">
        <v>5558</v>
      </c>
      <c r="E91" s="23">
        <v>33.299999999999997</v>
      </c>
      <c r="F91" s="23">
        <v>33.299999999999997</v>
      </c>
      <c r="G91" s="2"/>
    </row>
    <row r="92" spans="2:7" x14ac:dyDescent="0.25">
      <c r="B92" s="4">
        <v>45935</v>
      </c>
      <c r="C92" s="2" t="s">
        <v>480</v>
      </c>
      <c r="D92" s="2" t="s">
        <v>5572</v>
      </c>
      <c r="E92" s="23"/>
      <c r="F92" s="23">
        <f t="shared" si="7"/>
        <v>-33.299999999999997</v>
      </c>
      <c r="G92" s="2"/>
    </row>
    <row r="93" spans="2:7" x14ac:dyDescent="0.25">
      <c r="B93" s="4">
        <v>45936</v>
      </c>
      <c r="C93" s="2" t="s">
        <v>5570</v>
      </c>
      <c r="D93" s="2" t="s">
        <v>5571</v>
      </c>
      <c r="E93" s="23">
        <v>30</v>
      </c>
      <c r="F93" s="23">
        <f t="shared" si="7"/>
        <v>30</v>
      </c>
      <c r="G93" s="2"/>
    </row>
    <row r="94" spans="2:7" x14ac:dyDescent="0.25">
      <c r="B94" s="4">
        <v>45937</v>
      </c>
      <c r="C94" s="2" t="s">
        <v>5582</v>
      </c>
      <c r="D94" s="2" t="s">
        <v>5580</v>
      </c>
      <c r="E94" s="23">
        <v>31</v>
      </c>
      <c r="F94" s="23">
        <f t="shared" si="7"/>
        <v>1</v>
      </c>
      <c r="G94" s="2"/>
    </row>
    <row r="95" spans="2:7" x14ac:dyDescent="0.25">
      <c r="B95" s="4">
        <v>45938</v>
      </c>
      <c r="C95" s="2" t="s">
        <v>5595</v>
      </c>
      <c r="D95" s="2" t="s">
        <v>5596</v>
      </c>
      <c r="E95" s="23">
        <v>31.25</v>
      </c>
      <c r="F95" s="23">
        <f t="shared" si="7"/>
        <v>0.25</v>
      </c>
      <c r="G95" s="2"/>
    </row>
    <row r="96" spans="2:7" x14ac:dyDescent="0.25">
      <c r="B96" s="4">
        <v>45939</v>
      </c>
      <c r="C96" s="2" t="s">
        <v>5607</v>
      </c>
      <c r="D96" s="2"/>
      <c r="E96" s="23">
        <v>33</v>
      </c>
      <c r="F96" s="23">
        <f t="shared" si="7"/>
        <v>1.75</v>
      </c>
      <c r="G96" s="2"/>
    </row>
    <row r="97" spans="2:7" x14ac:dyDescent="0.25">
      <c r="B97" s="4">
        <v>45940</v>
      </c>
      <c r="C97" s="2" t="s">
        <v>5608</v>
      </c>
      <c r="D97" s="2" t="s">
        <v>5609</v>
      </c>
      <c r="E97" s="23">
        <v>33.5</v>
      </c>
      <c r="F97" s="23">
        <f t="shared" si="7"/>
        <v>0.5</v>
      </c>
      <c r="G97" s="2"/>
    </row>
    <row r="98" spans="2:7" x14ac:dyDescent="0.25">
      <c r="B98" s="4">
        <v>45941</v>
      </c>
      <c r="C98" s="2" t="s">
        <v>5618</v>
      </c>
      <c r="D98" s="2"/>
      <c r="E98" s="23">
        <v>32.5</v>
      </c>
      <c r="F98" s="23">
        <f t="shared" si="7"/>
        <v>-1</v>
      </c>
      <c r="G98" s="2"/>
    </row>
    <row r="99" spans="2:7" x14ac:dyDescent="0.25">
      <c r="B99" s="4">
        <v>45942</v>
      </c>
      <c r="C99" s="2" t="s">
        <v>5619</v>
      </c>
      <c r="D99" s="2"/>
      <c r="E99" s="23">
        <v>32.5</v>
      </c>
      <c r="F99" s="23">
        <f t="shared" si="7"/>
        <v>0</v>
      </c>
      <c r="G99" s="2"/>
    </row>
    <row r="100" spans="2:7" x14ac:dyDescent="0.25">
      <c r="B100" s="4">
        <v>45943</v>
      </c>
      <c r="C100" s="2" t="s">
        <v>5627</v>
      </c>
      <c r="D100" s="2" t="s">
        <v>5631</v>
      </c>
      <c r="E100" s="23">
        <v>32.700000000000003</v>
      </c>
      <c r="F100" s="23">
        <f t="shared" si="7"/>
        <v>0.20000000000000284</v>
      </c>
      <c r="G100" s="2"/>
    </row>
    <row r="101" spans="2:7" x14ac:dyDescent="0.25">
      <c r="B101" s="4">
        <v>45944</v>
      </c>
      <c r="C101" s="2" t="s">
        <v>5634</v>
      </c>
      <c r="D101" s="2"/>
      <c r="E101" s="23">
        <v>34</v>
      </c>
      <c r="F101" s="23">
        <f t="shared" si="7"/>
        <v>1.2999999999999972</v>
      </c>
      <c r="G101" s="2"/>
    </row>
    <row r="102" spans="2:7" x14ac:dyDescent="0.25">
      <c r="B102" s="4">
        <v>45945</v>
      </c>
      <c r="C102" s="2" t="s">
        <v>5644</v>
      </c>
      <c r="D102" s="2"/>
      <c r="E102" s="23">
        <v>34.85</v>
      </c>
      <c r="F102" s="23">
        <f t="shared" si="7"/>
        <v>0.85000000000000142</v>
      </c>
      <c r="G102" s="2"/>
    </row>
    <row r="103" spans="2:7" x14ac:dyDescent="0.25">
      <c r="B103" s="4">
        <v>45946</v>
      </c>
      <c r="C103" s="2" t="s">
        <v>5656</v>
      </c>
      <c r="D103" s="2"/>
      <c r="E103" s="23">
        <v>35.25</v>
      </c>
      <c r="F103" s="23">
        <f t="shared" si="7"/>
        <v>0.39999999999999858</v>
      </c>
      <c r="G103" s="2"/>
    </row>
    <row r="104" spans="2:7" x14ac:dyDescent="0.25">
      <c r="B104" s="4">
        <v>45947</v>
      </c>
      <c r="C104" s="2" t="s">
        <v>5666</v>
      </c>
      <c r="D104" s="2"/>
      <c r="E104" s="23">
        <v>36.450000000000003</v>
      </c>
      <c r="F104" s="23">
        <f t="shared" si="7"/>
        <v>1.2000000000000028</v>
      </c>
      <c r="G104" s="2"/>
    </row>
    <row r="105" spans="2:7" x14ac:dyDescent="0.25">
      <c r="B105" s="4">
        <v>45948</v>
      </c>
      <c r="C105" s="2" t="s">
        <v>5670</v>
      </c>
      <c r="D105" s="2"/>
      <c r="E105" s="23">
        <v>37.450000000000003</v>
      </c>
      <c r="F105" s="23">
        <f t="shared" si="7"/>
        <v>1</v>
      </c>
      <c r="G105" s="2"/>
    </row>
    <row r="106" spans="2:7" x14ac:dyDescent="0.25">
      <c r="B106" s="4">
        <v>45949</v>
      </c>
      <c r="C106" s="2" t="s">
        <v>1919</v>
      </c>
      <c r="D106" s="2" t="s">
        <v>5671</v>
      </c>
      <c r="E106" s="23">
        <v>37.450000000000003</v>
      </c>
      <c r="F106" s="23">
        <f t="shared" si="7"/>
        <v>0</v>
      </c>
      <c r="G106" s="2"/>
    </row>
    <row r="107" spans="2:7" x14ac:dyDescent="0.25">
      <c r="B107" s="4">
        <v>45950</v>
      </c>
      <c r="C107" s="2" t="s">
        <v>5684</v>
      </c>
      <c r="D107" s="2" t="s">
        <v>5682</v>
      </c>
      <c r="E107" s="23">
        <v>36.200000000000003</v>
      </c>
      <c r="F107" s="23">
        <f t="shared" si="7"/>
        <v>-1.25</v>
      </c>
      <c r="G107" s="2"/>
    </row>
    <row r="108" spans="2:7" x14ac:dyDescent="0.25">
      <c r="B108" s="4">
        <v>45951</v>
      </c>
      <c r="C108" s="2" t="s">
        <v>5693</v>
      </c>
      <c r="D108" s="2"/>
      <c r="E108" s="23">
        <v>36.200000000000003</v>
      </c>
      <c r="F108" s="23">
        <f t="shared" si="7"/>
        <v>0</v>
      </c>
      <c r="G108" s="2"/>
    </row>
    <row r="109" spans="2:7" x14ac:dyDescent="0.25">
      <c r="B109" s="4">
        <v>45952</v>
      </c>
      <c r="C109" s="2" t="s">
        <v>5707</v>
      </c>
      <c r="D109" s="2"/>
      <c r="E109" s="23">
        <v>37.25</v>
      </c>
      <c r="F109" s="23">
        <f t="shared" si="7"/>
        <v>1.0499999999999972</v>
      </c>
      <c r="G109" s="2"/>
    </row>
    <row r="110" spans="2:7" x14ac:dyDescent="0.25">
      <c r="B110" s="4">
        <v>45953</v>
      </c>
      <c r="C110" s="2" t="s">
        <v>5720</v>
      </c>
      <c r="D110" s="2" t="s">
        <v>5709</v>
      </c>
      <c r="E110" s="23">
        <v>37.25</v>
      </c>
      <c r="F110" s="23">
        <f t="shared" si="7"/>
        <v>0</v>
      </c>
      <c r="G110" s="2"/>
    </row>
    <row r="111" spans="2:7" x14ac:dyDescent="0.25">
      <c r="B111" s="4">
        <v>45954</v>
      </c>
      <c r="C111" s="2" t="s">
        <v>5719</v>
      </c>
      <c r="D111" s="2"/>
      <c r="E111" s="120">
        <v>37.5</v>
      </c>
      <c r="F111" s="23">
        <f t="shared" si="7"/>
        <v>0.25</v>
      </c>
      <c r="G111" s="2"/>
    </row>
    <row r="112" spans="2:7" x14ac:dyDescent="0.25">
      <c r="B112" s="4">
        <v>45955</v>
      </c>
      <c r="C112" s="2" t="s">
        <v>5732</v>
      </c>
      <c r="D112" s="2"/>
      <c r="E112" s="23">
        <v>38</v>
      </c>
      <c r="F112" s="23">
        <f t="shared" si="7"/>
        <v>0.5</v>
      </c>
      <c r="G112" s="2"/>
    </row>
    <row r="113" spans="2:7" x14ac:dyDescent="0.25">
      <c r="B113" s="4">
        <v>45956</v>
      </c>
      <c r="C113" s="2" t="s">
        <v>480</v>
      </c>
      <c r="D113" s="2"/>
      <c r="E113" s="23">
        <v>38</v>
      </c>
      <c r="F113" s="23">
        <f t="shared" si="7"/>
        <v>0</v>
      </c>
      <c r="G113" s="2"/>
    </row>
    <row r="114" spans="2:7" x14ac:dyDescent="0.25">
      <c r="B114" s="4">
        <v>45957</v>
      </c>
      <c r="C114" s="2" t="s">
        <v>5742</v>
      </c>
      <c r="D114" s="2" t="s">
        <v>5745</v>
      </c>
      <c r="E114" s="23">
        <v>38.799999999999997</v>
      </c>
      <c r="F114" s="23">
        <f t="shared" si="7"/>
        <v>0.79999999999999716</v>
      </c>
      <c r="G114" s="2"/>
    </row>
    <row r="115" spans="2:7" x14ac:dyDescent="0.25">
      <c r="B115" s="4">
        <v>45958</v>
      </c>
      <c r="C115" s="2" t="s">
        <v>5751</v>
      </c>
      <c r="D115" s="2" t="s">
        <v>5746</v>
      </c>
      <c r="E115" s="23">
        <v>39.4</v>
      </c>
      <c r="F115" s="23">
        <f t="shared" si="7"/>
        <v>0.60000000000000142</v>
      </c>
      <c r="G115" s="2"/>
    </row>
    <row r="116" spans="2:7" x14ac:dyDescent="0.25">
      <c r="B116" s="4">
        <v>45959</v>
      </c>
      <c r="C116" s="2" t="s">
        <v>5754</v>
      </c>
      <c r="D116" s="2"/>
      <c r="E116" s="23">
        <v>41.5</v>
      </c>
      <c r="F116" s="23">
        <f t="shared" si="7"/>
        <v>2.1000000000000014</v>
      </c>
      <c r="G116" s="2"/>
    </row>
    <row r="117" spans="2:7" x14ac:dyDescent="0.25">
      <c r="B117" s="4">
        <v>45960</v>
      </c>
      <c r="C117" s="2" t="s">
        <v>5761</v>
      </c>
      <c r="D117" s="2"/>
      <c r="E117" s="23">
        <v>42.45</v>
      </c>
      <c r="F117" s="23">
        <f t="shared" si="7"/>
        <v>0.95000000000000284</v>
      </c>
      <c r="G117" s="2"/>
    </row>
    <row r="118" spans="2:7" x14ac:dyDescent="0.25">
      <c r="B118" s="4">
        <v>45961</v>
      </c>
      <c r="C118" s="2" t="s">
        <v>5769</v>
      </c>
      <c r="D118" s="2"/>
      <c r="E118" s="23">
        <v>42.8</v>
      </c>
      <c r="F118" s="23">
        <f t="shared" si="7"/>
        <v>0.34999999999999432</v>
      </c>
      <c r="G118" s="2"/>
    </row>
    <row r="119" spans="2:7" x14ac:dyDescent="0.25">
      <c r="B119" s="4">
        <v>45962</v>
      </c>
      <c r="C119" s="2" t="s">
        <v>5785</v>
      </c>
      <c r="D119" s="2"/>
      <c r="E119" s="23">
        <v>43</v>
      </c>
      <c r="F119" s="23">
        <f t="shared" si="7"/>
        <v>0.20000000000000284</v>
      </c>
      <c r="G119" s="2"/>
    </row>
    <row r="120" spans="2:7" x14ac:dyDescent="0.25">
      <c r="B120" s="4">
        <v>45963</v>
      </c>
      <c r="C120" s="2" t="s">
        <v>5786</v>
      </c>
      <c r="D120" s="2"/>
      <c r="E120" s="23">
        <v>43.2</v>
      </c>
      <c r="F120" s="23">
        <f t="shared" si="7"/>
        <v>0.20000000000000284</v>
      </c>
      <c r="G120" s="2"/>
    </row>
    <row r="121" spans="2:7" x14ac:dyDescent="0.25">
      <c r="B121" s="4">
        <v>45964</v>
      </c>
      <c r="C121" s="2" t="s">
        <v>5791</v>
      </c>
      <c r="D121" s="2"/>
      <c r="E121" s="23">
        <v>44.15</v>
      </c>
      <c r="F121" s="23">
        <f t="shared" si="7"/>
        <v>0.94999999999999574</v>
      </c>
      <c r="G121" s="2"/>
    </row>
    <row r="122" spans="2:7" x14ac:dyDescent="0.25">
      <c r="B122" s="4">
        <v>45965</v>
      </c>
      <c r="C122" s="2" t="s">
        <v>5802</v>
      </c>
      <c r="D122" s="2"/>
      <c r="E122" s="23">
        <v>44.15</v>
      </c>
      <c r="F122" s="23">
        <f t="shared" si="7"/>
        <v>0</v>
      </c>
      <c r="G122" s="2"/>
    </row>
    <row r="123" spans="2:7" x14ac:dyDescent="0.25">
      <c r="B123" s="4">
        <v>45966</v>
      </c>
      <c r="C123" s="2" t="s">
        <v>5802</v>
      </c>
      <c r="D123" s="2"/>
      <c r="E123" s="23">
        <v>44.15</v>
      </c>
      <c r="F123" s="23">
        <f t="shared" si="7"/>
        <v>0</v>
      </c>
      <c r="G123" s="2"/>
    </row>
    <row r="124" spans="2:7" x14ac:dyDescent="0.25">
      <c r="B124" s="4">
        <v>45967</v>
      </c>
      <c r="C124" s="2" t="s">
        <v>5821</v>
      </c>
      <c r="D124" s="2"/>
      <c r="E124" s="23">
        <v>32</v>
      </c>
      <c r="F124" s="23">
        <f t="shared" si="7"/>
        <v>-12.149999999999999</v>
      </c>
      <c r="G124" s="2"/>
    </row>
    <row r="125" spans="2:7" x14ac:dyDescent="0.25">
      <c r="B125" s="4">
        <v>45968</v>
      </c>
      <c r="C125" s="2" t="s">
        <v>5820</v>
      </c>
      <c r="D125" s="2"/>
      <c r="E125" s="23">
        <v>35</v>
      </c>
      <c r="F125" s="23">
        <f t="shared" si="7"/>
        <v>3</v>
      </c>
      <c r="G125" s="2"/>
    </row>
    <row r="126" spans="2:7" x14ac:dyDescent="0.25">
      <c r="B126" s="4">
        <v>45969</v>
      </c>
      <c r="C126" s="2" t="s">
        <v>5829</v>
      </c>
      <c r="D126" s="2"/>
      <c r="E126" s="23"/>
      <c r="F126" s="23">
        <f t="shared" si="7"/>
        <v>-35</v>
      </c>
      <c r="G126" s="2"/>
    </row>
    <row r="127" spans="2:7" x14ac:dyDescent="0.25">
      <c r="B127" s="4">
        <v>45970</v>
      </c>
      <c r="C127" s="2" t="s">
        <v>5830</v>
      </c>
      <c r="D127" s="2"/>
      <c r="E127" s="23"/>
      <c r="F127" s="23">
        <f t="shared" si="7"/>
        <v>0</v>
      </c>
      <c r="G127" s="2"/>
    </row>
    <row r="128" spans="2:7" x14ac:dyDescent="0.25">
      <c r="B128" s="4">
        <v>45971</v>
      </c>
      <c r="C128" s="2" t="s">
        <v>5831</v>
      </c>
      <c r="D128" s="2"/>
      <c r="E128" s="23"/>
      <c r="F128" s="23"/>
      <c r="G128" s="2"/>
    </row>
    <row r="129" spans="2:7" x14ac:dyDescent="0.25">
      <c r="B129" s="4">
        <v>45972</v>
      </c>
      <c r="C129" s="2" t="s">
        <v>5842</v>
      </c>
      <c r="D129" s="2" t="s">
        <v>6279</v>
      </c>
      <c r="E129" s="23"/>
      <c r="F129" s="23"/>
      <c r="G129" s="2"/>
    </row>
    <row r="130" spans="2:7" x14ac:dyDescent="0.25">
      <c r="B130" s="4">
        <v>45973</v>
      </c>
      <c r="C130" s="2" t="s">
        <v>5847</v>
      </c>
      <c r="D130" s="2" t="s">
        <v>5562</v>
      </c>
      <c r="E130" s="23"/>
      <c r="F130" s="23"/>
      <c r="G130" s="2"/>
    </row>
    <row r="131" spans="2:7" x14ac:dyDescent="0.25">
      <c r="B131" s="4">
        <v>45974</v>
      </c>
      <c r="C131" s="2" t="s">
        <v>5869</v>
      </c>
      <c r="D131" s="2"/>
      <c r="E131" s="23">
        <v>45.15</v>
      </c>
      <c r="F131" s="23">
        <f>E131-E130</f>
        <v>45.15</v>
      </c>
      <c r="G131" s="2"/>
    </row>
    <row r="132" spans="2:7" x14ac:dyDescent="0.25">
      <c r="B132" s="4">
        <v>45975</v>
      </c>
      <c r="C132" s="2" t="s">
        <v>5868</v>
      </c>
      <c r="D132" s="2"/>
      <c r="E132" s="23">
        <v>45.7</v>
      </c>
      <c r="F132" s="23">
        <f t="shared" ref="F132:F195" si="8">E132-E131</f>
        <v>0.55000000000000426</v>
      </c>
      <c r="G132" s="2"/>
    </row>
    <row r="133" spans="2:7" x14ac:dyDescent="0.25">
      <c r="B133" s="4">
        <v>45976</v>
      </c>
      <c r="C133" s="2" t="s">
        <v>5876</v>
      </c>
      <c r="D133" s="2"/>
      <c r="E133" s="23">
        <v>46.2</v>
      </c>
      <c r="F133" s="23">
        <f t="shared" si="8"/>
        <v>0.5</v>
      </c>
      <c r="G133" s="2"/>
    </row>
    <row r="134" spans="2:7" x14ac:dyDescent="0.25">
      <c r="B134" s="4">
        <v>45977</v>
      </c>
      <c r="C134" s="2" t="s">
        <v>5877</v>
      </c>
      <c r="D134" s="2" t="s">
        <v>5883</v>
      </c>
      <c r="E134" s="23">
        <v>46.65</v>
      </c>
      <c r="F134" s="120">
        <f t="shared" si="8"/>
        <v>0.44999999999999574</v>
      </c>
      <c r="G134" s="2"/>
    </row>
    <row r="135" spans="2:7" x14ac:dyDescent="0.25">
      <c r="B135" s="4">
        <v>45978</v>
      </c>
      <c r="C135" s="2" t="s">
        <v>5898</v>
      </c>
      <c r="D135" s="2"/>
      <c r="E135" s="23">
        <v>47.1</v>
      </c>
      <c r="F135" s="23">
        <f t="shared" si="8"/>
        <v>0.45000000000000284</v>
      </c>
      <c r="G135" s="2"/>
    </row>
    <row r="136" spans="2:7" x14ac:dyDescent="0.25">
      <c r="B136" s="4">
        <v>45979</v>
      </c>
      <c r="C136" s="2" t="s">
        <v>5907</v>
      </c>
      <c r="D136" s="2" t="s">
        <v>5912</v>
      </c>
      <c r="E136" s="23">
        <v>47.45</v>
      </c>
      <c r="F136" s="23">
        <f t="shared" si="8"/>
        <v>0.35000000000000142</v>
      </c>
      <c r="G136" s="2"/>
    </row>
    <row r="137" spans="2:7" x14ac:dyDescent="0.25">
      <c r="B137" s="4">
        <v>45980</v>
      </c>
      <c r="C137" s="2" t="s">
        <v>5920</v>
      </c>
      <c r="D137" s="2"/>
      <c r="E137" s="23">
        <v>48.4</v>
      </c>
      <c r="F137" s="23">
        <f t="shared" si="8"/>
        <v>0.94999999999999574</v>
      </c>
      <c r="G137" s="2"/>
    </row>
    <row r="138" spans="2:7" x14ac:dyDescent="0.25">
      <c r="B138" s="4">
        <v>45981</v>
      </c>
      <c r="C138" s="2" t="s">
        <v>5928</v>
      </c>
      <c r="D138" s="2" t="s">
        <v>5931</v>
      </c>
      <c r="E138" s="23">
        <v>49.25</v>
      </c>
      <c r="F138" s="23">
        <f t="shared" si="8"/>
        <v>0.85000000000000142</v>
      </c>
      <c r="G138" s="2"/>
    </row>
    <row r="139" spans="2:7" x14ac:dyDescent="0.25">
      <c r="B139" s="4">
        <v>45982</v>
      </c>
      <c r="C139" s="2" t="s">
        <v>5935</v>
      </c>
      <c r="D139" s="2" t="s">
        <v>5939</v>
      </c>
      <c r="E139" s="23">
        <v>49.25</v>
      </c>
      <c r="F139" s="23">
        <f t="shared" si="8"/>
        <v>0</v>
      </c>
      <c r="G139" s="2"/>
    </row>
    <row r="140" spans="2:7" x14ac:dyDescent="0.25">
      <c r="B140" s="4">
        <v>45983</v>
      </c>
      <c r="C140" s="2" t="s">
        <v>5949</v>
      </c>
      <c r="D140" s="2"/>
      <c r="E140" s="23">
        <v>50.75</v>
      </c>
      <c r="F140" s="23">
        <f t="shared" si="8"/>
        <v>1.5</v>
      </c>
      <c r="G140" s="2"/>
    </row>
    <row r="141" spans="2:7" x14ac:dyDescent="0.25">
      <c r="B141" s="4">
        <v>45984</v>
      </c>
      <c r="C141" s="2" t="s">
        <v>5950</v>
      </c>
      <c r="D141" s="2" t="s">
        <v>5951</v>
      </c>
      <c r="E141" s="23">
        <v>51.45</v>
      </c>
      <c r="F141" s="23">
        <f t="shared" si="8"/>
        <v>0.70000000000000284</v>
      </c>
      <c r="G141" s="2"/>
    </row>
    <row r="142" spans="2:7" x14ac:dyDescent="0.25">
      <c r="B142" s="4">
        <v>45985</v>
      </c>
      <c r="C142" s="2" t="s">
        <v>5964</v>
      </c>
      <c r="D142" s="2" t="s">
        <v>5965</v>
      </c>
      <c r="E142" s="23">
        <v>53.65</v>
      </c>
      <c r="F142" s="23">
        <f t="shared" si="8"/>
        <v>2.1999999999999957</v>
      </c>
      <c r="G142" s="2"/>
    </row>
    <row r="143" spans="2:7" x14ac:dyDescent="0.25">
      <c r="B143" s="4">
        <v>45986</v>
      </c>
      <c r="C143" s="2" t="s">
        <v>5935</v>
      </c>
      <c r="D143" s="2"/>
      <c r="E143" s="23"/>
      <c r="F143" s="23">
        <f t="shared" si="8"/>
        <v>-53.65</v>
      </c>
      <c r="G143" s="2"/>
    </row>
    <row r="144" spans="2:7" x14ac:dyDescent="0.25">
      <c r="B144" s="4">
        <v>45987</v>
      </c>
      <c r="C144" s="2" t="s">
        <v>5935</v>
      </c>
      <c r="D144" s="2"/>
      <c r="E144" s="23"/>
      <c r="F144" s="23">
        <f t="shared" si="8"/>
        <v>0</v>
      </c>
      <c r="G144" s="2"/>
    </row>
    <row r="145" spans="2:7" x14ac:dyDescent="0.25">
      <c r="B145" s="4">
        <v>45988</v>
      </c>
      <c r="C145" s="2" t="s">
        <v>5935</v>
      </c>
      <c r="D145" s="2"/>
      <c r="E145" s="23"/>
      <c r="F145" s="23">
        <f t="shared" si="8"/>
        <v>0</v>
      </c>
      <c r="G145" s="2"/>
    </row>
    <row r="146" spans="2:7" x14ac:dyDescent="0.25">
      <c r="B146" s="4">
        <v>45989</v>
      </c>
      <c r="C146" s="2" t="s">
        <v>5993</v>
      </c>
      <c r="D146" s="2"/>
      <c r="E146" s="23"/>
      <c r="F146" s="23">
        <f t="shared" si="8"/>
        <v>0</v>
      </c>
      <c r="G146" s="2"/>
    </row>
    <row r="147" spans="2:7" x14ac:dyDescent="0.25">
      <c r="B147" s="4">
        <v>45990</v>
      </c>
      <c r="C147" s="2" t="s">
        <v>6004</v>
      </c>
      <c r="D147" s="2" t="s">
        <v>6002</v>
      </c>
      <c r="E147" s="23">
        <v>30</v>
      </c>
      <c r="F147" s="23">
        <f t="shared" si="8"/>
        <v>30</v>
      </c>
      <c r="G147" s="2"/>
    </row>
    <row r="148" spans="2:7" x14ac:dyDescent="0.25">
      <c r="B148" s="4">
        <v>45991</v>
      </c>
      <c r="C148" s="2" t="s">
        <v>6016</v>
      </c>
      <c r="D148" s="2"/>
      <c r="E148" s="23">
        <v>35</v>
      </c>
      <c r="F148" s="23">
        <f t="shared" si="8"/>
        <v>5</v>
      </c>
      <c r="G148" s="2"/>
    </row>
    <row r="149" spans="2:7" x14ac:dyDescent="0.25">
      <c r="B149" s="4">
        <v>45992</v>
      </c>
      <c r="C149" s="2" t="s">
        <v>6025</v>
      </c>
      <c r="D149" s="2"/>
      <c r="E149" s="23">
        <v>36</v>
      </c>
      <c r="F149" s="23">
        <f t="shared" si="8"/>
        <v>1</v>
      </c>
      <c r="G149" s="2"/>
    </row>
    <row r="150" spans="2:7" x14ac:dyDescent="0.25">
      <c r="B150" s="4">
        <v>45993</v>
      </c>
      <c r="C150" s="2" t="s">
        <v>6031</v>
      </c>
      <c r="D150" s="2"/>
      <c r="E150" s="23"/>
      <c r="F150" s="23">
        <f t="shared" si="8"/>
        <v>-36</v>
      </c>
      <c r="G150" s="2"/>
    </row>
    <row r="151" spans="2:7" x14ac:dyDescent="0.25">
      <c r="B151" s="4">
        <v>45994</v>
      </c>
      <c r="C151" s="2" t="s">
        <v>6040</v>
      </c>
      <c r="D151" s="2" t="s">
        <v>6049</v>
      </c>
      <c r="E151" s="23"/>
      <c r="F151" s="23">
        <f t="shared" si="8"/>
        <v>0</v>
      </c>
      <c r="G151" s="2"/>
    </row>
    <row r="152" spans="2:7" x14ac:dyDescent="0.25">
      <c r="B152" s="4">
        <v>45995</v>
      </c>
      <c r="C152" s="2" t="s">
        <v>6050</v>
      </c>
      <c r="D152" s="2"/>
      <c r="E152" s="23">
        <v>12</v>
      </c>
      <c r="F152" s="23">
        <f t="shared" si="8"/>
        <v>12</v>
      </c>
      <c r="G152" s="2"/>
    </row>
    <row r="153" spans="2:7" x14ac:dyDescent="0.25">
      <c r="B153" s="4">
        <v>45996</v>
      </c>
      <c r="C153" s="2" t="s">
        <v>6056</v>
      </c>
      <c r="D153" s="2"/>
      <c r="E153" s="23">
        <v>16</v>
      </c>
      <c r="F153" s="23">
        <f t="shared" si="8"/>
        <v>4</v>
      </c>
      <c r="G153" s="2"/>
    </row>
    <row r="154" spans="2:7" x14ac:dyDescent="0.25">
      <c r="B154" s="4">
        <v>45997</v>
      </c>
      <c r="C154" s="2" t="s">
        <v>6064</v>
      </c>
      <c r="D154" s="2"/>
      <c r="E154" s="23">
        <v>17</v>
      </c>
      <c r="F154" s="23">
        <f t="shared" si="8"/>
        <v>1</v>
      </c>
      <c r="G154" s="2"/>
    </row>
    <row r="155" spans="2:7" x14ac:dyDescent="0.25">
      <c r="B155" s="4">
        <v>45998</v>
      </c>
      <c r="C155" s="2" t="s">
        <v>6072</v>
      </c>
      <c r="D155" s="2"/>
      <c r="E155" s="23">
        <v>19</v>
      </c>
      <c r="F155" s="23">
        <f t="shared" si="8"/>
        <v>2</v>
      </c>
      <c r="G155" s="2"/>
    </row>
    <row r="156" spans="2:7" x14ac:dyDescent="0.25">
      <c r="B156" s="4">
        <v>45999</v>
      </c>
      <c r="C156" s="2" t="s">
        <v>6079</v>
      </c>
      <c r="D156" s="2"/>
      <c r="E156" s="23">
        <v>19</v>
      </c>
      <c r="F156" s="23">
        <f t="shared" si="8"/>
        <v>0</v>
      </c>
      <c r="G156" s="2"/>
    </row>
    <row r="157" spans="2:7" x14ac:dyDescent="0.25">
      <c r="B157" s="4">
        <v>46000</v>
      </c>
      <c r="C157" s="2" t="s">
        <v>6086</v>
      </c>
      <c r="D157" s="2"/>
      <c r="E157" s="23">
        <v>21</v>
      </c>
      <c r="F157" s="23">
        <f t="shared" si="8"/>
        <v>2</v>
      </c>
      <c r="G157" s="2"/>
    </row>
    <row r="158" spans="2:7" x14ac:dyDescent="0.25">
      <c r="B158" s="4">
        <v>46001</v>
      </c>
      <c r="C158" s="2" t="s">
        <v>6092</v>
      </c>
      <c r="D158" s="2"/>
      <c r="E158" s="23">
        <v>22</v>
      </c>
      <c r="F158" s="23">
        <f t="shared" si="8"/>
        <v>1</v>
      </c>
      <c r="G158" s="2"/>
    </row>
    <row r="159" spans="2:7" x14ac:dyDescent="0.25">
      <c r="B159" s="4">
        <v>46002</v>
      </c>
      <c r="C159" s="2" t="s">
        <v>6098</v>
      </c>
      <c r="D159" s="2"/>
      <c r="E159" s="23">
        <v>23</v>
      </c>
      <c r="F159" s="23">
        <f t="shared" si="8"/>
        <v>1</v>
      </c>
      <c r="G159" s="2"/>
    </row>
    <row r="160" spans="2:7" x14ac:dyDescent="0.25">
      <c r="B160" s="4">
        <v>46003</v>
      </c>
      <c r="C160" s="2" t="s">
        <v>6098</v>
      </c>
      <c r="D160" s="2" t="s">
        <v>6106</v>
      </c>
      <c r="E160" s="23">
        <v>23</v>
      </c>
      <c r="F160" s="23">
        <f t="shared" si="8"/>
        <v>0</v>
      </c>
      <c r="G160" s="2"/>
    </row>
    <row r="161" spans="2:7" x14ac:dyDescent="0.25">
      <c r="B161" s="4">
        <v>46004</v>
      </c>
      <c r="C161" s="2" t="s">
        <v>6112</v>
      </c>
      <c r="D161" s="2"/>
      <c r="E161" s="23">
        <v>24</v>
      </c>
      <c r="F161" s="23">
        <f t="shared" si="8"/>
        <v>1</v>
      </c>
      <c r="G161" s="2"/>
    </row>
    <row r="162" spans="2:7" x14ac:dyDescent="0.25">
      <c r="B162" s="4">
        <v>46005</v>
      </c>
      <c r="C162" s="2" t="s">
        <v>6116</v>
      </c>
      <c r="D162" s="2"/>
      <c r="E162" s="23">
        <v>25</v>
      </c>
      <c r="F162" s="23">
        <f t="shared" si="8"/>
        <v>1</v>
      </c>
      <c r="G162" s="2"/>
    </row>
    <row r="163" spans="2:7" x14ac:dyDescent="0.25">
      <c r="B163" s="4">
        <v>46006</v>
      </c>
      <c r="C163" s="2" t="s">
        <v>6116</v>
      </c>
      <c r="D163" s="2" t="s">
        <v>6123</v>
      </c>
      <c r="E163" s="23">
        <v>25</v>
      </c>
      <c r="F163" s="23">
        <f t="shared" si="8"/>
        <v>0</v>
      </c>
      <c r="G163" s="2"/>
    </row>
    <row r="164" spans="2:7" x14ac:dyDescent="0.25">
      <c r="B164" s="4">
        <v>46007</v>
      </c>
      <c r="C164" s="2" t="s">
        <v>6132</v>
      </c>
      <c r="D164" s="2"/>
      <c r="E164" s="23">
        <v>26</v>
      </c>
      <c r="F164" s="23">
        <f t="shared" si="8"/>
        <v>1</v>
      </c>
      <c r="G164" s="2"/>
    </row>
    <row r="165" spans="2:7" x14ac:dyDescent="0.25">
      <c r="B165" s="4">
        <v>46008</v>
      </c>
      <c r="C165" s="2" t="s">
        <v>6146</v>
      </c>
      <c r="D165" s="2"/>
      <c r="E165" s="23">
        <v>27</v>
      </c>
      <c r="F165" s="23">
        <f t="shared" si="8"/>
        <v>1</v>
      </c>
      <c r="G165" s="2"/>
    </row>
    <row r="166" spans="2:7" x14ac:dyDescent="0.25">
      <c r="B166" s="4">
        <v>46009</v>
      </c>
      <c r="C166" s="2" t="s">
        <v>6150</v>
      </c>
      <c r="D166" s="2"/>
      <c r="E166" s="23">
        <v>27.3</v>
      </c>
      <c r="F166" s="23">
        <f t="shared" si="8"/>
        <v>0.30000000000000071</v>
      </c>
      <c r="G166" s="2"/>
    </row>
    <row r="167" spans="2:7" x14ac:dyDescent="0.25">
      <c r="B167" s="4">
        <v>46010</v>
      </c>
      <c r="C167" s="2" t="s">
        <v>6159</v>
      </c>
      <c r="D167" s="2"/>
      <c r="E167" s="23">
        <v>28.3</v>
      </c>
      <c r="F167" s="23">
        <f t="shared" si="8"/>
        <v>1</v>
      </c>
      <c r="G167" s="2"/>
    </row>
    <row r="168" spans="2:7" x14ac:dyDescent="0.25">
      <c r="B168" s="4">
        <v>46011</v>
      </c>
      <c r="C168" s="2" t="s">
        <v>6168</v>
      </c>
      <c r="D168" s="2"/>
      <c r="E168" s="23">
        <v>28.8</v>
      </c>
      <c r="F168" s="23">
        <f t="shared" si="8"/>
        <v>0.5</v>
      </c>
      <c r="G168" s="2"/>
    </row>
    <row r="169" spans="2:7" x14ac:dyDescent="0.25">
      <c r="B169" s="4">
        <v>46012</v>
      </c>
      <c r="C169" s="2" t="s">
        <v>6173</v>
      </c>
      <c r="D169" s="2"/>
      <c r="E169" s="23">
        <v>29.1</v>
      </c>
      <c r="F169" s="23">
        <f t="shared" si="8"/>
        <v>0.30000000000000071</v>
      </c>
      <c r="G169" s="2"/>
    </row>
    <row r="170" spans="2:7" x14ac:dyDescent="0.25">
      <c r="B170" s="4">
        <v>46013</v>
      </c>
      <c r="C170" s="2" t="s">
        <v>6189</v>
      </c>
      <c r="D170" s="2"/>
      <c r="E170" s="23">
        <v>30</v>
      </c>
      <c r="F170" s="23">
        <f t="shared" si="8"/>
        <v>0.89999999999999858</v>
      </c>
      <c r="G170" s="2"/>
    </row>
    <row r="171" spans="2:7" x14ac:dyDescent="0.25">
      <c r="B171" s="4">
        <v>46014</v>
      </c>
      <c r="C171" s="2" t="s">
        <v>6192</v>
      </c>
      <c r="D171" s="2"/>
      <c r="E171" s="23">
        <v>30</v>
      </c>
      <c r="F171" s="23">
        <f t="shared" si="8"/>
        <v>0</v>
      </c>
      <c r="G171" s="2"/>
    </row>
    <row r="172" spans="2:7" x14ac:dyDescent="0.25">
      <c r="B172" s="4">
        <v>46015</v>
      </c>
      <c r="C172" s="2" t="s">
        <v>6198</v>
      </c>
      <c r="D172" s="2" t="s">
        <v>6199</v>
      </c>
      <c r="E172" s="23">
        <v>30</v>
      </c>
      <c r="F172" s="23">
        <f t="shared" si="8"/>
        <v>0</v>
      </c>
      <c r="G172" s="2"/>
    </row>
    <row r="173" spans="2:7" x14ac:dyDescent="0.25">
      <c r="B173" s="4">
        <v>46016</v>
      </c>
      <c r="C173" s="2" t="s">
        <v>6209</v>
      </c>
      <c r="D173" s="2"/>
      <c r="E173" s="23">
        <v>33</v>
      </c>
      <c r="F173" s="23">
        <f t="shared" si="8"/>
        <v>3</v>
      </c>
      <c r="G173" s="2"/>
    </row>
    <row r="174" spans="2:7" x14ac:dyDescent="0.25">
      <c r="B174" s="4">
        <v>46017</v>
      </c>
      <c r="C174" s="2" t="s">
        <v>6215</v>
      </c>
      <c r="D174" s="2"/>
      <c r="E174" s="23">
        <v>34</v>
      </c>
      <c r="F174" s="23">
        <f t="shared" si="8"/>
        <v>1</v>
      </c>
      <c r="G174" s="2"/>
    </row>
    <row r="175" spans="2:7" x14ac:dyDescent="0.25">
      <c r="B175" s="4">
        <v>46018</v>
      </c>
      <c r="C175" s="2" t="s">
        <v>6221</v>
      </c>
      <c r="D175" s="2"/>
      <c r="E175" s="23">
        <v>35</v>
      </c>
      <c r="F175" s="23">
        <f t="shared" si="8"/>
        <v>1</v>
      </c>
      <c r="G175" s="2"/>
    </row>
    <row r="176" spans="2:7" x14ac:dyDescent="0.25">
      <c r="B176" s="4">
        <v>46019</v>
      </c>
      <c r="C176" s="2" t="s">
        <v>6222</v>
      </c>
      <c r="D176" s="2"/>
      <c r="E176" s="23">
        <v>36</v>
      </c>
      <c r="F176" s="23">
        <f t="shared" si="8"/>
        <v>1</v>
      </c>
      <c r="G176" s="2"/>
    </row>
    <row r="177" spans="2:7" x14ac:dyDescent="0.25">
      <c r="B177" s="4">
        <v>46020</v>
      </c>
      <c r="C177" s="2" t="s">
        <v>6229</v>
      </c>
      <c r="D177" s="2"/>
      <c r="E177" s="23">
        <v>37</v>
      </c>
      <c r="F177" s="23">
        <f t="shared" si="8"/>
        <v>1</v>
      </c>
      <c r="G177" s="2"/>
    </row>
    <row r="178" spans="2:7" x14ac:dyDescent="0.25">
      <c r="B178" s="4">
        <v>46021</v>
      </c>
      <c r="C178" s="2" t="s">
        <v>6240</v>
      </c>
      <c r="D178" s="2"/>
      <c r="E178" s="23">
        <v>37</v>
      </c>
      <c r="F178" s="23">
        <f t="shared" si="8"/>
        <v>0</v>
      </c>
      <c r="G178" s="2"/>
    </row>
    <row r="179" spans="2:7" x14ac:dyDescent="0.25">
      <c r="B179" s="4">
        <v>46022</v>
      </c>
      <c r="C179" s="2" t="s">
        <v>6248</v>
      </c>
      <c r="D179" s="2"/>
      <c r="E179" s="23">
        <v>37</v>
      </c>
      <c r="F179" s="23">
        <f t="shared" si="8"/>
        <v>0</v>
      </c>
      <c r="G179" s="2"/>
    </row>
    <row r="180" spans="2:7" x14ac:dyDescent="0.25">
      <c r="B180" s="4">
        <v>46023</v>
      </c>
      <c r="C180" s="2" t="s">
        <v>6249</v>
      </c>
      <c r="D180" s="2"/>
      <c r="E180" s="23">
        <v>37.299999999999997</v>
      </c>
      <c r="F180" s="23">
        <f t="shared" si="8"/>
        <v>0.29999999999999716</v>
      </c>
      <c r="G180" s="2"/>
    </row>
    <row r="181" spans="2:7" x14ac:dyDescent="0.25">
      <c r="B181" s="4">
        <v>46024</v>
      </c>
      <c r="C181" s="2" t="s">
        <v>6250</v>
      </c>
      <c r="D181" s="2"/>
      <c r="E181" s="23">
        <v>37.6</v>
      </c>
      <c r="F181" s="23">
        <f t="shared" si="8"/>
        <v>0.30000000000000426</v>
      </c>
      <c r="G181" s="2"/>
    </row>
    <row r="182" spans="2:7" x14ac:dyDescent="0.25">
      <c r="B182" s="4">
        <v>46025</v>
      </c>
      <c r="C182" s="2" t="s">
        <v>6256</v>
      </c>
      <c r="D182" s="2"/>
      <c r="E182" s="23">
        <v>39</v>
      </c>
      <c r="F182" s="23">
        <f t="shared" si="8"/>
        <v>1.3999999999999986</v>
      </c>
      <c r="G182" s="2"/>
    </row>
    <row r="183" spans="2:7" x14ac:dyDescent="0.25">
      <c r="B183" s="4">
        <v>46026</v>
      </c>
      <c r="C183" s="2" t="s">
        <v>6257</v>
      </c>
      <c r="D183" s="2"/>
      <c r="E183" s="23">
        <v>39.200000000000003</v>
      </c>
      <c r="F183" s="23">
        <f t="shared" si="8"/>
        <v>0.20000000000000284</v>
      </c>
      <c r="G183" s="2"/>
    </row>
    <row r="184" spans="2:7" x14ac:dyDescent="0.25">
      <c r="B184" s="4">
        <v>46027</v>
      </c>
      <c r="C184" s="2" t="s">
        <v>6273</v>
      </c>
      <c r="D184" s="2"/>
      <c r="E184" s="23">
        <v>40</v>
      </c>
      <c r="F184" s="23">
        <f t="shared" si="8"/>
        <v>0.79999999999999716</v>
      </c>
      <c r="G184" s="2"/>
    </row>
    <row r="185" spans="2:7" x14ac:dyDescent="0.25">
      <c r="B185" s="4">
        <v>46028</v>
      </c>
      <c r="C185" s="2" t="s">
        <v>6273</v>
      </c>
      <c r="D185" s="2" t="s">
        <v>6270</v>
      </c>
      <c r="E185" s="23">
        <v>40</v>
      </c>
      <c r="F185" s="23">
        <f t="shared" si="8"/>
        <v>0</v>
      </c>
      <c r="G185" s="2"/>
    </row>
    <row r="186" spans="2:7" x14ac:dyDescent="0.25">
      <c r="B186" s="4">
        <v>46029</v>
      </c>
      <c r="C186" s="2" t="s">
        <v>6280</v>
      </c>
      <c r="D186" s="2"/>
      <c r="E186" s="23">
        <v>41</v>
      </c>
      <c r="F186" s="23">
        <f t="shared" si="8"/>
        <v>1</v>
      </c>
      <c r="G186" s="2"/>
    </row>
    <row r="187" spans="2:7" x14ac:dyDescent="0.25">
      <c r="B187" s="4">
        <v>46030</v>
      </c>
      <c r="C187" s="2" t="s">
        <v>6281</v>
      </c>
      <c r="D187" s="2"/>
      <c r="E187" s="23">
        <v>44</v>
      </c>
      <c r="F187" s="23">
        <f t="shared" si="8"/>
        <v>3</v>
      </c>
      <c r="G187" s="2"/>
    </row>
    <row r="188" spans="2:7" x14ac:dyDescent="0.25">
      <c r="B188" s="4">
        <v>46031</v>
      </c>
      <c r="C188" s="2" t="s">
        <v>6286</v>
      </c>
      <c r="D188" s="2"/>
      <c r="E188" s="23">
        <v>47</v>
      </c>
      <c r="F188" s="23">
        <f t="shared" si="8"/>
        <v>3</v>
      </c>
      <c r="G188" s="2"/>
    </row>
    <row r="189" spans="2:7" x14ac:dyDescent="0.25">
      <c r="B189" s="4">
        <v>46032</v>
      </c>
      <c r="C189" s="2" t="s">
        <v>6300</v>
      </c>
      <c r="D189" s="2" t="s">
        <v>6301</v>
      </c>
      <c r="E189" s="23">
        <v>47.5</v>
      </c>
      <c r="F189" s="23">
        <f t="shared" si="8"/>
        <v>0.5</v>
      </c>
      <c r="G189" s="2"/>
    </row>
    <row r="190" spans="2:7" x14ac:dyDescent="0.25">
      <c r="B190" s="4">
        <v>46033</v>
      </c>
      <c r="C190" s="2" t="s">
        <v>6240</v>
      </c>
      <c r="D190" s="2" t="s">
        <v>6309</v>
      </c>
      <c r="E190" s="23">
        <v>47.5</v>
      </c>
      <c r="F190" s="23">
        <f t="shared" si="8"/>
        <v>0</v>
      </c>
      <c r="G190" s="2"/>
    </row>
    <row r="191" spans="2:7" x14ac:dyDescent="0.25">
      <c r="B191" s="4">
        <v>46034</v>
      </c>
      <c r="C191" s="2" t="s">
        <v>6317</v>
      </c>
      <c r="D191" s="2"/>
      <c r="E191" s="23">
        <v>47.65</v>
      </c>
      <c r="F191" s="23">
        <f t="shared" si="8"/>
        <v>0.14999999999999858</v>
      </c>
      <c r="G191" s="2"/>
    </row>
    <row r="192" spans="2:7" x14ac:dyDescent="0.25">
      <c r="B192" s="4">
        <v>46035</v>
      </c>
      <c r="C192" s="2" t="s">
        <v>6321</v>
      </c>
      <c r="D192" s="2"/>
      <c r="E192" s="23">
        <v>47.85</v>
      </c>
      <c r="F192" s="23">
        <f t="shared" si="8"/>
        <v>0.20000000000000284</v>
      </c>
      <c r="G192" s="2"/>
    </row>
    <row r="193" spans="2:7" x14ac:dyDescent="0.25">
      <c r="B193" s="4">
        <v>46036</v>
      </c>
      <c r="C193" s="2" t="s">
        <v>6329</v>
      </c>
      <c r="D193" s="2"/>
      <c r="E193" s="23">
        <v>48.05</v>
      </c>
      <c r="F193" s="23">
        <f t="shared" si="8"/>
        <v>0.19999999999999574</v>
      </c>
      <c r="G193" s="2"/>
    </row>
    <row r="194" spans="2:7" x14ac:dyDescent="0.25">
      <c r="B194" s="4">
        <v>46037</v>
      </c>
      <c r="C194" s="2" t="s">
        <v>6339</v>
      </c>
      <c r="D194" s="2"/>
      <c r="E194" s="23">
        <v>48.35</v>
      </c>
      <c r="F194" s="23">
        <f t="shared" si="8"/>
        <v>0.30000000000000426</v>
      </c>
      <c r="G194" s="2"/>
    </row>
    <row r="195" spans="2:7" x14ac:dyDescent="0.25">
      <c r="B195" s="4">
        <v>46038</v>
      </c>
      <c r="C195" s="2" t="s">
        <v>6340</v>
      </c>
      <c r="D195" s="2"/>
      <c r="E195" s="23">
        <v>50</v>
      </c>
      <c r="F195" s="23">
        <f t="shared" si="8"/>
        <v>1.6499999999999986</v>
      </c>
      <c r="G195" s="2"/>
    </row>
    <row r="196" spans="2:7" x14ac:dyDescent="0.25">
      <c r="B196" s="4">
        <v>46039</v>
      </c>
      <c r="C196" s="2" t="s">
        <v>6350</v>
      </c>
      <c r="D196" s="2"/>
      <c r="E196" s="23">
        <v>50.5</v>
      </c>
      <c r="F196" s="23">
        <f t="shared" ref="F196:F249" si="9">E196-E195</f>
        <v>0.5</v>
      </c>
      <c r="G196" s="2"/>
    </row>
    <row r="197" spans="2:7" x14ac:dyDescent="0.25">
      <c r="B197" s="4">
        <v>46040</v>
      </c>
      <c r="C197" s="2" t="s">
        <v>6351</v>
      </c>
      <c r="D197" s="2"/>
      <c r="E197" s="23">
        <v>51</v>
      </c>
      <c r="F197" s="23">
        <f t="shared" si="9"/>
        <v>0.5</v>
      </c>
      <c r="G197" s="2"/>
    </row>
    <row r="198" spans="2:7" x14ac:dyDescent="0.25">
      <c r="B198" s="4">
        <v>46041</v>
      </c>
      <c r="C198" s="2" t="s">
        <v>6358</v>
      </c>
      <c r="D198" s="2"/>
      <c r="E198" s="23">
        <v>52</v>
      </c>
      <c r="F198" s="23">
        <f t="shared" si="9"/>
        <v>1</v>
      </c>
      <c r="G198" s="2"/>
    </row>
    <row r="199" spans="2:7" x14ac:dyDescent="0.25">
      <c r="B199" s="4">
        <v>46042</v>
      </c>
      <c r="C199" s="2" t="s">
        <v>6364</v>
      </c>
      <c r="D199" s="2"/>
      <c r="E199" s="23">
        <v>52</v>
      </c>
      <c r="F199" s="23">
        <f t="shared" si="9"/>
        <v>0</v>
      </c>
      <c r="G199" s="2"/>
    </row>
    <row r="200" spans="2:7" x14ac:dyDescent="0.25">
      <c r="B200" s="4">
        <v>46043</v>
      </c>
      <c r="C200" s="2" t="s">
        <v>6370</v>
      </c>
      <c r="D200" s="2" t="s">
        <v>6371</v>
      </c>
      <c r="E200" s="23"/>
      <c r="F200" s="23">
        <f t="shared" si="9"/>
        <v>-52</v>
      </c>
      <c r="G200" s="2"/>
    </row>
    <row r="201" spans="2:7" x14ac:dyDescent="0.25">
      <c r="B201" s="4">
        <v>46044</v>
      </c>
      <c r="C201" s="2" t="s">
        <v>6377</v>
      </c>
      <c r="D201" s="2"/>
      <c r="E201" s="23"/>
      <c r="F201" s="23">
        <f t="shared" si="9"/>
        <v>0</v>
      </c>
      <c r="G201" s="2"/>
    </row>
    <row r="202" spans="2:7" x14ac:dyDescent="0.25">
      <c r="B202" s="4">
        <v>46045</v>
      </c>
      <c r="C202" s="2" t="s">
        <v>6389</v>
      </c>
      <c r="D202" s="2"/>
      <c r="E202" s="23"/>
      <c r="F202" s="23">
        <f t="shared" si="9"/>
        <v>0</v>
      </c>
      <c r="G202" s="2"/>
    </row>
    <row r="203" spans="2:7" x14ac:dyDescent="0.25">
      <c r="B203" s="4">
        <v>46046</v>
      </c>
      <c r="C203" s="2" t="s">
        <v>6398</v>
      </c>
      <c r="D203" s="2" t="s">
        <v>6392</v>
      </c>
      <c r="E203" s="23">
        <v>12</v>
      </c>
      <c r="F203" s="23">
        <f t="shared" si="9"/>
        <v>12</v>
      </c>
      <c r="G203" s="2"/>
    </row>
    <row r="204" spans="2:7" x14ac:dyDescent="0.25">
      <c r="B204" s="4">
        <v>46047</v>
      </c>
      <c r="C204" s="2" t="s">
        <v>6399</v>
      </c>
      <c r="D204" s="2"/>
      <c r="E204" s="23">
        <v>16</v>
      </c>
      <c r="F204" s="23">
        <f t="shared" si="9"/>
        <v>4</v>
      </c>
      <c r="G204" s="2"/>
    </row>
    <row r="205" spans="2:7" x14ac:dyDescent="0.25">
      <c r="B205" s="4">
        <v>46048</v>
      </c>
      <c r="C205" s="2" t="s">
        <v>6400</v>
      </c>
      <c r="D205" s="2"/>
      <c r="E205" s="23">
        <v>31</v>
      </c>
      <c r="F205" s="23">
        <f t="shared" si="9"/>
        <v>15</v>
      </c>
      <c r="G205" s="2"/>
    </row>
    <row r="206" spans="2:7" x14ac:dyDescent="0.25">
      <c r="B206" s="4">
        <v>46049</v>
      </c>
      <c r="C206" s="2" t="s">
        <v>6403</v>
      </c>
      <c r="D206" s="2"/>
      <c r="E206" s="23">
        <v>37</v>
      </c>
      <c r="F206" s="23">
        <f t="shared" si="9"/>
        <v>6</v>
      </c>
      <c r="G206" s="2"/>
    </row>
    <row r="207" spans="2:7" x14ac:dyDescent="0.25">
      <c r="B207" s="4">
        <v>46050</v>
      </c>
      <c r="C207" s="2" t="s">
        <v>6409</v>
      </c>
      <c r="D207" s="2"/>
      <c r="E207" s="23">
        <v>46</v>
      </c>
      <c r="F207" s="23">
        <f t="shared" si="9"/>
        <v>9</v>
      </c>
      <c r="G207" s="2"/>
    </row>
    <row r="208" spans="2:7" x14ac:dyDescent="0.25">
      <c r="B208" s="4">
        <v>46051</v>
      </c>
      <c r="C208" s="2" t="s">
        <v>6419</v>
      </c>
      <c r="D208" s="2"/>
      <c r="E208" s="23">
        <v>46</v>
      </c>
      <c r="F208" s="23">
        <f t="shared" si="9"/>
        <v>0</v>
      </c>
      <c r="G208" s="2"/>
    </row>
    <row r="209" spans="2:7" x14ac:dyDescent="0.25">
      <c r="B209" s="4">
        <v>46052</v>
      </c>
      <c r="C209" s="2" t="s">
        <v>6423</v>
      </c>
      <c r="D209" s="2" t="s">
        <v>5111</v>
      </c>
      <c r="E209" s="23">
        <v>54</v>
      </c>
      <c r="F209" s="23">
        <f t="shared" si="9"/>
        <v>8</v>
      </c>
      <c r="G209" s="2"/>
    </row>
    <row r="210" spans="2:7" x14ac:dyDescent="0.25">
      <c r="B210" s="4">
        <v>46053</v>
      </c>
      <c r="C210" s="2" t="s">
        <v>6424</v>
      </c>
      <c r="D210" s="2"/>
      <c r="E210" s="23">
        <v>54</v>
      </c>
      <c r="F210" s="23">
        <f t="shared" si="9"/>
        <v>0</v>
      </c>
      <c r="G210" s="2"/>
    </row>
    <row r="211" spans="2:7" x14ac:dyDescent="0.25">
      <c r="B211" s="4">
        <v>46054</v>
      </c>
      <c r="C211" s="2" t="s">
        <v>480</v>
      </c>
      <c r="D211" s="2"/>
      <c r="E211" s="23">
        <v>54</v>
      </c>
      <c r="F211" s="23">
        <f t="shared" si="9"/>
        <v>0</v>
      </c>
      <c r="G211" s="2"/>
    </row>
    <row r="212" spans="2:7" x14ac:dyDescent="0.25">
      <c r="B212" s="4">
        <v>46055</v>
      </c>
      <c r="C212" s="2" t="s">
        <v>6432</v>
      </c>
      <c r="D212" s="2" t="s">
        <v>6433</v>
      </c>
      <c r="E212" s="23">
        <v>57</v>
      </c>
      <c r="F212" s="23">
        <f t="shared" si="9"/>
        <v>3</v>
      </c>
      <c r="G212" s="2"/>
    </row>
    <row r="213" spans="2:7" x14ac:dyDescent="0.25">
      <c r="B213" s="4">
        <v>46056</v>
      </c>
      <c r="C213" s="2" t="s">
        <v>6443</v>
      </c>
      <c r="D213" s="2"/>
      <c r="E213" s="23">
        <v>57</v>
      </c>
      <c r="F213" s="23">
        <f t="shared" si="9"/>
        <v>0</v>
      </c>
      <c r="G213" s="2"/>
    </row>
    <row r="214" spans="2:7" x14ac:dyDescent="0.25">
      <c r="B214" s="4">
        <v>46057</v>
      </c>
      <c r="C214" s="2" t="s">
        <v>6443</v>
      </c>
      <c r="D214" s="2"/>
      <c r="E214" s="23">
        <v>57</v>
      </c>
      <c r="F214" s="23">
        <f t="shared" si="9"/>
        <v>0</v>
      </c>
      <c r="G214" s="2"/>
    </row>
    <row r="215" spans="2:7" x14ac:dyDescent="0.25">
      <c r="B215" s="4">
        <v>46058</v>
      </c>
      <c r="C215" s="2" t="s">
        <v>6458</v>
      </c>
      <c r="D215" s="2"/>
      <c r="E215" s="23">
        <v>57</v>
      </c>
      <c r="F215" s="23">
        <f t="shared" si="9"/>
        <v>0</v>
      </c>
      <c r="G215" s="2"/>
    </row>
    <row r="216" spans="2:7" x14ac:dyDescent="0.25">
      <c r="B216" s="4">
        <v>46059</v>
      </c>
      <c r="C216" s="2" t="s">
        <v>6462</v>
      </c>
      <c r="D216" s="2" t="s">
        <v>6463</v>
      </c>
      <c r="E216" s="23">
        <v>57</v>
      </c>
      <c r="F216" s="23">
        <f t="shared" si="9"/>
        <v>0</v>
      </c>
      <c r="G216" s="2"/>
    </row>
    <row r="217" spans="2:7" x14ac:dyDescent="0.25">
      <c r="B217" s="4">
        <v>46060</v>
      </c>
      <c r="C217" s="2" t="s">
        <v>6473</v>
      </c>
      <c r="D217" s="2"/>
      <c r="E217" s="23">
        <v>57</v>
      </c>
      <c r="F217" s="23">
        <f t="shared" si="9"/>
        <v>0</v>
      </c>
      <c r="G217" s="2"/>
    </row>
    <row r="218" spans="2:7" x14ac:dyDescent="0.25">
      <c r="B218" s="4">
        <v>46061</v>
      </c>
      <c r="C218" s="2" t="s">
        <v>480</v>
      </c>
      <c r="D218" s="2" t="s">
        <v>6474</v>
      </c>
      <c r="E218" s="23">
        <v>57</v>
      </c>
      <c r="F218" s="23">
        <f t="shared" si="9"/>
        <v>0</v>
      </c>
      <c r="G218" s="2"/>
    </row>
    <row r="219" spans="2:7" x14ac:dyDescent="0.25">
      <c r="B219" s="4">
        <v>46062</v>
      </c>
      <c r="C219" s="2" t="s">
        <v>6477</v>
      </c>
      <c r="D219" s="2"/>
      <c r="E219" s="23">
        <v>57</v>
      </c>
      <c r="F219" s="23">
        <f t="shared" si="9"/>
        <v>0</v>
      </c>
      <c r="G219" s="2"/>
    </row>
    <row r="220" spans="2:7" x14ac:dyDescent="0.25">
      <c r="B220" s="4">
        <v>46063</v>
      </c>
      <c r="C220" s="2" t="s">
        <v>6485</v>
      </c>
      <c r="D220" s="2"/>
      <c r="E220" s="23">
        <v>57</v>
      </c>
      <c r="F220" s="23">
        <f t="shared" si="9"/>
        <v>0</v>
      </c>
      <c r="G220" s="2"/>
    </row>
    <row r="221" spans="2:7" x14ac:dyDescent="0.25">
      <c r="B221" s="4">
        <v>46064</v>
      </c>
      <c r="C221" s="2" t="s">
        <v>6492</v>
      </c>
      <c r="D221" s="2"/>
      <c r="E221" s="23">
        <v>52</v>
      </c>
      <c r="F221" s="23">
        <f t="shared" si="9"/>
        <v>-5</v>
      </c>
      <c r="G221" s="2"/>
    </row>
    <row r="222" spans="2:7" x14ac:dyDescent="0.25">
      <c r="B222" s="4">
        <v>46065</v>
      </c>
      <c r="C222" s="2" t="s">
        <v>6496</v>
      </c>
      <c r="D222" s="2" t="s">
        <v>6497</v>
      </c>
      <c r="E222" s="23">
        <v>52</v>
      </c>
      <c r="F222" s="23">
        <f t="shared" si="9"/>
        <v>0</v>
      </c>
      <c r="G222" s="2"/>
    </row>
    <row r="223" spans="2:7" x14ac:dyDescent="0.25">
      <c r="B223" s="4">
        <v>46066</v>
      </c>
      <c r="C223" s="2" t="s">
        <v>3178</v>
      </c>
      <c r="D223" s="2" t="s">
        <v>6506</v>
      </c>
      <c r="E223" s="23">
        <v>52</v>
      </c>
      <c r="F223" s="23">
        <f t="shared" si="9"/>
        <v>0</v>
      </c>
      <c r="G223" s="2"/>
    </row>
    <row r="224" spans="2:7" x14ac:dyDescent="0.25">
      <c r="B224" s="4">
        <v>46067</v>
      </c>
      <c r="C224" s="2" t="s">
        <v>6515</v>
      </c>
      <c r="D224" s="2"/>
      <c r="E224" s="23">
        <v>60</v>
      </c>
      <c r="F224" s="23">
        <f t="shared" si="9"/>
        <v>8</v>
      </c>
      <c r="G224" s="2"/>
    </row>
    <row r="225" spans="2:7" x14ac:dyDescent="0.25">
      <c r="B225" s="4">
        <v>46068</v>
      </c>
      <c r="C225" s="2" t="s">
        <v>6516</v>
      </c>
      <c r="D225" s="2"/>
      <c r="E225" s="23">
        <v>70</v>
      </c>
      <c r="F225" s="23">
        <f t="shared" si="9"/>
        <v>10</v>
      </c>
      <c r="G225" s="2"/>
    </row>
    <row r="226" spans="2:7" x14ac:dyDescent="0.25">
      <c r="B226" s="4">
        <v>46069</v>
      </c>
      <c r="C226" s="2" t="s">
        <v>6528</v>
      </c>
      <c r="D226" s="2"/>
      <c r="E226" s="23">
        <v>77</v>
      </c>
      <c r="F226" s="23">
        <f t="shared" si="9"/>
        <v>7</v>
      </c>
      <c r="G226" s="2"/>
    </row>
    <row r="227" spans="2:7" x14ac:dyDescent="0.25">
      <c r="B227" s="4">
        <v>46070</v>
      </c>
      <c r="C227" s="2" t="s">
        <v>6535</v>
      </c>
      <c r="D227" s="2"/>
      <c r="E227" s="23">
        <v>96</v>
      </c>
      <c r="F227" s="23">
        <f t="shared" si="9"/>
        <v>19</v>
      </c>
      <c r="G227" s="2"/>
    </row>
    <row r="228" spans="2:7" x14ac:dyDescent="0.25">
      <c r="B228" s="4">
        <v>46071</v>
      </c>
      <c r="C228" s="2" t="s">
        <v>6548</v>
      </c>
      <c r="D228" s="2" t="s">
        <v>6549</v>
      </c>
      <c r="E228" s="23">
        <v>108</v>
      </c>
      <c r="F228" s="23">
        <f t="shared" si="9"/>
        <v>12</v>
      </c>
      <c r="G228" s="2"/>
    </row>
    <row r="229" spans="2:7" x14ac:dyDescent="0.25">
      <c r="B229" s="4">
        <v>46072</v>
      </c>
      <c r="C229" s="2" t="s">
        <v>5362</v>
      </c>
      <c r="D229" s="2"/>
      <c r="E229" s="23"/>
      <c r="F229" s="23">
        <f t="shared" si="9"/>
        <v>-108</v>
      </c>
      <c r="G229" s="2"/>
    </row>
    <row r="230" spans="2:7" x14ac:dyDescent="0.25">
      <c r="B230" s="4">
        <v>46073</v>
      </c>
      <c r="C230" s="2" t="s">
        <v>6550</v>
      </c>
      <c r="D230" s="2"/>
      <c r="E230" s="23">
        <v>60</v>
      </c>
      <c r="F230" s="23">
        <f t="shared" si="9"/>
        <v>60</v>
      </c>
      <c r="G230" s="2"/>
    </row>
    <row r="231" spans="2:7" x14ac:dyDescent="0.25">
      <c r="B231" s="4">
        <v>46074</v>
      </c>
      <c r="C231" s="2" t="s">
        <v>6556</v>
      </c>
      <c r="D231" s="2"/>
      <c r="E231" s="23">
        <v>108</v>
      </c>
      <c r="F231" s="23">
        <f t="shared" si="9"/>
        <v>48</v>
      </c>
      <c r="G231" s="2"/>
    </row>
    <row r="232" spans="2:7" x14ac:dyDescent="0.25">
      <c r="B232" s="4">
        <v>46075</v>
      </c>
      <c r="C232" s="2" t="s">
        <v>6557</v>
      </c>
      <c r="D232" s="2"/>
      <c r="E232" s="23"/>
      <c r="F232" s="23">
        <f t="shared" si="9"/>
        <v>-108</v>
      </c>
      <c r="G232" s="2"/>
    </row>
    <row r="233" spans="2:7" x14ac:dyDescent="0.25">
      <c r="B233" s="4">
        <v>46076</v>
      </c>
      <c r="C233" s="2" t="s">
        <v>6574</v>
      </c>
      <c r="D233" s="2"/>
      <c r="E233" s="23"/>
      <c r="F233" s="23">
        <f t="shared" si="9"/>
        <v>0</v>
      </c>
      <c r="G233" s="2"/>
    </row>
    <row r="234" spans="2:7" x14ac:dyDescent="0.25">
      <c r="B234" s="4">
        <v>46077</v>
      </c>
      <c r="C234" s="2" t="s">
        <v>6584</v>
      </c>
      <c r="D234" s="2"/>
      <c r="E234" s="23"/>
      <c r="F234" s="23">
        <f t="shared" si="9"/>
        <v>0</v>
      </c>
      <c r="G234" s="2"/>
    </row>
    <row r="235" spans="2:7" x14ac:dyDescent="0.25">
      <c r="B235" s="4">
        <v>46078</v>
      </c>
      <c r="C235" s="2" t="s">
        <v>6590</v>
      </c>
      <c r="D235" s="2"/>
      <c r="E235" s="23"/>
      <c r="F235" s="23">
        <f t="shared" si="9"/>
        <v>0</v>
      </c>
      <c r="G235" s="2"/>
    </row>
    <row r="236" spans="2:7" x14ac:dyDescent="0.25">
      <c r="B236" s="4">
        <v>46079</v>
      </c>
      <c r="C236" s="2" t="s">
        <v>6602</v>
      </c>
      <c r="D236" s="2" t="s">
        <v>6603</v>
      </c>
      <c r="E236" s="23"/>
      <c r="F236" s="23">
        <f t="shared" si="9"/>
        <v>0</v>
      </c>
      <c r="G236" s="2"/>
    </row>
    <row r="237" spans="2:7" x14ac:dyDescent="0.25">
      <c r="B237" s="4">
        <v>46080</v>
      </c>
      <c r="C237" s="2" t="s">
        <v>6604</v>
      </c>
      <c r="D237" s="2" t="s">
        <v>6605</v>
      </c>
      <c r="E237" s="23"/>
      <c r="F237" s="23">
        <f t="shared" si="9"/>
        <v>0</v>
      </c>
      <c r="G237" s="2"/>
    </row>
    <row r="238" spans="2:7" x14ac:dyDescent="0.25">
      <c r="B238" s="4">
        <v>46081</v>
      </c>
      <c r="C238" s="2" t="s">
        <v>6638</v>
      </c>
      <c r="D238" s="2"/>
      <c r="E238" s="23">
        <v>29</v>
      </c>
      <c r="F238" s="23">
        <f t="shared" si="9"/>
        <v>29</v>
      </c>
      <c r="G238" s="2"/>
    </row>
    <row r="239" spans="2:7" x14ac:dyDescent="0.25">
      <c r="B239" s="4">
        <v>46082</v>
      </c>
      <c r="C239" s="2" t="s">
        <v>6637</v>
      </c>
      <c r="D239" s="2"/>
      <c r="E239" s="23">
        <v>37</v>
      </c>
      <c r="F239" s="23">
        <f t="shared" si="9"/>
        <v>8</v>
      </c>
      <c r="G239" s="2"/>
    </row>
    <row r="240" spans="2:7" x14ac:dyDescent="0.25">
      <c r="B240" s="4">
        <v>46083</v>
      </c>
      <c r="C240" s="2" t="s">
        <v>6649</v>
      </c>
      <c r="D240" s="2"/>
      <c r="E240" s="23">
        <v>54</v>
      </c>
      <c r="F240" s="23">
        <f t="shared" si="9"/>
        <v>17</v>
      </c>
      <c r="G240" s="2"/>
    </row>
    <row r="241" spans="2:7" x14ac:dyDescent="0.25">
      <c r="B241" s="4">
        <v>46084</v>
      </c>
      <c r="C241" s="2" t="s">
        <v>6650</v>
      </c>
      <c r="D241" s="2"/>
      <c r="E241" s="23">
        <v>97</v>
      </c>
      <c r="F241" s="23">
        <f t="shared" si="9"/>
        <v>43</v>
      </c>
      <c r="G241" s="2"/>
    </row>
    <row r="242" spans="2:7" x14ac:dyDescent="0.25">
      <c r="B242" s="4">
        <v>46085</v>
      </c>
      <c r="C242" s="2" t="s">
        <v>6651</v>
      </c>
      <c r="D242" s="2" t="s">
        <v>2181</v>
      </c>
      <c r="E242" s="23"/>
      <c r="F242" s="23">
        <f t="shared" si="9"/>
        <v>-97</v>
      </c>
      <c r="G242" s="2"/>
    </row>
    <row r="243" spans="2:7" x14ac:dyDescent="0.25">
      <c r="B243" s="4">
        <v>46086</v>
      </c>
      <c r="C243" s="2" t="s">
        <v>6664</v>
      </c>
      <c r="D243" s="2"/>
      <c r="E243" s="23"/>
      <c r="F243" s="23">
        <f t="shared" si="9"/>
        <v>0</v>
      </c>
      <c r="G243" s="2"/>
    </row>
    <row r="244" spans="2:7" x14ac:dyDescent="0.25">
      <c r="B244" s="4">
        <v>46087</v>
      </c>
      <c r="C244" s="2" t="s">
        <v>6669</v>
      </c>
      <c r="D244" s="2"/>
      <c r="E244" s="23"/>
      <c r="F244" s="23">
        <f t="shared" si="9"/>
        <v>0</v>
      </c>
      <c r="G244" s="2"/>
    </row>
    <row r="245" spans="2:7" x14ac:dyDescent="0.25">
      <c r="B245" s="4">
        <v>46088</v>
      </c>
      <c r="C245" s="2" t="s">
        <v>6674</v>
      </c>
      <c r="D245" s="2"/>
      <c r="E245" s="23"/>
      <c r="F245" s="23">
        <f t="shared" si="9"/>
        <v>0</v>
      </c>
      <c r="G245" s="2"/>
    </row>
    <row r="246" spans="2:7" x14ac:dyDescent="0.25">
      <c r="B246" s="4">
        <v>46089</v>
      </c>
      <c r="C246" s="2" t="s">
        <v>6675</v>
      </c>
      <c r="D246" s="2"/>
      <c r="E246" s="23"/>
      <c r="F246" s="23">
        <f t="shared" si="9"/>
        <v>0</v>
      </c>
      <c r="G246" s="2"/>
    </row>
    <row r="247" spans="2:7" x14ac:dyDescent="0.25">
      <c r="B247" s="4">
        <v>46090</v>
      </c>
      <c r="C247" s="2" t="s">
        <v>6690</v>
      </c>
      <c r="D247" s="2"/>
      <c r="E247" s="23"/>
      <c r="F247" s="23">
        <f t="shared" si="9"/>
        <v>0</v>
      </c>
      <c r="G247" s="2"/>
    </row>
    <row r="248" spans="2:7" x14ac:dyDescent="0.25">
      <c r="B248" s="4">
        <v>46091</v>
      </c>
      <c r="C248" s="2" t="s">
        <v>5408</v>
      </c>
      <c r="D248" s="2"/>
      <c r="E248" s="23"/>
      <c r="F248" s="23">
        <f t="shared" si="9"/>
        <v>0</v>
      </c>
      <c r="G248" s="2"/>
    </row>
    <row r="249" spans="2:7" x14ac:dyDescent="0.25">
      <c r="B249" s="4">
        <v>46092</v>
      </c>
      <c r="C249" s="2" t="s">
        <v>6170</v>
      </c>
      <c r="D249" s="2"/>
      <c r="E249" s="23"/>
      <c r="F249" s="23">
        <f t="shared" si="9"/>
        <v>0</v>
      </c>
      <c r="G249" s="2"/>
    </row>
    <row r="250" spans="2:7" x14ac:dyDescent="0.25">
      <c r="B250" s="4">
        <v>46093</v>
      </c>
      <c r="C250" s="2" t="s">
        <v>6336</v>
      </c>
      <c r="D250" s="2"/>
      <c r="E250" s="23"/>
      <c r="F250" s="23"/>
      <c r="G250" s="2"/>
    </row>
    <row r="251" spans="2:7" x14ac:dyDescent="0.25">
      <c r="B251" s="4">
        <v>46094</v>
      </c>
      <c r="C251" s="2" t="s">
        <v>6697</v>
      </c>
      <c r="D251" s="2"/>
      <c r="E251" s="23"/>
      <c r="F251" s="23"/>
      <c r="G251" s="2"/>
    </row>
    <row r="252" spans="2:7" x14ac:dyDescent="0.25">
      <c r="B252" s="4">
        <v>46095</v>
      </c>
      <c r="C252" s="2" t="s">
        <v>4597</v>
      </c>
      <c r="D252" s="2"/>
      <c r="E252" s="23"/>
      <c r="F252" s="23"/>
      <c r="G252" s="2"/>
    </row>
    <row r="253" spans="2:7" x14ac:dyDescent="0.25">
      <c r="B253" s="4">
        <v>46096</v>
      </c>
      <c r="C253" s="2"/>
      <c r="D253" s="2"/>
      <c r="E253" s="23"/>
      <c r="F253" s="23"/>
      <c r="G253" s="2"/>
    </row>
    <row r="254" spans="2:7" x14ac:dyDescent="0.25">
      <c r="B254" s="4">
        <v>46097</v>
      </c>
      <c r="C254" s="2"/>
      <c r="D254" s="2"/>
      <c r="E254" s="23"/>
      <c r="F254" s="23"/>
      <c r="G254" s="2"/>
    </row>
    <row r="255" spans="2:7" x14ac:dyDescent="0.25">
      <c r="B255" s="4">
        <v>46098</v>
      </c>
      <c r="C255" s="2"/>
      <c r="D255" s="2"/>
      <c r="E255" s="23"/>
      <c r="F255" s="23"/>
      <c r="G255" s="2"/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B2:G118"/>
  <sheetViews>
    <sheetView topLeftCell="B106" zoomScaleNormal="100" workbookViewId="0">
      <selection activeCell="C117" sqref="C117"/>
    </sheetView>
  </sheetViews>
  <sheetFormatPr defaultRowHeight="15" x14ac:dyDescent="0.25"/>
  <cols>
    <col min="2" max="2" width="19.5703125" customWidth="1"/>
    <col min="3" max="3" width="72" bestFit="1" customWidth="1"/>
    <col min="4" max="4" width="42.140625" bestFit="1" customWidth="1"/>
    <col min="5" max="5" width="11.85546875" bestFit="1" customWidth="1"/>
    <col min="6" max="6" width="8.42578125" bestFit="1" customWidth="1"/>
    <col min="7" max="7" width="11" bestFit="1" customWidth="1"/>
  </cols>
  <sheetData>
    <row r="2" spans="2:7" x14ac:dyDescent="0.25">
      <c r="B2" s="144" t="s">
        <v>6093</v>
      </c>
    </row>
    <row r="3" spans="2:7" ht="15.75" x14ac:dyDescent="0.25">
      <c r="B3" s="10" t="s">
        <v>0</v>
      </c>
      <c r="C3" s="11" t="s">
        <v>1</v>
      </c>
      <c r="D3" s="11" t="s">
        <v>2</v>
      </c>
      <c r="E3" s="11" t="s">
        <v>934</v>
      </c>
      <c r="F3" s="11" t="s">
        <v>1095</v>
      </c>
      <c r="G3" s="11" t="s">
        <v>1507</v>
      </c>
    </row>
    <row r="4" spans="2:7" x14ac:dyDescent="0.25">
      <c r="B4" s="4">
        <v>46001</v>
      </c>
      <c r="C4" s="2" t="s">
        <v>6094</v>
      </c>
      <c r="D4" s="2"/>
      <c r="E4" s="23"/>
      <c r="F4" s="2"/>
      <c r="G4" s="2"/>
    </row>
    <row r="5" spans="2:7" x14ac:dyDescent="0.25">
      <c r="B5" s="4">
        <v>46002</v>
      </c>
      <c r="C5" s="2" t="s">
        <v>6101</v>
      </c>
      <c r="D5" s="2"/>
      <c r="E5" s="23"/>
      <c r="F5" s="2"/>
      <c r="G5" s="2"/>
    </row>
    <row r="6" spans="2:7" x14ac:dyDescent="0.25">
      <c r="B6" s="4">
        <v>46003</v>
      </c>
      <c r="C6" s="2" t="s">
        <v>6105</v>
      </c>
      <c r="D6" s="2"/>
      <c r="E6" s="23"/>
      <c r="F6" s="2"/>
      <c r="G6" s="2"/>
    </row>
    <row r="7" spans="2:7" x14ac:dyDescent="0.25">
      <c r="B7" s="4">
        <v>46004</v>
      </c>
      <c r="C7" s="2" t="s">
        <v>6113</v>
      </c>
      <c r="D7" s="58"/>
      <c r="E7" s="23"/>
      <c r="F7" s="2"/>
      <c r="G7" s="2"/>
    </row>
    <row r="8" spans="2:7" x14ac:dyDescent="0.25">
      <c r="B8" s="4">
        <v>46005</v>
      </c>
      <c r="C8" s="2" t="s">
        <v>6118</v>
      </c>
      <c r="D8" s="58"/>
      <c r="E8" s="23"/>
      <c r="F8" s="2"/>
      <c r="G8" s="2"/>
    </row>
    <row r="9" spans="2:7" x14ac:dyDescent="0.25">
      <c r="B9" s="4">
        <v>46006</v>
      </c>
      <c r="C9" s="2" t="s">
        <v>6125</v>
      </c>
      <c r="D9" s="58"/>
      <c r="E9" s="23"/>
      <c r="F9" s="2"/>
      <c r="G9" s="2"/>
    </row>
    <row r="10" spans="2:7" x14ac:dyDescent="0.25">
      <c r="B10" s="4">
        <v>46007</v>
      </c>
      <c r="C10" s="2" t="s">
        <v>6137</v>
      </c>
      <c r="D10" s="2"/>
      <c r="E10" s="23"/>
      <c r="F10" s="2"/>
      <c r="G10" s="2"/>
    </row>
    <row r="11" spans="2:7" x14ac:dyDescent="0.25">
      <c r="B11" s="4">
        <v>46008</v>
      </c>
      <c r="C11" s="2" t="s">
        <v>6137</v>
      </c>
      <c r="D11" s="2"/>
      <c r="E11" s="23"/>
      <c r="F11" s="2"/>
      <c r="G11" s="2"/>
    </row>
    <row r="12" spans="2:7" x14ac:dyDescent="0.25">
      <c r="B12" s="4">
        <v>46009</v>
      </c>
      <c r="C12" s="2" t="s">
        <v>480</v>
      </c>
      <c r="D12" s="2"/>
      <c r="E12" s="23"/>
      <c r="F12" s="2"/>
      <c r="G12" s="2"/>
    </row>
    <row r="13" spans="2:7" x14ac:dyDescent="0.25">
      <c r="B13" s="4">
        <v>46010</v>
      </c>
      <c r="C13" s="2" t="s">
        <v>6162</v>
      </c>
      <c r="D13" s="2"/>
      <c r="E13" s="23"/>
      <c r="F13" s="2"/>
      <c r="G13" s="2"/>
    </row>
    <row r="14" spans="2:7" x14ac:dyDescent="0.25">
      <c r="B14" s="4">
        <v>46011</v>
      </c>
      <c r="C14" s="2" t="s">
        <v>6167</v>
      </c>
      <c r="D14" s="2"/>
      <c r="E14" s="23"/>
      <c r="F14" s="2"/>
      <c r="G14" s="2"/>
    </row>
    <row r="15" spans="2:7" x14ac:dyDescent="0.25">
      <c r="B15" s="4">
        <v>46012</v>
      </c>
      <c r="C15" s="2" t="s">
        <v>6174</v>
      </c>
      <c r="D15" s="2"/>
      <c r="E15" s="23"/>
      <c r="F15" s="2"/>
      <c r="G15" s="2"/>
    </row>
    <row r="16" spans="2:7" x14ac:dyDescent="0.25">
      <c r="B16" s="4">
        <v>46013</v>
      </c>
      <c r="C16" s="2" t="s">
        <v>6188</v>
      </c>
      <c r="D16" s="2"/>
      <c r="E16" s="23"/>
      <c r="F16" s="2"/>
      <c r="G16" s="2"/>
    </row>
    <row r="17" spans="2:7" x14ac:dyDescent="0.25">
      <c r="B17" s="4">
        <v>46014</v>
      </c>
      <c r="C17" s="2" t="s">
        <v>6190</v>
      </c>
      <c r="D17" s="2"/>
      <c r="E17" s="23"/>
      <c r="F17" s="2"/>
      <c r="G17" s="2"/>
    </row>
    <row r="18" spans="2:7" x14ac:dyDescent="0.25">
      <c r="B18" s="4">
        <v>46015</v>
      </c>
      <c r="C18" s="2" t="s">
        <v>6196</v>
      </c>
      <c r="D18" s="2"/>
      <c r="E18" s="2"/>
      <c r="F18" s="2"/>
      <c r="G18" s="2"/>
    </row>
    <row r="19" spans="2:7" x14ac:dyDescent="0.25">
      <c r="B19" s="4">
        <v>46016</v>
      </c>
      <c r="C19" s="2" t="s">
        <v>6210</v>
      </c>
      <c r="D19" s="2"/>
      <c r="E19" s="2"/>
      <c r="F19" s="2"/>
      <c r="G19" s="2"/>
    </row>
    <row r="20" spans="2:7" x14ac:dyDescent="0.25">
      <c r="B20" s="4">
        <v>46017</v>
      </c>
      <c r="C20" s="2" t="s">
        <v>6216</v>
      </c>
      <c r="D20" s="2"/>
      <c r="E20" s="2"/>
      <c r="F20" s="2"/>
      <c r="G20" s="2"/>
    </row>
    <row r="21" spans="2:7" x14ac:dyDescent="0.25">
      <c r="B21" s="4">
        <v>46018</v>
      </c>
      <c r="C21" s="2" t="s">
        <v>6216</v>
      </c>
      <c r="D21" s="2"/>
      <c r="E21" s="2"/>
      <c r="F21" s="2"/>
      <c r="G21" s="2"/>
    </row>
    <row r="22" spans="2:7" x14ac:dyDescent="0.25">
      <c r="B22" s="4">
        <v>46019</v>
      </c>
      <c r="C22" s="2"/>
      <c r="D22" s="2"/>
      <c r="E22" s="2"/>
      <c r="F22" s="2"/>
      <c r="G22" s="2"/>
    </row>
    <row r="23" spans="2:7" x14ac:dyDescent="0.25">
      <c r="B23" s="4">
        <v>46020</v>
      </c>
      <c r="C23" s="2" t="s">
        <v>6232</v>
      </c>
      <c r="D23" s="2"/>
      <c r="E23" s="2"/>
      <c r="F23" s="2"/>
      <c r="G23" s="2"/>
    </row>
    <row r="24" spans="2:7" x14ac:dyDescent="0.25">
      <c r="B24" s="4">
        <v>46021</v>
      </c>
      <c r="C24" s="2" t="s">
        <v>6233</v>
      </c>
      <c r="D24" s="2"/>
      <c r="E24" s="2"/>
      <c r="F24" s="2"/>
      <c r="G24" s="2"/>
    </row>
    <row r="25" spans="2:7" x14ac:dyDescent="0.25">
      <c r="B25" s="4">
        <v>46022</v>
      </c>
      <c r="C25" s="2" t="s">
        <v>6233</v>
      </c>
      <c r="D25" s="2"/>
      <c r="E25" s="2"/>
      <c r="F25" s="2"/>
      <c r="G25" s="2"/>
    </row>
    <row r="26" spans="2:7" x14ac:dyDescent="0.25">
      <c r="B26" s="4">
        <v>46023</v>
      </c>
      <c r="C26" s="2" t="s">
        <v>6247</v>
      </c>
      <c r="D26" s="2"/>
      <c r="E26" s="2"/>
      <c r="F26" s="2"/>
      <c r="G26" s="2"/>
    </row>
    <row r="27" spans="2:7" x14ac:dyDescent="0.25">
      <c r="B27" s="4">
        <v>46024</v>
      </c>
      <c r="C27" s="2" t="s">
        <v>6232</v>
      </c>
      <c r="D27" s="2" t="s">
        <v>6251</v>
      </c>
      <c r="E27" s="2"/>
      <c r="F27" s="2"/>
      <c r="G27" s="2"/>
    </row>
    <row r="28" spans="2:7" x14ac:dyDescent="0.25">
      <c r="B28" s="4">
        <v>46025</v>
      </c>
      <c r="C28" s="2" t="s">
        <v>6258</v>
      </c>
      <c r="D28" s="2"/>
      <c r="E28" s="2"/>
      <c r="F28" s="2"/>
      <c r="G28" s="2"/>
    </row>
    <row r="29" spans="2:7" x14ac:dyDescent="0.25">
      <c r="B29" s="4">
        <v>46026</v>
      </c>
      <c r="C29" s="2" t="s">
        <v>6259</v>
      </c>
      <c r="D29" s="2"/>
      <c r="E29" s="2"/>
      <c r="F29" s="2"/>
      <c r="G29" s="2"/>
    </row>
    <row r="30" spans="2:7" x14ac:dyDescent="0.25">
      <c r="B30" s="4">
        <v>46027</v>
      </c>
      <c r="C30" s="2" t="s">
        <v>6267</v>
      </c>
      <c r="D30" s="2"/>
      <c r="E30" s="2"/>
      <c r="F30" s="2"/>
      <c r="G30" s="2"/>
    </row>
    <row r="31" spans="2:7" x14ac:dyDescent="0.25">
      <c r="B31" s="4">
        <v>46028</v>
      </c>
      <c r="C31" s="2" t="s">
        <v>6271</v>
      </c>
      <c r="D31" s="2"/>
      <c r="E31" s="2"/>
      <c r="F31" s="2"/>
      <c r="G31" s="2"/>
    </row>
    <row r="32" spans="2:7" x14ac:dyDescent="0.25">
      <c r="B32" s="4">
        <v>46029</v>
      </c>
      <c r="C32" s="2" t="s">
        <v>480</v>
      </c>
      <c r="D32" s="2"/>
      <c r="E32" s="2"/>
      <c r="F32" s="2"/>
      <c r="G32" s="2"/>
    </row>
    <row r="33" spans="2:7" x14ac:dyDescent="0.25">
      <c r="B33" s="4">
        <v>46030</v>
      </c>
      <c r="C33" s="2" t="s">
        <v>6278</v>
      </c>
      <c r="D33" s="2"/>
      <c r="E33" s="2"/>
      <c r="F33" s="2"/>
      <c r="G33" s="2"/>
    </row>
    <row r="34" spans="2:7" x14ac:dyDescent="0.25">
      <c r="B34" s="4">
        <v>46031</v>
      </c>
      <c r="C34" s="2" t="s">
        <v>480</v>
      </c>
      <c r="D34" s="2"/>
      <c r="E34" s="2"/>
      <c r="F34" s="2"/>
      <c r="G34" s="2"/>
    </row>
    <row r="35" spans="2:7" x14ac:dyDescent="0.25">
      <c r="B35" s="4">
        <v>46032</v>
      </c>
      <c r="C35" s="2" t="s">
        <v>6302</v>
      </c>
      <c r="D35" s="2"/>
      <c r="E35" s="2"/>
      <c r="F35" s="2"/>
      <c r="G35" s="2"/>
    </row>
    <row r="36" spans="2:7" x14ac:dyDescent="0.25">
      <c r="B36" s="4">
        <v>46033</v>
      </c>
      <c r="C36" s="2" t="s">
        <v>6310</v>
      </c>
      <c r="D36" s="2"/>
      <c r="E36" s="2"/>
      <c r="F36" s="2"/>
      <c r="G36" s="2"/>
    </row>
    <row r="37" spans="2:7" x14ac:dyDescent="0.25">
      <c r="B37" s="4">
        <v>46034</v>
      </c>
      <c r="C37" s="2" t="s">
        <v>6319</v>
      </c>
      <c r="D37" s="2"/>
      <c r="E37" s="2"/>
      <c r="F37" s="2"/>
      <c r="G37" s="2"/>
    </row>
    <row r="38" spans="2:7" x14ac:dyDescent="0.25">
      <c r="B38" s="4">
        <v>46035</v>
      </c>
      <c r="C38" s="2" t="s">
        <v>6322</v>
      </c>
      <c r="D38" s="2"/>
      <c r="E38" s="2"/>
      <c r="F38" s="2"/>
      <c r="G38" s="2"/>
    </row>
    <row r="39" spans="2:7" x14ac:dyDescent="0.25">
      <c r="B39" s="4">
        <v>46036</v>
      </c>
      <c r="C39" s="2" t="s">
        <v>6330</v>
      </c>
      <c r="D39" s="2"/>
      <c r="E39" s="2"/>
      <c r="F39" s="2"/>
      <c r="G39" s="2"/>
    </row>
    <row r="40" spans="2:7" x14ac:dyDescent="0.25">
      <c r="B40" s="4">
        <v>46037</v>
      </c>
      <c r="C40" s="2" t="s">
        <v>480</v>
      </c>
      <c r="D40" s="2"/>
      <c r="E40" s="2"/>
      <c r="F40" s="2"/>
      <c r="G40" s="2"/>
    </row>
    <row r="41" spans="2:7" x14ac:dyDescent="0.25">
      <c r="B41" s="4">
        <v>46038</v>
      </c>
      <c r="C41" s="2" t="s">
        <v>480</v>
      </c>
      <c r="D41" s="2"/>
      <c r="E41" s="2"/>
      <c r="F41" s="2"/>
      <c r="G41" s="2"/>
    </row>
    <row r="42" spans="2:7" x14ac:dyDescent="0.25">
      <c r="B42" s="4">
        <v>46039</v>
      </c>
      <c r="C42" s="2" t="s">
        <v>6349</v>
      </c>
      <c r="D42" s="2"/>
      <c r="E42" s="2"/>
      <c r="F42" s="2"/>
      <c r="G42" s="2"/>
    </row>
    <row r="43" spans="2:7" x14ac:dyDescent="0.25">
      <c r="B43" s="4">
        <v>46040</v>
      </c>
      <c r="C43" s="2" t="s">
        <v>6352</v>
      </c>
      <c r="D43" s="2"/>
      <c r="E43" s="2"/>
      <c r="F43" s="2"/>
      <c r="G43" s="2"/>
    </row>
    <row r="44" spans="2:7" x14ac:dyDescent="0.25">
      <c r="B44" s="4">
        <v>46041</v>
      </c>
      <c r="C44" s="2" t="s">
        <v>6367</v>
      </c>
      <c r="D44" s="2"/>
      <c r="E44" s="2"/>
      <c r="F44" s="2"/>
      <c r="G44" s="2"/>
    </row>
    <row r="45" spans="2:7" x14ac:dyDescent="0.25">
      <c r="B45" s="4">
        <v>46042</v>
      </c>
      <c r="C45" s="2" t="s">
        <v>6368</v>
      </c>
      <c r="D45" s="2"/>
      <c r="E45" s="2"/>
      <c r="F45" s="2"/>
      <c r="G45" s="2"/>
    </row>
    <row r="46" spans="2:7" x14ac:dyDescent="0.25">
      <c r="B46" s="4">
        <v>46043</v>
      </c>
      <c r="C46" s="2" t="s">
        <v>6382</v>
      </c>
      <c r="D46" s="2"/>
      <c r="E46" s="2"/>
      <c r="F46" s="2"/>
      <c r="G46" s="2"/>
    </row>
    <row r="47" spans="2:7" x14ac:dyDescent="0.25">
      <c r="B47" s="4">
        <v>46044</v>
      </c>
      <c r="C47" s="2" t="s">
        <v>480</v>
      </c>
      <c r="D47" s="2"/>
      <c r="E47" s="2"/>
      <c r="F47" s="2"/>
      <c r="G47" s="2"/>
    </row>
    <row r="48" spans="2:7" x14ac:dyDescent="0.25">
      <c r="B48" s="4">
        <v>46045</v>
      </c>
      <c r="C48" s="2" t="s">
        <v>480</v>
      </c>
      <c r="D48" s="2"/>
      <c r="E48" s="2"/>
      <c r="F48" s="2"/>
      <c r="G48" s="2"/>
    </row>
    <row r="49" spans="2:7" x14ac:dyDescent="0.25">
      <c r="B49" s="4">
        <v>46046</v>
      </c>
      <c r="C49" s="2" t="s">
        <v>480</v>
      </c>
      <c r="D49" s="2"/>
      <c r="E49" s="2"/>
      <c r="F49" s="2"/>
      <c r="G49" s="2"/>
    </row>
    <row r="50" spans="2:7" x14ac:dyDescent="0.25">
      <c r="B50" s="4">
        <v>46047</v>
      </c>
      <c r="C50" s="2" t="s">
        <v>480</v>
      </c>
      <c r="D50" s="2"/>
      <c r="E50" s="2"/>
      <c r="F50" s="2"/>
      <c r="G50" s="2"/>
    </row>
    <row r="51" spans="2:7" x14ac:dyDescent="0.25">
      <c r="B51" s="4">
        <v>46048</v>
      </c>
      <c r="C51" s="2" t="s">
        <v>480</v>
      </c>
      <c r="D51" s="2"/>
      <c r="E51" s="2"/>
      <c r="F51" s="2"/>
      <c r="G51" s="2"/>
    </row>
    <row r="52" spans="2:7" x14ac:dyDescent="0.25">
      <c r="B52" s="4">
        <v>46049</v>
      </c>
      <c r="C52" s="2" t="s">
        <v>480</v>
      </c>
      <c r="D52" s="2"/>
      <c r="E52" s="2"/>
      <c r="F52" s="2"/>
      <c r="G52" s="2"/>
    </row>
    <row r="53" spans="2:7" x14ac:dyDescent="0.25">
      <c r="B53" s="4">
        <v>46050</v>
      </c>
      <c r="C53" s="2" t="s">
        <v>480</v>
      </c>
      <c r="D53" s="2"/>
      <c r="E53" s="2"/>
      <c r="F53" s="2"/>
      <c r="G53" s="2"/>
    </row>
    <row r="54" spans="2:7" x14ac:dyDescent="0.25">
      <c r="B54" s="4">
        <v>46051</v>
      </c>
      <c r="C54" s="2" t="s">
        <v>480</v>
      </c>
      <c r="D54" s="2"/>
      <c r="E54" s="2"/>
      <c r="F54" s="2"/>
      <c r="G54" s="2"/>
    </row>
    <row r="55" spans="2:7" x14ac:dyDescent="0.25">
      <c r="B55" s="4">
        <v>46052</v>
      </c>
      <c r="C55" s="2" t="s">
        <v>480</v>
      </c>
      <c r="D55" s="2"/>
      <c r="E55" s="2"/>
      <c r="F55" s="2"/>
      <c r="G55" s="2"/>
    </row>
    <row r="56" spans="2:7" x14ac:dyDescent="0.25">
      <c r="B56" s="4">
        <v>46053</v>
      </c>
      <c r="C56" s="2" t="s">
        <v>480</v>
      </c>
      <c r="D56" s="2"/>
      <c r="E56" s="2"/>
      <c r="F56" s="2"/>
      <c r="G56" s="2"/>
    </row>
    <row r="57" spans="2:7" x14ac:dyDescent="0.25">
      <c r="B57" s="4">
        <v>46054</v>
      </c>
      <c r="C57" s="2" t="s">
        <v>480</v>
      </c>
      <c r="D57" s="2"/>
      <c r="E57" s="2"/>
      <c r="F57" s="2"/>
      <c r="G57" s="2"/>
    </row>
    <row r="58" spans="2:7" x14ac:dyDescent="0.25">
      <c r="B58" s="4">
        <v>46055</v>
      </c>
      <c r="C58" s="2" t="s">
        <v>480</v>
      </c>
      <c r="D58" s="2"/>
      <c r="E58" s="2"/>
      <c r="F58" s="2"/>
      <c r="G58" s="2"/>
    </row>
    <row r="59" spans="2:7" x14ac:dyDescent="0.25">
      <c r="B59" s="4">
        <v>46056</v>
      </c>
      <c r="C59" s="2" t="s">
        <v>480</v>
      </c>
      <c r="D59" s="2"/>
      <c r="E59" s="2"/>
      <c r="F59" s="2"/>
      <c r="G59" s="2"/>
    </row>
    <row r="60" spans="2:7" x14ac:dyDescent="0.25">
      <c r="B60" s="4">
        <v>46057</v>
      </c>
      <c r="C60" s="2" t="s">
        <v>480</v>
      </c>
      <c r="D60" s="2"/>
      <c r="E60" s="2"/>
      <c r="F60" s="2"/>
      <c r="G60" s="2"/>
    </row>
    <row r="61" spans="2:7" x14ac:dyDescent="0.25">
      <c r="B61" s="4">
        <v>46058</v>
      </c>
      <c r="C61" s="2" t="s">
        <v>480</v>
      </c>
      <c r="D61" s="2"/>
      <c r="E61" s="2"/>
      <c r="F61" s="2"/>
      <c r="G61" s="2"/>
    </row>
    <row r="62" spans="2:7" x14ac:dyDescent="0.25">
      <c r="B62" s="4">
        <v>46059</v>
      </c>
      <c r="C62" s="2" t="s">
        <v>480</v>
      </c>
      <c r="D62" s="2"/>
      <c r="E62" s="2"/>
      <c r="F62" s="2"/>
      <c r="G62" s="2"/>
    </row>
    <row r="63" spans="2:7" x14ac:dyDescent="0.25">
      <c r="B63" s="4">
        <v>46060</v>
      </c>
      <c r="C63" s="2" t="s">
        <v>480</v>
      </c>
      <c r="D63" s="2"/>
      <c r="E63" s="2"/>
      <c r="F63" s="2"/>
      <c r="G63" s="2"/>
    </row>
    <row r="64" spans="2:7" x14ac:dyDescent="0.25">
      <c r="B64" s="4">
        <v>46061</v>
      </c>
      <c r="C64" s="2" t="s">
        <v>480</v>
      </c>
      <c r="D64" s="2"/>
      <c r="E64" s="2"/>
      <c r="F64" s="2"/>
      <c r="G64" s="2"/>
    </row>
    <row r="65" spans="2:7" x14ac:dyDescent="0.25">
      <c r="B65" s="4">
        <v>46062</v>
      </c>
      <c r="C65" s="2" t="s">
        <v>480</v>
      </c>
      <c r="D65" s="2"/>
      <c r="E65" s="2"/>
      <c r="F65" s="2"/>
      <c r="G65" s="2"/>
    </row>
    <row r="66" spans="2:7" x14ac:dyDescent="0.25">
      <c r="B66" s="4">
        <v>46063</v>
      </c>
      <c r="C66" s="2" t="s">
        <v>480</v>
      </c>
      <c r="D66" s="2"/>
      <c r="E66" s="2"/>
      <c r="F66" s="2"/>
      <c r="G66" s="2"/>
    </row>
    <row r="67" spans="2:7" x14ac:dyDescent="0.25">
      <c r="B67" s="4">
        <v>46064</v>
      </c>
      <c r="C67" s="2" t="s">
        <v>480</v>
      </c>
      <c r="D67" s="2"/>
      <c r="E67" s="2"/>
      <c r="F67" s="2"/>
      <c r="G67" s="2"/>
    </row>
    <row r="68" spans="2:7" x14ac:dyDescent="0.25">
      <c r="B68" s="4">
        <v>46065</v>
      </c>
      <c r="C68" s="2" t="s">
        <v>480</v>
      </c>
      <c r="D68" s="2"/>
      <c r="E68" s="2"/>
      <c r="F68" s="2"/>
      <c r="G68" s="2"/>
    </row>
    <row r="69" spans="2:7" x14ac:dyDescent="0.25">
      <c r="B69" s="4">
        <v>46066</v>
      </c>
      <c r="C69" s="2" t="s">
        <v>480</v>
      </c>
      <c r="D69" s="2"/>
      <c r="E69" s="2"/>
      <c r="F69" s="2"/>
      <c r="G69" s="2"/>
    </row>
    <row r="70" spans="2:7" x14ac:dyDescent="0.25">
      <c r="B70" s="4">
        <v>46067</v>
      </c>
      <c r="C70" s="2" t="s">
        <v>480</v>
      </c>
      <c r="D70" s="2"/>
      <c r="E70" s="2"/>
      <c r="F70" s="2"/>
      <c r="G70" s="2"/>
    </row>
    <row r="71" spans="2:7" x14ac:dyDescent="0.25">
      <c r="B71" s="4">
        <v>46068</v>
      </c>
      <c r="C71" s="2" t="s">
        <v>480</v>
      </c>
      <c r="D71" s="2"/>
      <c r="E71" s="2"/>
      <c r="F71" s="2"/>
      <c r="G71" s="2"/>
    </row>
    <row r="72" spans="2:7" x14ac:dyDescent="0.25">
      <c r="B72" s="4">
        <v>46069</v>
      </c>
      <c r="C72" s="2" t="s">
        <v>480</v>
      </c>
      <c r="D72" s="2"/>
      <c r="E72" s="2"/>
      <c r="F72" s="2"/>
      <c r="G72" s="2"/>
    </row>
    <row r="73" spans="2:7" x14ac:dyDescent="0.25">
      <c r="B73" s="4">
        <v>46070</v>
      </c>
      <c r="C73" s="2" t="s">
        <v>480</v>
      </c>
      <c r="D73" s="2"/>
      <c r="E73" s="2"/>
      <c r="F73" s="2"/>
      <c r="G73" s="2"/>
    </row>
    <row r="74" spans="2:7" x14ac:dyDescent="0.25">
      <c r="B74" s="4">
        <v>46071</v>
      </c>
      <c r="C74" s="2" t="s">
        <v>480</v>
      </c>
      <c r="D74" s="2"/>
      <c r="E74" s="2"/>
      <c r="F74" s="2"/>
      <c r="G74" s="2"/>
    </row>
    <row r="75" spans="2:7" x14ac:dyDescent="0.25">
      <c r="B75" s="4">
        <v>46072</v>
      </c>
      <c r="C75" s="2" t="s">
        <v>480</v>
      </c>
      <c r="D75" s="2"/>
      <c r="E75" s="2"/>
      <c r="F75" s="2"/>
      <c r="G75" s="2"/>
    </row>
    <row r="76" spans="2:7" x14ac:dyDescent="0.25">
      <c r="B76" s="4">
        <v>46073</v>
      </c>
      <c r="C76" s="2" t="s">
        <v>480</v>
      </c>
      <c r="D76" s="2"/>
      <c r="E76" s="2"/>
      <c r="F76" s="2"/>
      <c r="G76" s="2"/>
    </row>
    <row r="77" spans="2:7" x14ac:dyDescent="0.25">
      <c r="B77" s="4">
        <v>46074</v>
      </c>
      <c r="C77" s="2" t="s">
        <v>480</v>
      </c>
      <c r="D77" s="2"/>
      <c r="E77" s="2"/>
      <c r="F77" s="2"/>
      <c r="G77" s="2"/>
    </row>
    <row r="78" spans="2:7" x14ac:dyDescent="0.25">
      <c r="B78" s="4">
        <v>46075</v>
      </c>
      <c r="C78" s="2" t="s">
        <v>480</v>
      </c>
      <c r="D78" s="2"/>
      <c r="E78" s="2"/>
      <c r="F78" s="2"/>
      <c r="G78" s="2"/>
    </row>
    <row r="79" spans="2:7" x14ac:dyDescent="0.25">
      <c r="B79" s="4">
        <v>46076</v>
      </c>
      <c r="C79" s="2" t="s">
        <v>480</v>
      </c>
      <c r="D79" s="2"/>
      <c r="E79" s="2"/>
      <c r="F79" s="2"/>
      <c r="G79" s="2"/>
    </row>
    <row r="80" spans="2:7" x14ac:dyDescent="0.25">
      <c r="B80" s="4">
        <v>46077</v>
      </c>
      <c r="C80" s="2" t="s">
        <v>480</v>
      </c>
      <c r="D80" s="2"/>
      <c r="E80" s="2"/>
      <c r="F80" s="2"/>
      <c r="G80" s="2"/>
    </row>
    <row r="81" spans="2:7" x14ac:dyDescent="0.25">
      <c r="B81" s="4">
        <v>46078</v>
      </c>
      <c r="C81" s="2" t="s">
        <v>480</v>
      </c>
      <c r="D81" s="2"/>
      <c r="E81" s="2"/>
      <c r="F81" s="2"/>
      <c r="G81" s="2"/>
    </row>
    <row r="82" spans="2:7" x14ac:dyDescent="0.25">
      <c r="B82" s="4">
        <v>46079</v>
      </c>
      <c r="C82" s="2" t="s">
        <v>480</v>
      </c>
      <c r="D82" s="2"/>
      <c r="E82" s="2"/>
      <c r="F82" s="2"/>
      <c r="G82" s="2"/>
    </row>
    <row r="83" spans="2:7" x14ac:dyDescent="0.25">
      <c r="B83" s="4">
        <v>46080</v>
      </c>
      <c r="C83" s="2" t="s">
        <v>480</v>
      </c>
      <c r="D83" s="2"/>
      <c r="E83" s="2"/>
      <c r="F83" s="2"/>
      <c r="G83" s="2"/>
    </row>
    <row r="84" spans="2:7" x14ac:dyDescent="0.25">
      <c r="B84" s="4">
        <v>46081</v>
      </c>
      <c r="C84" s="2" t="s">
        <v>480</v>
      </c>
      <c r="D84" s="2"/>
      <c r="E84" s="2"/>
      <c r="F84" s="2"/>
      <c r="G84" s="2"/>
    </row>
    <row r="85" spans="2:7" x14ac:dyDescent="0.25">
      <c r="B85" s="4">
        <v>46082</v>
      </c>
      <c r="C85" s="2" t="s">
        <v>480</v>
      </c>
      <c r="D85" s="2"/>
      <c r="E85" s="2"/>
      <c r="F85" s="2"/>
      <c r="G85" s="2"/>
    </row>
    <row r="86" spans="2:7" x14ac:dyDescent="0.25">
      <c r="B86" s="4">
        <v>46083</v>
      </c>
      <c r="C86" s="2" t="s">
        <v>480</v>
      </c>
      <c r="D86" s="2"/>
      <c r="E86" s="2"/>
      <c r="F86" s="2"/>
      <c r="G86" s="2"/>
    </row>
    <row r="87" spans="2:7" x14ac:dyDescent="0.25">
      <c r="B87" s="4">
        <v>46084</v>
      </c>
      <c r="C87" s="2" t="s">
        <v>480</v>
      </c>
      <c r="D87" s="2"/>
      <c r="E87" s="2"/>
      <c r="F87" s="2"/>
      <c r="G87" s="2"/>
    </row>
    <row r="88" spans="2:7" x14ac:dyDescent="0.25">
      <c r="B88" s="4">
        <v>46085</v>
      </c>
      <c r="C88" s="2" t="s">
        <v>480</v>
      </c>
      <c r="D88" s="2"/>
      <c r="E88" s="2"/>
      <c r="F88" s="2"/>
      <c r="G88" s="2"/>
    </row>
    <row r="89" spans="2:7" x14ac:dyDescent="0.25">
      <c r="B89" s="4">
        <v>46086</v>
      </c>
      <c r="C89" s="2" t="s">
        <v>480</v>
      </c>
      <c r="D89" s="2"/>
      <c r="E89" s="2"/>
      <c r="F89" s="2"/>
      <c r="G89" s="2"/>
    </row>
    <row r="90" spans="2:7" x14ac:dyDescent="0.25">
      <c r="B90" s="4">
        <v>46087</v>
      </c>
      <c r="C90" s="2" t="s">
        <v>480</v>
      </c>
      <c r="D90" s="2"/>
      <c r="E90" s="2"/>
      <c r="F90" s="2"/>
      <c r="G90" s="2"/>
    </row>
    <row r="91" spans="2:7" x14ac:dyDescent="0.25">
      <c r="B91" s="4">
        <v>46088</v>
      </c>
      <c r="C91" s="2" t="s">
        <v>480</v>
      </c>
      <c r="D91" s="2"/>
      <c r="E91" s="2"/>
      <c r="F91" s="2"/>
      <c r="G91" s="2"/>
    </row>
    <row r="92" spans="2:7" x14ac:dyDescent="0.25">
      <c r="B92" s="4">
        <v>46089</v>
      </c>
      <c r="C92" s="2" t="s">
        <v>480</v>
      </c>
      <c r="D92" s="2"/>
      <c r="E92" s="2"/>
      <c r="F92" s="2"/>
      <c r="G92" s="2"/>
    </row>
    <row r="93" spans="2:7" x14ac:dyDescent="0.25">
      <c r="B93" s="4">
        <v>46090</v>
      </c>
      <c r="C93" s="2" t="s">
        <v>480</v>
      </c>
      <c r="D93" s="2"/>
      <c r="E93" s="2"/>
      <c r="F93" s="2"/>
      <c r="G93" s="2"/>
    </row>
    <row r="94" spans="2:7" x14ac:dyDescent="0.25">
      <c r="B94" s="4">
        <v>46091</v>
      </c>
      <c r="C94" s="2" t="s">
        <v>480</v>
      </c>
      <c r="D94" s="2"/>
      <c r="E94" s="2"/>
      <c r="F94" s="2"/>
      <c r="G94" s="2"/>
    </row>
    <row r="95" spans="2:7" x14ac:dyDescent="0.25">
      <c r="B95" s="4">
        <v>46092</v>
      </c>
      <c r="C95" s="2" t="s">
        <v>480</v>
      </c>
      <c r="D95" s="2"/>
      <c r="E95" s="2"/>
      <c r="F95" s="2"/>
      <c r="G95" s="2"/>
    </row>
    <row r="96" spans="2:7" x14ac:dyDescent="0.25">
      <c r="B96" s="4">
        <v>46093</v>
      </c>
      <c r="C96" s="2" t="s">
        <v>480</v>
      </c>
      <c r="D96" s="2"/>
      <c r="E96" s="2"/>
      <c r="F96" s="2"/>
      <c r="G96" s="2"/>
    </row>
    <row r="97" spans="2:7" x14ac:dyDescent="0.25">
      <c r="B97" s="4">
        <v>46094</v>
      </c>
      <c r="C97" s="2" t="s">
        <v>480</v>
      </c>
      <c r="D97" s="2"/>
      <c r="E97" s="2"/>
      <c r="F97" s="2"/>
      <c r="G97" s="2"/>
    </row>
    <row r="98" spans="2:7" x14ac:dyDescent="0.25">
      <c r="B98" s="4">
        <v>46095</v>
      </c>
      <c r="C98" s="2" t="s">
        <v>480</v>
      </c>
      <c r="D98" s="2"/>
      <c r="E98" s="2"/>
      <c r="F98" s="2"/>
      <c r="G98" s="2"/>
    </row>
    <row r="99" spans="2:7" x14ac:dyDescent="0.25">
      <c r="B99" s="4">
        <v>46096</v>
      </c>
      <c r="C99" s="2" t="s">
        <v>480</v>
      </c>
      <c r="D99" s="2"/>
      <c r="E99" s="2"/>
      <c r="F99" s="2"/>
      <c r="G99" s="2"/>
    </row>
    <row r="100" spans="2:7" x14ac:dyDescent="0.25">
      <c r="B100" s="4">
        <v>46097</v>
      </c>
      <c r="C100" s="2" t="s">
        <v>480</v>
      </c>
      <c r="D100" s="2"/>
      <c r="E100" s="2"/>
      <c r="F100" s="2"/>
      <c r="G100" s="2"/>
    </row>
    <row r="101" spans="2:7" x14ac:dyDescent="0.25">
      <c r="B101" s="4">
        <v>46098</v>
      </c>
      <c r="C101" s="2" t="s">
        <v>480</v>
      </c>
      <c r="D101" s="2"/>
      <c r="E101" s="2"/>
      <c r="F101" s="2"/>
      <c r="G101" s="2"/>
    </row>
    <row r="102" spans="2:7" x14ac:dyDescent="0.25">
      <c r="B102" s="4">
        <v>46099</v>
      </c>
      <c r="C102" s="2" t="s">
        <v>480</v>
      </c>
      <c r="D102" s="2"/>
      <c r="E102" s="2"/>
      <c r="F102" s="2"/>
      <c r="G102" s="2"/>
    </row>
    <row r="103" spans="2:7" x14ac:dyDescent="0.25">
      <c r="B103" s="4">
        <v>46100</v>
      </c>
      <c r="C103" s="2" t="s">
        <v>480</v>
      </c>
      <c r="D103" s="2"/>
      <c r="E103" s="2"/>
      <c r="F103" s="2"/>
      <c r="G103" s="2"/>
    </row>
    <row r="104" spans="2:7" x14ac:dyDescent="0.25">
      <c r="B104" s="4">
        <v>46101</v>
      </c>
      <c r="C104" s="2" t="s">
        <v>480</v>
      </c>
      <c r="D104" s="2"/>
      <c r="E104" s="2"/>
      <c r="F104" s="2"/>
      <c r="G104" s="2"/>
    </row>
    <row r="105" spans="2:7" x14ac:dyDescent="0.25">
      <c r="B105" s="4">
        <v>46102</v>
      </c>
      <c r="C105" s="2" t="s">
        <v>480</v>
      </c>
      <c r="D105" s="2"/>
      <c r="E105" s="2"/>
      <c r="F105" s="2"/>
      <c r="G105" s="2"/>
    </row>
    <row r="106" spans="2:7" x14ac:dyDescent="0.25">
      <c r="B106" s="4">
        <v>46103</v>
      </c>
      <c r="C106" s="2" t="s">
        <v>480</v>
      </c>
      <c r="D106" s="2"/>
      <c r="E106" s="2"/>
      <c r="F106" s="2"/>
      <c r="G106" s="2"/>
    </row>
    <row r="107" spans="2:7" x14ac:dyDescent="0.25">
      <c r="B107" s="4">
        <v>46104</v>
      </c>
      <c r="C107" s="2" t="s">
        <v>480</v>
      </c>
      <c r="D107" s="2"/>
      <c r="E107" s="2"/>
      <c r="F107" s="2"/>
      <c r="G107" s="2"/>
    </row>
    <row r="108" spans="2:7" x14ac:dyDescent="0.25">
      <c r="B108" s="4">
        <v>46105</v>
      </c>
      <c r="C108" s="2" t="s">
        <v>480</v>
      </c>
      <c r="D108" s="2"/>
      <c r="E108" s="2"/>
      <c r="F108" s="2"/>
      <c r="G108" s="2"/>
    </row>
    <row r="109" spans="2:7" x14ac:dyDescent="0.25">
      <c r="B109" s="4">
        <v>46106</v>
      </c>
      <c r="C109" s="2" t="s">
        <v>480</v>
      </c>
      <c r="D109" s="2"/>
      <c r="E109" s="2"/>
      <c r="F109" s="2"/>
      <c r="G109" s="2"/>
    </row>
    <row r="110" spans="2:7" x14ac:dyDescent="0.25">
      <c r="B110" s="4">
        <v>46107</v>
      </c>
      <c r="C110" s="2" t="s">
        <v>480</v>
      </c>
      <c r="D110" s="2"/>
      <c r="E110" s="2"/>
      <c r="F110" s="2"/>
      <c r="G110" s="2"/>
    </row>
    <row r="111" spans="2:7" x14ac:dyDescent="0.25">
      <c r="B111" s="4">
        <v>46108</v>
      </c>
      <c r="C111" s="2" t="s">
        <v>480</v>
      </c>
      <c r="D111" s="2"/>
      <c r="E111" s="2"/>
      <c r="F111" s="2"/>
      <c r="G111" s="2"/>
    </row>
    <row r="112" spans="2:7" x14ac:dyDescent="0.25">
      <c r="B112" s="4">
        <v>46109</v>
      </c>
      <c r="C112" s="2" t="s">
        <v>480</v>
      </c>
      <c r="D112" s="2"/>
      <c r="E112" s="2"/>
      <c r="F112" s="2"/>
      <c r="G112" s="2"/>
    </row>
    <row r="113" spans="2:7" x14ac:dyDescent="0.25">
      <c r="B113" s="4">
        <v>46110</v>
      </c>
      <c r="C113" s="2" t="s">
        <v>480</v>
      </c>
      <c r="D113" s="2"/>
      <c r="E113" s="2"/>
      <c r="F113" s="2"/>
      <c r="G113" s="2"/>
    </row>
    <row r="114" spans="2:7" x14ac:dyDescent="0.25">
      <c r="B114" s="4">
        <v>46111</v>
      </c>
      <c r="C114" s="2" t="s">
        <v>480</v>
      </c>
      <c r="D114" s="2"/>
      <c r="E114" s="2"/>
      <c r="F114" s="2"/>
      <c r="G114" s="2"/>
    </row>
    <row r="115" spans="2:7" x14ac:dyDescent="0.25">
      <c r="B115" s="4">
        <v>46112</v>
      </c>
      <c r="C115" s="2" t="s">
        <v>480</v>
      </c>
      <c r="D115" s="2"/>
      <c r="E115" s="2"/>
      <c r="F115" s="2"/>
      <c r="G115" s="2"/>
    </row>
    <row r="116" spans="2:7" x14ac:dyDescent="0.25">
      <c r="B116" s="4">
        <v>46113</v>
      </c>
      <c r="C116" s="2" t="s">
        <v>6713</v>
      </c>
      <c r="D116" s="2"/>
      <c r="E116" s="2"/>
      <c r="F116" s="2"/>
      <c r="G116" s="2"/>
    </row>
    <row r="117" spans="2:7" x14ac:dyDescent="0.25">
      <c r="B117" s="4">
        <v>46114</v>
      </c>
      <c r="C117" s="2" t="s">
        <v>6722</v>
      </c>
      <c r="D117" s="2"/>
      <c r="E117" s="2"/>
      <c r="F117" s="2"/>
      <c r="G117" s="2"/>
    </row>
    <row r="118" spans="2:7" x14ac:dyDescent="0.25">
      <c r="B118" s="4">
        <v>46115</v>
      </c>
      <c r="C118" s="2"/>
      <c r="D118" s="2"/>
      <c r="E118" s="2"/>
      <c r="F118" s="2"/>
      <c r="G118" s="2"/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B2:G22"/>
  <sheetViews>
    <sheetView workbookViewId="0">
      <selection activeCell="C9" sqref="C9"/>
    </sheetView>
  </sheetViews>
  <sheetFormatPr defaultRowHeight="15" x14ac:dyDescent="0.25"/>
  <cols>
    <col min="2" max="2" width="14.5703125" bestFit="1" customWidth="1"/>
    <col min="3" max="3" width="72" bestFit="1" customWidth="1"/>
    <col min="4" max="4" width="42.140625" bestFit="1" customWidth="1"/>
  </cols>
  <sheetData>
    <row r="2" spans="2:7" x14ac:dyDescent="0.25">
      <c r="B2" s="53" t="s">
        <v>4500</v>
      </c>
    </row>
    <row r="3" spans="2:7" ht="15.75" x14ac:dyDescent="0.25">
      <c r="B3" s="10" t="s">
        <v>0</v>
      </c>
      <c r="C3" s="11" t="s">
        <v>1</v>
      </c>
      <c r="D3" s="11" t="s">
        <v>2</v>
      </c>
      <c r="E3" s="11" t="s">
        <v>934</v>
      </c>
      <c r="F3" s="11" t="s">
        <v>1095</v>
      </c>
      <c r="G3" s="11" t="s">
        <v>1507</v>
      </c>
    </row>
    <row r="4" spans="2:7" x14ac:dyDescent="0.25">
      <c r="B4" s="4">
        <v>45858</v>
      </c>
      <c r="C4" s="2" t="s">
        <v>1528</v>
      </c>
      <c r="D4" s="2"/>
      <c r="E4" s="23">
        <v>0</v>
      </c>
      <c r="F4" s="2"/>
      <c r="G4" s="2"/>
    </row>
    <row r="5" spans="2:7" x14ac:dyDescent="0.25">
      <c r="B5" s="4">
        <v>45859</v>
      </c>
      <c r="C5" s="2"/>
      <c r="D5" s="23"/>
      <c r="E5" s="23"/>
      <c r="F5" s="2">
        <f>E5-E4</f>
        <v>0</v>
      </c>
      <c r="G5" s="2"/>
    </row>
    <row r="6" spans="2:7" x14ac:dyDescent="0.25">
      <c r="B6" s="4">
        <v>45860</v>
      </c>
      <c r="C6" s="2" t="s">
        <v>4659</v>
      </c>
      <c r="D6" s="23" t="s">
        <v>4672</v>
      </c>
      <c r="E6" s="23">
        <v>115</v>
      </c>
      <c r="F6" s="2">
        <f t="shared" ref="F6:F20" si="0">E6-E5</f>
        <v>115</v>
      </c>
      <c r="G6" s="2"/>
    </row>
    <row r="7" spans="2:7" x14ac:dyDescent="0.25">
      <c r="B7" s="4">
        <v>45861</v>
      </c>
      <c r="C7" s="2" t="s">
        <v>4675</v>
      </c>
      <c r="D7" s="59"/>
      <c r="E7" s="23"/>
      <c r="F7" s="2">
        <f t="shared" si="0"/>
        <v>-115</v>
      </c>
      <c r="G7" s="2"/>
    </row>
    <row r="8" spans="2:7" x14ac:dyDescent="0.25">
      <c r="B8" s="4">
        <v>45862</v>
      </c>
      <c r="C8" s="2" t="s">
        <v>4676</v>
      </c>
      <c r="D8" s="59"/>
      <c r="E8" s="23"/>
      <c r="F8" s="2">
        <f t="shared" si="0"/>
        <v>0</v>
      </c>
      <c r="G8" s="2"/>
    </row>
    <row r="9" spans="2:7" x14ac:dyDescent="0.25">
      <c r="B9" s="4">
        <v>45863</v>
      </c>
      <c r="C9" s="2"/>
      <c r="D9" s="59"/>
      <c r="E9" s="23"/>
      <c r="F9" s="2">
        <f t="shared" si="0"/>
        <v>0</v>
      </c>
      <c r="G9" s="2"/>
    </row>
    <row r="10" spans="2:7" x14ac:dyDescent="0.25">
      <c r="B10" s="4">
        <v>45864</v>
      </c>
      <c r="C10" s="2"/>
      <c r="D10" s="23"/>
      <c r="E10" s="23"/>
      <c r="F10" s="2">
        <f t="shared" si="0"/>
        <v>0</v>
      </c>
      <c r="G10" s="2"/>
    </row>
    <row r="11" spans="2:7" x14ac:dyDescent="0.25">
      <c r="B11" s="4">
        <v>45865</v>
      </c>
      <c r="C11" s="2"/>
      <c r="D11" s="23"/>
      <c r="E11" s="23"/>
      <c r="F11" s="2">
        <f t="shared" si="0"/>
        <v>0</v>
      </c>
      <c r="G11" s="2"/>
    </row>
    <row r="12" spans="2:7" x14ac:dyDescent="0.25">
      <c r="B12" s="4">
        <v>45866</v>
      </c>
      <c r="C12" s="2"/>
      <c r="D12" s="23"/>
      <c r="E12" s="23"/>
      <c r="F12" s="2">
        <f t="shared" si="0"/>
        <v>0</v>
      </c>
      <c r="G12" s="2"/>
    </row>
    <row r="13" spans="2:7" x14ac:dyDescent="0.25">
      <c r="B13" s="4">
        <v>45867</v>
      </c>
      <c r="C13" s="2"/>
      <c r="D13" s="23"/>
      <c r="E13" s="23"/>
      <c r="F13" s="2">
        <f t="shared" si="0"/>
        <v>0</v>
      </c>
      <c r="G13" s="2"/>
    </row>
    <row r="14" spans="2:7" x14ac:dyDescent="0.25">
      <c r="B14" s="4">
        <v>45868</v>
      </c>
      <c r="C14" s="2"/>
      <c r="D14" s="23"/>
      <c r="E14" s="2"/>
      <c r="F14" s="2">
        <f t="shared" si="0"/>
        <v>0</v>
      </c>
      <c r="G14" s="2"/>
    </row>
    <row r="15" spans="2:7" x14ac:dyDescent="0.25">
      <c r="B15" s="4">
        <v>45869</v>
      </c>
      <c r="C15" s="2"/>
      <c r="D15" s="23"/>
      <c r="E15" s="2"/>
      <c r="F15" s="2">
        <f t="shared" si="0"/>
        <v>0</v>
      </c>
      <c r="G15" s="2"/>
    </row>
    <row r="16" spans="2:7" x14ac:dyDescent="0.25">
      <c r="B16" s="4">
        <v>45870</v>
      </c>
      <c r="C16" s="2"/>
      <c r="D16" s="2"/>
      <c r="E16" s="2"/>
      <c r="F16" s="2">
        <f t="shared" si="0"/>
        <v>0</v>
      </c>
      <c r="G16" s="2"/>
    </row>
    <row r="17" spans="2:7" x14ac:dyDescent="0.25">
      <c r="B17" s="4">
        <v>45871</v>
      </c>
      <c r="C17" s="2"/>
      <c r="D17" s="2"/>
      <c r="E17" s="2"/>
      <c r="F17" s="2">
        <f t="shared" si="0"/>
        <v>0</v>
      </c>
      <c r="G17" s="2"/>
    </row>
    <row r="18" spans="2:7" x14ac:dyDescent="0.25">
      <c r="B18" s="4">
        <v>45872</v>
      </c>
      <c r="C18" s="2"/>
      <c r="D18" s="2"/>
      <c r="E18" s="2"/>
      <c r="F18" s="2">
        <f t="shared" si="0"/>
        <v>0</v>
      </c>
      <c r="G18" s="2"/>
    </row>
    <row r="19" spans="2:7" x14ac:dyDescent="0.25">
      <c r="B19" s="4">
        <v>45873</v>
      </c>
      <c r="C19" s="2"/>
      <c r="D19" s="2"/>
      <c r="E19" s="2"/>
      <c r="F19" s="2">
        <f t="shared" si="0"/>
        <v>0</v>
      </c>
      <c r="G19" s="2"/>
    </row>
    <row r="20" spans="2:7" x14ac:dyDescent="0.25">
      <c r="B20" s="4">
        <v>45874</v>
      </c>
      <c r="C20" s="2"/>
      <c r="D20" s="2"/>
      <c r="E20" s="2"/>
      <c r="F20" s="2">
        <f t="shared" si="0"/>
        <v>0</v>
      </c>
      <c r="G20" s="2"/>
    </row>
    <row r="21" spans="2:7" x14ac:dyDescent="0.25">
      <c r="B21" s="4">
        <v>45875</v>
      </c>
      <c r="C21" s="2"/>
      <c r="D21" s="2"/>
      <c r="E21" s="2"/>
      <c r="F21" s="2"/>
      <c r="G21" s="2"/>
    </row>
    <row r="22" spans="2:7" x14ac:dyDescent="0.25">
      <c r="B22" s="4">
        <v>45876</v>
      </c>
      <c r="C22" s="2"/>
      <c r="D22" s="2"/>
      <c r="E22" s="2"/>
      <c r="F22" s="2"/>
      <c r="G22" s="2"/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B2:G162"/>
  <sheetViews>
    <sheetView workbookViewId="0">
      <pane ySplit="3" topLeftCell="A136" activePane="bottomLeft" state="frozen"/>
      <selection activeCell="D8" sqref="D8"/>
      <selection pane="bottomLeft" activeCell="F164" sqref="F164"/>
    </sheetView>
  </sheetViews>
  <sheetFormatPr defaultRowHeight="15" x14ac:dyDescent="0.25"/>
  <cols>
    <col min="2" max="2" width="18" bestFit="1" customWidth="1"/>
    <col min="3" max="3" width="55.5703125" customWidth="1"/>
    <col min="4" max="4" width="44.140625" customWidth="1"/>
    <col min="5" max="5" width="11.85546875" bestFit="1" customWidth="1"/>
    <col min="6" max="6" width="8.42578125" bestFit="1" customWidth="1"/>
    <col min="7" max="7" width="11" bestFit="1" customWidth="1"/>
  </cols>
  <sheetData>
    <row r="2" spans="2:7" ht="18.75" x14ac:dyDescent="0.3">
      <c r="B2" s="144" t="s">
        <v>4941</v>
      </c>
      <c r="D2" s="123" t="s">
        <v>5515</v>
      </c>
      <c r="E2" s="124" t="s">
        <v>5517</v>
      </c>
    </row>
    <row r="3" spans="2:7" ht="15.75" x14ac:dyDescent="0.25">
      <c r="B3" s="10" t="s">
        <v>0</v>
      </c>
      <c r="C3" s="11" t="s">
        <v>1</v>
      </c>
      <c r="D3" s="11" t="s">
        <v>2</v>
      </c>
      <c r="E3" s="11" t="s">
        <v>934</v>
      </c>
      <c r="F3" s="11" t="s">
        <v>1095</v>
      </c>
      <c r="G3" s="11" t="s">
        <v>1507</v>
      </c>
    </row>
    <row r="4" spans="2:7" x14ac:dyDescent="0.25">
      <c r="B4" s="4">
        <v>45863</v>
      </c>
      <c r="C4" s="2" t="s">
        <v>1528</v>
      </c>
      <c r="D4" s="2"/>
      <c r="E4" s="23">
        <v>0</v>
      </c>
      <c r="F4" s="2"/>
      <c r="G4" s="2"/>
    </row>
    <row r="5" spans="2:7" x14ac:dyDescent="0.25">
      <c r="B5" s="4">
        <v>45864</v>
      </c>
      <c r="C5" s="2" t="s">
        <v>4797</v>
      </c>
      <c r="D5" s="2"/>
      <c r="E5" s="23"/>
      <c r="F5" s="2"/>
      <c r="G5" s="2"/>
    </row>
    <row r="6" spans="2:7" x14ac:dyDescent="0.25">
      <c r="B6" s="4">
        <v>45865</v>
      </c>
      <c r="C6" s="2" t="s">
        <v>4798</v>
      </c>
      <c r="D6" s="2"/>
      <c r="E6" s="23"/>
      <c r="F6" s="2"/>
      <c r="G6" s="2"/>
    </row>
    <row r="7" spans="2:7" x14ac:dyDescent="0.25">
      <c r="B7" s="4">
        <v>45866</v>
      </c>
      <c r="C7" s="2" t="s">
        <v>4799</v>
      </c>
      <c r="D7" s="58"/>
      <c r="E7" s="23"/>
      <c r="F7" s="2"/>
      <c r="G7" s="2"/>
    </row>
    <row r="8" spans="2:7" x14ac:dyDescent="0.25">
      <c r="B8" s="4">
        <v>45867</v>
      </c>
      <c r="C8" s="2" t="s">
        <v>4800</v>
      </c>
      <c r="D8" s="58"/>
      <c r="E8" s="23"/>
      <c r="F8" s="2"/>
      <c r="G8" s="2"/>
    </row>
    <row r="9" spans="2:7" x14ac:dyDescent="0.25">
      <c r="B9" s="4">
        <v>45868</v>
      </c>
      <c r="C9" s="2" t="s">
        <v>4810</v>
      </c>
      <c r="D9" s="58"/>
      <c r="E9" s="23"/>
      <c r="F9" s="2"/>
      <c r="G9" s="2"/>
    </row>
    <row r="10" spans="2:7" x14ac:dyDescent="0.25">
      <c r="B10" s="4">
        <v>45869</v>
      </c>
      <c r="C10" s="2" t="s">
        <v>4811</v>
      </c>
      <c r="D10" s="2"/>
      <c r="E10" s="23"/>
      <c r="F10" s="2"/>
      <c r="G10" s="2"/>
    </row>
    <row r="11" spans="2:7" x14ac:dyDescent="0.25">
      <c r="B11" s="4">
        <v>45870</v>
      </c>
      <c r="C11" s="2" t="s">
        <v>4823</v>
      </c>
      <c r="D11" s="2"/>
      <c r="E11" s="23"/>
      <c r="F11" s="2"/>
      <c r="G11" s="2"/>
    </row>
    <row r="12" spans="2:7" x14ac:dyDescent="0.25">
      <c r="B12" s="4">
        <v>45871</v>
      </c>
      <c r="C12" s="2" t="s">
        <v>4317</v>
      </c>
      <c r="D12" s="2"/>
      <c r="E12" s="23"/>
      <c r="F12" s="2"/>
      <c r="G12" s="2"/>
    </row>
    <row r="13" spans="2:7" x14ac:dyDescent="0.25">
      <c r="B13" s="4">
        <v>45872</v>
      </c>
      <c r="C13" s="2" t="s">
        <v>3905</v>
      </c>
      <c r="D13" s="2"/>
      <c r="E13" s="23"/>
      <c r="F13" s="2"/>
      <c r="G13" s="2"/>
    </row>
    <row r="14" spans="2:7" x14ac:dyDescent="0.25">
      <c r="B14" s="4">
        <v>45873</v>
      </c>
      <c r="C14" s="2" t="s">
        <v>4853</v>
      </c>
      <c r="D14" s="2"/>
      <c r="E14" s="23"/>
      <c r="F14" s="2"/>
      <c r="G14" s="2"/>
    </row>
    <row r="15" spans="2:7" x14ac:dyDescent="0.25">
      <c r="B15" s="4">
        <v>45874</v>
      </c>
      <c r="C15" s="2" t="s">
        <v>4880</v>
      </c>
      <c r="D15" s="2"/>
      <c r="E15" s="23"/>
      <c r="F15" s="2"/>
      <c r="G15" s="2"/>
    </row>
    <row r="16" spans="2:7" x14ac:dyDescent="0.25">
      <c r="B16" s="4">
        <v>45875</v>
      </c>
      <c r="C16" s="2" t="s">
        <v>4892</v>
      </c>
      <c r="D16" s="2"/>
      <c r="E16" s="23"/>
      <c r="F16" s="2"/>
      <c r="G16" s="2"/>
    </row>
    <row r="17" spans="2:7" x14ac:dyDescent="0.25">
      <c r="B17" s="4">
        <v>45876</v>
      </c>
      <c r="C17" s="2" t="s">
        <v>4919</v>
      </c>
      <c r="D17" s="2"/>
      <c r="E17" s="23">
        <v>21</v>
      </c>
      <c r="F17" s="2">
        <v>21</v>
      </c>
      <c r="G17" s="2"/>
    </row>
    <row r="18" spans="2:7" x14ac:dyDescent="0.25">
      <c r="B18" s="4">
        <v>45877</v>
      </c>
      <c r="C18" s="2" t="s">
        <v>4934</v>
      </c>
      <c r="D18" s="2"/>
      <c r="E18" s="23">
        <v>39</v>
      </c>
      <c r="F18" s="2">
        <f>E18-E17</f>
        <v>18</v>
      </c>
      <c r="G18" s="2"/>
    </row>
    <row r="19" spans="2:7" x14ac:dyDescent="0.25">
      <c r="B19" s="4">
        <v>45878</v>
      </c>
      <c r="C19" s="2" t="s">
        <v>4952</v>
      </c>
      <c r="D19" s="2"/>
      <c r="E19" s="23">
        <v>57</v>
      </c>
      <c r="F19" s="2">
        <f>E19-E18</f>
        <v>18</v>
      </c>
      <c r="G19" s="2"/>
    </row>
    <row r="20" spans="2:7" x14ac:dyDescent="0.25">
      <c r="B20" s="4">
        <v>45879</v>
      </c>
      <c r="C20" s="2" t="s">
        <v>4953</v>
      </c>
      <c r="D20" s="2"/>
      <c r="E20" s="23">
        <v>72</v>
      </c>
      <c r="F20" s="2">
        <f>E20-E19</f>
        <v>15</v>
      </c>
      <c r="G20" s="2"/>
    </row>
    <row r="21" spans="2:7" x14ac:dyDescent="0.25">
      <c r="B21" s="4">
        <v>45880</v>
      </c>
      <c r="C21" s="2" t="s">
        <v>4965</v>
      </c>
      <c r="D21" s="2"/>
      <c r="E21" s="23">
        <v>84</v>
      </c>
      <c r="F21" s="2">
        <f t="shared" ref="F21:F29" si="0">E21-E20</f>
        <v>12</v>
      </c>
      <c r="G21" s="2"/>
    </row>
    <row r="22" spans="2:7" x14ac:dyDescent="0.25">
      <c r="B22" s="4">
        <v>45881</v>
      </c>
      <c r="C22" s="2" t="s">
        <v>4985</v>
      </c>
      <c r="D22" s="2"/>
      <c r="E22" s="23">
        <v>90</v>
      </c>
      <c r="F22" s="2">
        <f t="shared" si="0"/>
        <v>6</v>
      </c>
      <c r="G22" s="2"/>
    </row>
    <row r="23" spans="2:7" x14ac:dyDescent="0.25">
      <c r="B23" s="4">
        <v>45882</v>
      </c>
      <c r="C23" s="2" t="s">
        <v>5002</v>
      </c>
      <c r="D23" s="2"/>
      <c r="E23" s="23">
        <v>96</v>
      </c>
      <c r="F23" s="2">
        <f t="shared" si="0"/>
        <v>6</v>
      </c>
      <c r="G23" s="2"/>
    </row>
    <row r="24" spans="2:7" x14ac:dyDescent="0.25">
      <c r="B24" s="4">
        <v>45883</v>
      </c>
      <c r="C24" s="2" t="s">
        <v>5016</v>
      </c>
      <c r="D24" s="2"/>
      <c r="E24" s="23">
        <v>105</v>
      </c>
      <c r="F24" s="2">
        <f t="shared" si="0"/>
        <v>9</v>
      </c>
      <c r="G24" s="2"/>
    </row>
    <row r="25" spans="2:7" x14ac:dyDescent="0.25">
      <c r="B25" s="4">
        <v>45884</v>
      </c>
      <c r="C25" s="2" t="s">
        <v>5023</v>
      </c>
      <c r="D25" s="2"/>
      <c r="E25" s="23">
        <v>111</v>
      </c>
      <c r="F25" s="2">
        <f t="shared" si="0"/>
        <v>6</v>
      </c>
      <c r="G25" s="2"/>
    </row>
    <row r="26" spans="2:7" x14ac:dyDescent="0.25">
      <c r="B26" s="4">
        <v>45885</v>
      </c>
      <c r="C26" s="2" t="s">
        <v>5036</v>
      </c>
      <c r="D26" s="2"/>
      <c r="E26" s="23">
        <v>120</v>
      </c>
      <c r="F26" s="2">
        <f t="shared" si="0"/>
        <v>9</v>
      </c>
      <c r="G26" s="2"/>
    </row>
    <row r="27" spans="2:7" x14ac:dyDescent="0.25">
      <c r="B27" s="4">
        <v>45886</v>
      </c>
      <c r="C27" s="2" t="s">
        <v>480</v>
      </c>
      <c r="D27" s="2"/>
      <c r="E27" s="23">
        <v>120</v>
      </c>
      <c r="F27" s="2">
        <f t="shared" si="0"/>
        <v>0</v>
      </c>
      <c r="G27" s="2"/>
    </row>
    <row r="28" spans="2:7" x14ac:dyDescent="0.25">
      <c r="B28" s="4">
        <v>45887</v>
      </c>
      <c r="C28" s="2" t="s">
        <v>5055</v>
      </c>
      <c r="D28" s="2"/>
      <c r="E28" s="23">
        <v>129</v>
      </c>
      <c r="F28" s="2">
        <f t="shared" si="0"/>
        <v>9</v>
      </c>
      <c r="G28" s="2"/>
    </row>
    <row r="29" spans="2:7" x14ac:dyDescent="0.25">
      <c r="B29" s="4">
        <v>45888</v>
      </c>
      <c r="C29" s="2" t="s">
        <v>5068</v>
      </c>
      <c r="D29" s="2" t="s">
        <v>5073</v>
      </c>
      <c r="E29" s="23">
        <v>131</v>
      </c>
      <c r="F29" s="2">
        <f t="shared" si="0"/>
        <v>2</v>
      </c>
      <c r="G29" s="2"/>
    </row>
    <row r="30" spans="2:7" x14ac:dyDescent="0.25">
      <c r="B30" s="4">
        <v>45889</v>
      </c>
      <c r="C30" s="2" t="s">
        <v>5082</v>
      </c>
      <c r="D30" s="2" t="s">
        <v>5098</v>
      </c>
      <c r="E30" s="23">
        <v>131.30000000000001</v>
      </c>
      <c r="F30" s="2">
        <f>E30-E29</f>
        <v>0.30000000000001137</v>
      </c>
      <c r="G30" s="2"/>
    </row>
    <row r="31" spans="2:7" x14ac:dyDescent="0.25">
      <c r="B31" s="4">
        <v>45890</v>
      </c>
      <c r="C31" s="2" t="s">
        <v>5097</v>
      </c>
      <c r="D31" s="2" t="s">
        <v>5098</v>
      </c>
      <c r="E31" s="23">
        <v>131.80000000000001</v>
      </c>
      <c r="F31" s="2">
        <f t="shared" ref="F31:F56" si="1">E31-E30</f>
        <v>0.5</v>
      </c>
      <c r="G31" s="2"/>
    </row>
    <row r="32" spans="2:7" x14ac:dyDescent="0.25">
      <c r="B32" s="4">
        <v>45891</v>
      </c>
      <c r="C32" s="2" t="s">
        <v>5115</v>
      </c>
      <c r="D32" s="2" t="s">
        <v>5098</v>
      </c>
      <c r="E32" s="23">
        <v>132.30000000000001</v>
      </c>
      <c r="F32" s="2">
        <f t="shared" si="1"/>
        <v>0.5</v>
      </c>
      <c r="G32" s="2"/>
    </row>
    <row r="33" spans="2:7" x14ac:dyDescent="0.25">
      <c r="B33" s="4">
        <v>45892</v>
      </c>
      <c r="C33" s="2" t="s">
        <v>5128</v>
      </c>
      <c r="D33" s="2"/>
      <c r="E33" s="23">
        <v>133.1</v>
      </c>
      <c r="F33" s="2">
        <f t="shared" si="1"/>
        <v>0.79999999999998295</v>
      </c>
      <c r="G33" s="2"/>
    </row>
    <row r="34" spans="2:7" x14ac:dyDescent="0.25">
      <c r="B34" s="4">
        <v>45893</v>
      </c>
      <c r="C34" s="2" t="s">
        <v>5153</v>
      </c>
      <c r="D34" s="2"/>
      <c r="E34" s="23">
        <v>133.1</v>
      </c>
      <c r="F34" s="2">
        <f t="shared" si="1"/>
        <v>0</v>
      </c>
      <c r="G34" s="2"/>
    </row>
    <row r="35" spans="2:7" x14ac:dyDescent="0.25">
      <c r="B35" s="4">
        <v>45894</v>
      </c>
      <c r="C35" s="2" t="s">
        <v>5129</v>
      </c>
      <c r="D35" s="2"/>
      <c r="E35" s="23">
        <v>133.1</v>
      </c>
      <c r="F35" s="2">
        <f t="shared" si="1"/>
        <v>0</v>
      </c>
      <c r="G35" s="2"/>
    </row>
    <row r="36" spans="2:7" x14ac:dyDescent="0.25">
      <c r="B36" s="4">
        <v>45895</v>
      </c>
      <c r="C36" s="2" t="s">
        <v>5164</v>
      </c>
      <c r="D36" s="2"/>
      <c r="E36" s="23">
        <v>139</v>
      </c>
      <c r="F36" s="2">
        <f t="shared" si="1"/>
        <v>5.9000000000000057</v>
      </c>
      <c r="G36" s="2"/>
    </row>
    <row r="37" spans="2:7" x14ac:dyDescent="0.25">
      <c r="B37" s="4">
        <v>45896</v>
      </c>
      <c r="C37" s="2" t="s">
        <v>5177</v>
      </c>
      <c r="D37" s="2"/>
      <c r="E37" s="23">
        <v>144</v>
      </c>
      <c r="F37" s="2">
        <f t="shared" si="1"/>
        <v>5</v>
      </c>
      <c r="G37" s="2"/>
    </row>
    <row r="38" spans="2:7" x14ac:dyDescent="0.25">
      <c r="B38" s="4">
        <v>45897</v>
      </c>
      <c r="C38" s="2" t="s">
        <v>5194</v>
      </c>
      <c r="D38" s="2"/>
      <c r="E38" s="23">
        <v>147</v>
      </c>
      <c r="F38" s="2">
        <f t="shared" si="1"/>
        <v>3</v>
      </c>
      <c r="G38" s="2"/>
    </row>
    <row r="39" spans="2:7" x14ac:dyDescent="0.25">
      <c r="B39" s="4">
        <v>45898</v>
      </c>
      <c r="C39" s="2" t="s">
        <v>5209</v>
      </c>
      <c r="D39" s="2"/>
      <c r="E39" s="23">
        <v>150</v>
      </c>
      <c r="F39" s="2">
        <f t="shared" si="1"/>
        <v>3</v>
      </c>
      <c r="G39" s="2"/>
    </row>
    <row r="40" spans="2:7" x14ac:dyDescent="0.25">
      <c r="B40" s="4">
        <v>45899</v>
      </c>
      <c r="C40" s="2" t="s">
        <v>5225</v>
      </c>
      <c r="D40" s="2"/>
      <c r="E40" s="23">
        <v>152</v>
      </c>
      <c r="F40" s="2">
        <f t="shared" si="1"/>
        <v>2</v>
      </c>
      <c r="G40" s="2"/>
    </row>
    <row r="41" spans="2:7" x14ac:dyDescent="0.25">
      <c r="B41" s="4">
        <v>45900</v>
      </c>
      <c r="C41" s="2" t="s">
        <v>5226</v>
      </c>
      <c r="D41" s="2"/>
      <c r="E41" s="23">
        <v>154</v>
      </c>
      <c r="F41" s="2">
        <f t="shared" si="1"/>
        <v>2</v>
      </c>
      <c r="G41" s="2"/>
    </row>
    <row r="42" spans="2:7" x14ac:dyDescent="0.25">
      <c r="B42" s="4">
        <v>45901</v>
      </c>
      <c r="C42" s="2" t="s">
        <v>5245</v>
      </c>
      <c r="D42" s="2" t="s">
        <v>5251</v>
      </c>
      <c r="E42" s="23">
        <v>155</v>
      </c>
      <c r="F42" s="2">
        <f t="shared" si="1"/>
        <v>1</v>
      </c>
      <c r="G42" s="2"/>
    </row>
    <row r="43" spans="2:7" x14ac:dyDescent="0.25">
      <c r="B43" s="4">
        <v>45902</v>
      </c>
      <c r="C43" s="2" t="s">
        <v>5258</v>
      </c>
      <c r="D43" s="2"/>
      <c r="E43" s="23"/>
      <c r="F43" s="2">
        <f t="shared" si="1"/>
        <v>-155</v>
      </c>
      <c r="G43" s="2"/>
    </row>
    <row r="44" spans="2:7" x14ac:dyDescent="0.25">
      <c r="B44" s="4">
        <v>45903</v>
      </c>
      <c r="C44" s="2" t="s">
        <v>5268</v>
      </c>
      <c r="D44" s="2"/>
      <c r="E44" s="23"/>
      <c r="F44" s="2">
        <f t="shared" si="1"/>
        <v>0</v>
      </c>
      <c r="G44" s="2"/>
    </row>
    <row r="45" spans="2:7" x14ac:dyDescent="0.25">
      <c r="B45" s="4">
        <v>45904</v>
      </c>
      <c r="C45" s="2" t="s">
        <v>5272</v>
      </c>
      <c r="D45" s="2"/>
      <c r="E45" s="23"/>
      <c r="F45" s="2">
        <f t="shared" si="1"/>
        <v>0</v>
      </c>
      <c r="G45" s="2"/>
    </row>
    <row r="46" spans="2:7" x14ac:dyDescent="0.25">
      <c r="B46" s="4">
        <v>45905</v>
      </c>
      <c r="C46" s="2" t="s">
        <v>5280</v>
      </c>
      <c r="D46" s="2"/>
      <c r="E46" s="23"/>
      <c r="F46" s="2">
        <f t="shared" si="1"/>
        <v>0</v>
      </c>
      <c r="G46" s="2"/>
    </row>
    <row r="47" spans="2:7" x14ac:dyDescent="0.25">
      <c r="B47" s="4">
        <v>45906</v>
      </c>
      <c r="C47" s="2" t="s">
        <v>5298</v>
      </c>
      <c r="D47" s="2"/>
      <c r="E47" s="23">
        <v>15</v>
      </c>
      <c r="F47" s="2">
        <f t="shared" si="1"/>
        <v>15</v>
      </c>
      <c r="G47" s="2"/>
    </row>
    <row r="48" spans="2:7" x14ac:dyDescent="0.25">
      <c r="B48" s="4">
        <v>45907</v>
      </c>
      <c r="C48" s="2" t="s">
        <v>5320</v>
      </c>
      <c r="D48" s="2"/>
      <c r="E48" s="23">
        <v>60</v>
      </c>
      <c r="F48" s="2">
        <f t="shared" si="1"/>
        <v>45</v>
      </c>
      <c r="G48" s="2"/>
    </row>
    <row r="49" spans="2:7" x14ac:dyDescent="0.25">
      <c r="B49" s="4">
        <v>45908</v>
      </c>
      <c r="C49" s="2" t="s">
        <v>5327</v>
      </c>
      <c r="D49" s="2"/>
      <c r="E49" s="23">
        <v>60</v>
      </c>
      <c r="F49" s="2">
        <f t="shared" si="1"/>
        <v>0</v>
      </c>
      <c r="G49" s="2"/>
    </row>
    <row r="50" spans="2:7" x14ac:dyDescent="0.25">
      <c r="B50" s="4">
        <v>45909</v>
      </c>
      <c r="C50" s="2" t="s">
        <v>5335</v>
      </c>
      <c r="D50" s="2"/>
      <c r="E50" s="23">
        <v>80</v>
      </c>
      <c r="F50" s="2">
        <f t="shared" si="1"/>
        <v>20</v>
      </c>
      <c r="G50" s="2"/>
    </row>
    <row r="51" spans="2:7" x14ac:dyDescent="0.25">
      <c r="B51" s="4">
        <v>45910</v>
      </c>
      <c r="C51" s="2" t="s">
        <v>5346</v>
      </c>
      <c r="D51" s="2" t="s">
        <v>5347</v>
      </c>
      <c r="E51" s="23">
        <v>121</v>
      </c>
      <c r="F51" s="2">
        <f t="shared" si="1"/>
        <v>41</v>
      </c>
      <c r="G51" s="2"/>
    </row>
    <row r="52" spans="2:7" x14ac:dyDescent="0.25">
      <c r="B52" s="4">
        <v>45911</v>
      </c>
      <c r="C52" s="2" t="s">
        <v>5356</v>
      </c>
      <c r="D52" s="2" t="s">
        <v>5357</v>
      </c>
      <c r="E52" s="23">
        <v>121.4</v>
      </c>
      <c r="F52" s="2">
        <f t="shared" si="1"/>
        <v>0.40000000000000568</v>
      </c>
      <c r="G52" s="2"/>
    </row>
    <row r="53" spans="2:7" x14ac:dyDescent="0.25">
      <c r="B53" s="4">
        <v>45912</v>
      </c>
      <c r="C53" s="2" t="s">
        <v>5358</v>
      </c>
      <c r="D53" s="2"/>
      <c r="E53" s="23">
        <v>128</v>
      </c>
      <c r="F53" s="2">
        <f t="shared" si="1"/>
        <v>6.5999999999999943</v>
      </c>
      <c r="G53" s="2"/>
    </row>
    <row r="54" spans="2:7" x14ac:dyDescent="0.25">
      <c r="B54" s="4">
        <v>45913</v>
      </c>
      <c r="C54" s="2" t="s">
        <v>5368</v>
      </c>
      <c r="D54" s="2"/>
      <c r="E54" s="23">
        <v>142</v>
      </c>
      <c r="F54" s="2">
        <f t="shared" si="1"/>
        <v>14</v>
      </c>
      <c r="G54" s="2"/>
    </row>
    <row r="55" spans="2:7" x14ac:dyDescent="0.25">
      <c r="B55" s="4">
        <v>45914</v>
      </c>
      <c r="C55" s="2" t="s">
        <v>5369</v>
      </c>
      <c r="D55" s="2"/>
      <c r="E55" s="23">
        <v>149</v>
      </c>
      <c r="F55" s="2">
        <f t="shared" si="1"/>
        <v>7</v>
      </c>
      <c r="G55" s="2"/>
    </row>
    <row r="56" spans="2:7" x14ac:dyDescent="0.25">
      <c r="B56" s="4">
        <v>45915</v>
      </c>
      <c r="C56" s="2" t="s">
        <v>5385</v>
      </c>
      <c r="D56" s="2"/>
      <c r="E56" s="23">
        <v>155</v>
      </c>
      <c r="F56" s="2">
        <f t="shared" si="1"/>
        <v>6</v>
      </c>
      <c r="G56" s="2"/>
    </row>
    <row r="57" spans="2:7" x14ac:dyDescent="0.25">
      <c r="B57" s="4">
        <v>45916</v>
      </c>
      <c r="C57" s="2" t="s">
        <v>5391</v>
      </c>
      <c r="D57" s="2"/>
      <c r="E57" s="23"/>
      <c r="F57" s="2"/>
      <c r="G57" s="2"/>
    </row>
    <row r="58" spans="2:7" x14ac:dyDescent="0.25">
      <c r="B58" s="4">
        <v>45917</v>
      </c>
      <c r="C58" s="2" t="s">
        <v>5403</v>
      </c>
      <c r="D58" s="2"/>
      <c r="E58" s="23"/>
      <c r="F58" s="2"/>
      <c r="G58" s="2"/>
    </row>
    <row r="59" spans="2:7" x14ac:dyDescent="0.25">
      <c r="B59" s="4">
        <v>45918</v>
      </c>
      <c r="C59" s="2" t="s">
        <v>5408</v>
      </c>
      <c r="D59" s="2"/>
      <c r="E59" s="23"/>
      <c r="F59" s="2"/>
      <c r="G59" s="2"/>
    </row>
    <row r="60" spans="2:7" x14ac:dyDescent="0.25">
      <c r="B60" s="4">
        <v>45919</v>
      </c>
      <c r="C60" s="2" t="s">
        <v>5408</v>
      </c>
      <c r="D60" s="2" t="s">
        <v>5416</v>
      </c>
      <c r="E60" s="23"/>
      <c r="F60" s="2"/>
      <c r="G60" s="2"/>
    </row>
    <row r="61" spans="2:7" x14ac:dyDescent="0.25">
      <c r="B61" s="4">
        <v>45920</v>
      </c>
      <c r="C61" s="2" t="s">
        <v>5424</v>
      </c>
      <c r="D61" s="2" t="s">
        <v>5425</v>
      </c>
      <c r="E61" s="23"/>
      <c r="F61" s="2"/>
      <c r="G61" s="2"/>
    </row>
    <row r="62" spans="2:7" x14ac:dyDescent="0.25">
      <c r="B62" s="4">
        <v>45921</v>
      </c>
      <c r="C62" s="2" t="s">
        <v>4616</v>
      </c>
      <c r="D62" s="2" t="s">
        <v>5440</v>
      </c>
      <c r="E62" s="2"/>
      <c r="F62" s="2"/>
      <c r="G62" s="2"/>
    </row>
    <row r="63" spans="2:7" x14ac:dyDescent="0.25">
      <c r="B63" s="4">
        <v>45922</v>
      </c>
      <c r="C63" s="2" t="s">
        <v>5442</v>
      </c>
      <c r="D63" s="2" t="s">
        <v>5443</v>
      </c>
      <c r="E63" s="2"/>
      <c r="F63" s="2"/>
      <c r="G63" s="2"/>
    </row>
    <row r="64" spans="2:7" x14ac:dyDescent="0.25">
      <c r="B64" s="4">
        <v>45923</v>
      </c>
      <c r="C64" s="2" t="s">
        <v>5449</v>
      </c>
      <c r="D64" s="2" t="s">
        <v>5455</v>
      </c>
      <c r="E64" s="2"/>
      <c r="F64" s="2"/>
      <c r="G64" s="2"/>
    </row>
    <row r="65" spans="2:7" x14ac:dyDescent="0.25">
      <c r="B65" s="4">
        <v>45924</v>
      </c>
      <c r="C65" s="2" t="s">
        <v>5458</v>
      </c>
      <c r="D65" s="2" t="s">
        <v>5465</v>
      </c>
      <c r="E65" s="2"/>
      <c r="F65" s="2"/>
      <c r="G65" s="2"/>
    </row>
    <row r="66" spans="2:7" x14ac:dyDescent="0.25">
      <c r="B66" s="4">
        <v>45925</v>
      </c>
      <c r="C66" s="12" t="s">
        <v>5469</v>
      </c>
      <c r="D66" s="2"/>
      <c r="E66" s="2"/>
      <c r="F66" s="2"/>
      <c r="G66" s="2"/>
    </row>
    <row r="67" spans="2:7" x14ac:dyDescent="0.25">
      <c r="B67" s="4">
        <v>45926</v>
      </c>
      <c r="C67" s="2" t="s">
        <v>5486</v>
      </c>
      <c r="D67" s="2" t="s">
        <v>5443</v>
      </c>
      <c r="E67" s="2"/>
      <c r="F67" s="2"/>
      <c r="G67" s="2"/>
    </row>
    <row r="68" spans="2:7" x14ac:dyDescent="0.25">
      <c r="B68" s="4">
        <v>45927</v>
      </c>
      <c r="C68" s="2" t="s">
        <v>5495</v>
      </c>
      <c r="D68" s="2"/>
      <c r="E68" s="2"/>
      <c r="F68" s="2"/>
      <c r="G68" s="2"/>
    </row>
    <row r="69" spans="2:7" x14ac:dyDescent="0.25">
      <c r="B69" s="4">
        <v>45928</v>
      </c>
      <c r="C69" s="2" t="s">
        <v>5496</v>
      </c>
      <c r="D69" s="2"/>
      <c r="E69" s="2"/>
      <c r="F69" s="2"/>
      <c r="G69" s="2"/>
    </row>
    <row r="70" spans="2:7" x14ac:dyDescent="0.25">
      <c r="B70" s="4">
        <v>45929</v>
      </c>
      <c r="C70" s="2" t="s">
        <v>5507</v>
      </c>
      <c r="D70" s="2" t="s">
        <v>5508</v>
      </c>
      <c r="E70" s="2"/>
      <c r="F70" s="2"/>
      <c r="G70" s="2"/>
    </row>
    <row r="71" spans="2:7" x14ac:dyDescent="0.25">
      <c r="B71" s="4">
        <v>45930</v>
      </c>
      <c r="C71" s="2" t="s">
        <v>5521</v>
      </c>
      <c r="D71" s="2"/>
      <c r="E71" s="2"/>
      <c r="F71" s="2"/>
      <c r="G71" s="2"/>
    </row>
    <row r="72" spans="2:7" x14ac:dyDescent="0.25">
      <c r="B72" s="4">
        <v>45931</v>
      </c>
      <c r="C72" s="2" t="s">
        <v>5532</v>
      </c>
      <c r="D72" s="2"/>
      <c r="E72" s="2"/>
      <c r="F72" s="2"/>
      <c r="G72" s="2"/>
    </row>
    <row r="73" spans="2:7" x14ac:dyDescent="0.25">
      <c r="B73" s="4">
        <v>45932</v>
      </c>
      <c r="C73" s="2"/>
      <c r="D73" s="2"/>
      <c r="E73" s="2"/>
      <c r="F73" s="2"/>
      <c r="G73" s="2"/>
    </row>
    <row r="74" spans="2:7" x14ac:dyDescent="0.25">
      <c r="B74" s="4">
        <v>45933</v>
      </c>
      <c r="C74" s="2"/>
      <c r="D74" s="2"/>
      <c r="E74" s="2"/>
      <c r="F74" s="2"/>
      <c r="G74" s="2"/>
    </row>
    <row r="75" spans="2:7" x14ac:dyDescent="0.25">
      <c r="B75" s="4">
        <v>45934</v>
      </c>
      <c r="C75" s="2"/>
      <c r="D75" s="2"/>
      <c r="E75" s="2"/>
      <c r="F75" s="2"/>
      <c r="G75" s="2"/>
    </row>
    <row r="76" spans="2:7" x14ac:dyDescent="0.25">
      <c r="B76" s="4">
        <v>45935</v>
      </c>
      <c r="C76" s="2"/>
      <c r="D76" s="2"/>
      <c r="E76" s="2"/>
      <c r="F76" s="2"/>
      <c r="G76" s="2"/>
    </row>
    <row r="77" spans="2:7" x14ac:dyDescent="0.25">
      <c r="B77" s="4">
        <v>45936</v>
      </c>
      <c r="C77" s="2" t="s">
        <v>5574</v>
      </c>
      <c r="D77" s="2"/>
      <c r="E77" s="2"/>
      <c r="F77" s="2"/>
      <c r="G77" s="2"/>
    </row>
    <row r="78" spans="2:7" x14ac:dyDescent="0.25">
      <c r="B78" s="4">
        <v>45937</v>
      </c>
      <c r="C78" s="2"/>
      <c r="D78" s="2"/>
      <c r="E78" s="2"/>
      <c r="F78" s="2"/>
      <c r="G78" s="2"/>
    </row>
    <row r="79" spans="2:7" x14ac:dyDescent="0.25">
      <c r="B79" s="4">
        <v>45938</v>
      </c>
      <c r="C79" s="2"/>
      <c r="D79" s="2"/>
      <c r="E79" s="2"/>
      <c r="F79" s="2"/>
      <c r="G79" s="2"/>
    </row>
    <row r="80" spans="2:7" x14ac:dyDescent="0.25">
      <c r="B80" s="4">
        <v>45939</v>
      </c>
      <c r="C80" s="2"/>
      <c r="D80" s="2"/>
      <c r="E80" s="2"/>
      <c r="F80" s="2"/>
      <c r="G80" s="2"/>
    </row>
    <row r="81" spans="2:7" x14ac:dyDescent="0.25">
      <c r="B81" s="4">
        <v>45940</v>
      </c>
      <c r="C81" s="2"/>
      <c r="D81" s="2"/>
      <c r="E81" s="2"/>
      <c r="F81" s="2"/>
      <c r="G81" s="2"/>
    </row>
    <row r="82" spans="2:7" x14ac:dyDescent="0.25">
      <c r="B82" s="4">
        <v>45941</v>
      </c>
      <c r="C82" s="2"/>
      <c r="D82" s="2"/>
      <c r="E82" s="2"/>
      <c r="F82" s="2"/>
      <c r="G82" s="2"/>
    </row>
    <row r="83" spans="2:7" x14ac:dyDescent="0.25">
      <c r="B83" s="4">
        <v>45942</v>
      </c>
      <c r="C83" s="2"/>
      <c r="D83" s="2"/>
      <c r="E83" s="2"/>
      <c r="F83" s="2"/>
      <c r="G83" s="2"/>
    </row>
    <row r="84" spans="2:7" x14ac:dyDescent="0.25">
      <c r="B84" s="4">
        <v>45943</v>
      </c>
      <c r="C84" s="2"/>
      <c r="D84" s="2"/>
      <c r="E84" s="2"/>
      <c r="F84" s="2"/>
      <c r="G84" s="2"/>
    </row>
    <row r="85" spans="2:7" x14ac:dyDescent="0.25">
      <c r="B85" s="4">
        <v>45944</v>
      </c>
      <c r="C85" s="2"/>
      <c r="D85" s="2"/>
      <c r="E85" s="2"/>
      <c r="F85" s="2"/>
      <c r="G85" s="2"/>
    </row>
    <row r="86" spans="2:7" x14ac:dyDescent="0.25">
      <c r="B86" s="4">
        <v>45945</v>
      </c>
      <c r="C86" s="2"/>
      <c r="D86" s="2"/>
      <c r="E86" s="2"/>
      <c r="F86" s="2"/>
      <c r="G86" s="2"/>
    </row>
    <row r="87" spans="2:7" x14ac:dyDescent="0.25">
      <c r="B87" s="4">
        <v>45946</v>
      </c>
      <c r="C87" s="2"/>
      <c r="D87" s="2"/>
      <c r="E87" s="2"/>
      <c r="F87" s="2"/>
      <c r="G87" s="2"/>
    </row>
    <row r="88" spans="2:7" x14ac:dyDescent="0.25">
      <c r="B88" s="4">
        <v>45947</v>
      </c>
      <c r="C88" s="2"/>
      <c r="D88" s="2"/>
      <c r="E88" s="2"/>
      <c r="F88" s="2"/>
      <c r="G88" s="2"/>
    </row>
    <row r="89" spans="2:7" x14ac:dyDescent="0.25">
      <c r="B89" s="4">
        <v>45948</v>
      </c>
      <c r="C89" s="2"/>
      <c r="D89" s="2"/>
      <c r="E89" s="2"/>
      <c r="F89" s="2"/>
      <c r="G89" s="2"/>
    </row>
    <row r="90" spans="2:7" x14ac:dyDescent="0.25">
      <c r="B90" s="4">
        <v>45949</v>
      </c>
      <c r="C90" s="2"/>
      <c r="D90" s="2"/>
      <c r="E90" s="2"/>
      <c r="F90" s="2"/>
      <c r="G90" s="2"/>
    </row>
    <row r="91" spans="2:7" x14ac:dyDescent="0.25">
      <c r="B91" s="4">
        <v>45950</v>
      </c>
      <c r="C91" s="2"/>
      <c r="D91" s="2"/>
      <c r="E91" s="2"/>
      <c r="F91" s="2"/>
      <c r="G91" s="2"/>
    </row>
    <row r="92" spans="2:7" x14ac:dyDescent="0.25">
      <c r="B92" s="4">
        <v>45951</v>
      </c>
      <c r="C92" s="2"/>
      <c r="D92" s="2"/>
      <c r="E92" s="2"/>
      <c r="F92" s="2"/>
      <c r="G92" s="2"/>
    </row>
    <row r="93" spans="2:7" x14ac:dyDescent="0.25">
      <c r="B93" s="4">
        <v>45952</v>
      </c>
      <c r="C93" s="2"/>
      <c r="D93" s="2"/>
      <c r="E93" s="2"/>
      <c r="F93" s="2"/>
      <c r="G93" s="2"/>
    </row>
    <row r="94" spans="2:7" x14ac:dyDescent="0.25">
      <c r="B94" s="4">
        <v>45953</v>
      </c>
      <c r="C94" s="2"/>
      <c r="D94" s="2"/>
      <c r="E94" s="2"/>
      <c r="F94" s="2"/>
      <c r="G94" s="2"/>
    </row>
    <row r="95" spans="2:7" x14ac:dyDescent="0.25">
      <c r="B95" s="4">
        <v>45954</v>
      </c>
      <c r="C95" s="2"/>
      <c r="D95" s="2"/>
      <c r="E95" s="2"/>
      <c r="F95" s="2"/>
      <c r="G95" s="2"/>
    </row>
    <row r="96" spans="2:7" x14ac:dyDescent="0.25">
      <c r="B96" s="4">
        <v>45955</v>
      </c>
      <c r="C96" s="2"/>
      <c r="D96" s="2"/>
      <c r="E96" s="2"/>
      <c r="F96" s="2"/>
      <c r="G96" s="2"/>
    </row>
    <row r="97" spans="2:7" x14ac:dyDescent="0.25">
      <c r="B97" s="4">
        <v>45956</v>
      </c>
      <c r="C97" s="2"/>
      <c r="D97" s="2"/>
      <c r="E97" s="2"/>
      <c r="F97" s="2"/>
      <c r="G97" s="2"/>
    </row>
    <row r="98" spans="2:7" x14ac:dyDescent="0.25">
      <c r="B98" s="4">
        <v>45957</v>
      </c>
      <c r="C98" s="2"/>
      <c r="D98" s="2"/>
      <c r="E98" s="2"/>
      <c r="F98" s="2"/>
      <c r="G98" s="2"/>
    </row>
    <row r="99" spans="2:7" x14ac:dyDescent="0.25">
      <c r="B99" s="4">
        <v>45958</v>
      </c>
      <c r="C99" s="2"/>
      <c r="D99" s="2"/>
      <c r="E99" s="2"/>
      <c r="F99" s="2"/>
      <c r="G99" s="2"/>
    </row>
    <row r="100" spans="2:7" x14ac:dyDescent="0.25">
      <c r="B100" s="4">
        <v>45959</v>
      </c>
      <c r="C100" s="2"/>
      <c r="D100" s="2"/>
      <c r="E100" s="2"/>
      <c r="F100" s="2"/>
      <c r="G100" s="2"/>
    </row>
    <row r="101" spans="2:7" x14ac:dyDescent="0.25">
      <c r="B101" s="4">
        <v>45960</v>
      </c>
      <c r="C101" s="2" t="s">
        <v>1166</v>
      </c>
      <c r="D101" s="2" t="s">
        <v>5765</v>
      </c>
      <c r="E101" s="2"/>
      <c r="F101" s="2"/>
      <c r="G101" s="2"/>
    </row>
    <row r="102" spans="2:7" x14ac:dyDescent="0.25">
      <c r="B102" s="4">
        <v>45961</v>
      </c>
      <c r="C102" s="2"/>
      <c r="D102" s="2" t="s">
        <v>5775</v>
      </c>
      <c r="E102" s="2"/>
      <c r="F102" s="2"/>
      <c r="G102" s="2"/>
    </row>
    <row r="103" spans="2:7" x14ac:dyDescent="0.25">
      <c r="B103" s="4">
        <v>45962</v>
      </c>
      <c r="C103" s="2"/>
      <c r="D103" s="2"/>
      <c r="E103" s="2"/>
      <c r="F103" s="2"/>
      <c r="G103" s="2"/>
    </row>
    <row r="104" spans="2:7" x14ac:dyDescent="0.25">
      <c r="B104" s="4">
        <v>45963</v>
      </c>
      <c r="C104" s="2"/>
      <c r="D104" s="2"/>
      <c r="E104" s="2"/>
      <c r="F104" s="2"/>
      <c r="G104" s="2"/>
    </row>
    <row r="105" spans="2:7" x14ac:dyDescent="0.25">
      <c r="B105" s="4">
        <v>45964</v>
      </c>
      <c r="C105" s="2"/>
      <c r="D105" s="2"/>
      <c r="E105" s="2"/>
      <c r="F105" s="2"/>
      <c r="G105" s="2"/>
    </row>
    <row r="106" spans="2:7" x14ac:dyDescent="0.25">
      <c r="B106" s="4">
        <v>45965</v>
      </c>
      <c r="C106" s="2"/>
      <c r="D106" s="2"/>
      <c r="E106" s="2"/>
      <c r="F106" s="2"/>
      <c r="G106" s="2"/>
    </row>
    <row r="107" spans="2:7" x14ac:dyDescent="0.25">
      <c r="B107" s="4">
        <v>45966</v>
      </c>
      <c r="C107" s="2" t="s">
        <v>3060</v>
      </c>
      <c r="D107" s="2"/>
      <c r="E107" s="2"/>
      <c r="F107" s="2"/>
      <c r="G107" s="2"/>
    </row>
    <row r="108" spans="2:7" x14ac:dyDescent="0.25">
      <c r="B108" s="4">
        <v>45967</v>
      </c>
      <c r="C108" s="2"/>
      <c r="D108" s="2"/>
      <c r="E108" s="2"/>
      <c r="F108" s="2"/>
      <c r="G108" s="2"/>
    </row>
    <row r="109" spans="2:7" x14ac:dyDescent="0.25">
      <c r="B109" s="4">
        <v>45968</v>
      </c>
      <c r="C109" s="2"/>
      <c r="D109" s="2"/>
      <c r="E109" s="2"/>
      <c r="F109" s="2"/>
      <c r="G109" s="2"/>
    </row>
    <row r="110" spans="2:7" x14ac:dyDescent="0.25">
      <c r="B110" s="4">
        <v>45969</v>
      </c>
      <c r="C110" s="2"/>
      <c r="D110" s="2"/>
      <c r="E110" s="2"/>
      <c r="F110" s="2"/>
      <c r="G110" s="2"/>
    </row>
    <row r="111" spans="2:7" x14ac:dyDescent="0.25">
      <c r="B111" s="4">
        <v>45970</v>
      </c>
      <c r="C111" s="2"/>
      <c r="D111" s="2"/>
      <c r="E111" s="2"/>
      <c r="F111" s="2"/>
      <c r="G111" s="2"/>
    </row>
    <row r="112" spans="2:7" x14ac:dyDescent="0.25">
      <c r="B112" s="4">
        <v>45971</v>
      </c>
      <c r="C112" s="2"/>
      <c r="D112" s="2"/>
      <c r="E112" s="2"/>
      <c r="F112" s="2"/>
      <c r="G112" s="2"/>
    </row>
    <row r="113" spans="2:7" x14ac:dyDescent="0.25">
      <c r="B113" s="4">
        <v>45972</v>
      </c>
      <c r="C113" s="2"/>
      <c r="D113" s="2"/>
      <c r="E113" s="2"/>
      <c r="F113" s="2"/>
      <c r="G113" s="2"/>
    </row>
    <row r="114" spans="2:7" x14ac:dyDescent="0.25">
      <c r="B114" s="4">
        <v>45973</v>
      </c>
      <c r="C114" s="2"/>
      <c r="D114" s="2"/>
      <c r="E114" s="2"/>
      <c r="F114" s="2"/>
      <c r="G114" s="2"/>
    </row>
    <row r="115" spans="2:7" x14ac:dyDescent="0.25">
      <c r="B115" s="4">
        <v>45974</v>
      </c>
      <c r="C115" s="2"/>
      <c r="D115" s="2"/>
      <c r="E115" s="2"/>
      <c r="F115" s="2"/>
      <c r="G115" s="2"/>
    </row>
    <row r="116" spans="2:7" x14ac:dyDescent="0.25">
      <c r="B116" s="4">
        <v>45975</v>
      </c>
      <c r="C116" s="2"/>
      <c r="D116" s="2"/>
      <c r="E116" s="2"/>
      <c r="F116" s="2"/>
      <c r="G116" s="2"/>
    </row>
    <row r="117" spans="2:7" x14ac:dyDescent="0.25">
      <c r="B117" s="4">
        <v>45976</v>
      </c>
      <c r="C117" s="2"/>
      <c r="D117" s="2"/>
      <c r="E117" s="2"/>
      <c r="F117" s="2"/>
      <c r="G117" s="2"/>
    </row>
    <row r="118" spans="2:7" x14ac:dyDescent="0.25">
      <c r="B118" s="4">
        <v>45977</v>
      </c>
      <c r="C118" s="2"/>
      <c r="D118" s="2"/>
      <c r="E118" s="2"/>
      <c r="F118" s="2"/>
      <c r="G118" s="2"/>
    </row>
    <row r="119" spans="2:7" x14ac:dyDescent="0.25">
      <c r="B119" s="4">
        <v>45978</v>
      </c>
      <c r="C119" s="2"/>
      <c r="D119" s="2"/>
      <c r="E119" s="2"/>
      <c r="F119" s="2"/>
      <c r="G119" s="2"/>
    </row>
    <row r="120" spans="2:7" x14ac:dyDescent="0.25">
      <c r="B120" s="4">
        <v>45979</v>
      </c>
      <c r="C120" s="2" t="s">
        <v>5900</v>
      </c>
      <c r="D120" s="2"/>
      <c r="E120" s="2"/>
      <c r="F120" s="2"/>
      <c r="G120" s="2"/>
    </row>
    <row r="121" spans="2:7" x14ac:dyDescent="0.25">
      <c r="B121" s="4">
        <v>45980</v>
      </c>
      <c r="C121" s="2"/>
      <c r="D121" s="2"/>
      <c r="E121" s="2"/>
      <c r="F121" s="2"/>
      <c r="G121" s="2"/>
    </row>
    <row r="122" spans="2:7" x14ac:dyDescent="0.25">
      <c r="B122" s="4">
        <v>45981</v>
      </c>
      <c r="C122" s="2"/>
      <c r="D122" s="2"/>
      <c r="E122" s="2"/>
      <c r="F122" s="2"/>
      <c r="G122" s="2"/>
    </row>
    <row r="123" spans="2:7" x14ac:dyDescent="0.25">
      <c r="B123" s="4">
        <v>45982</v>
      </c>
      <c r="C123" s="2" t="s">
        <v>5934</v>
      </c>
      <c r="D123" s="2"/>
      <c r="E123" s="2"/>
      <c r="F123" s="2"/>
      <c r="G123" s="2"/>
    </row>
    <row r="124" spans="2:7" x14ac:dyDescent="0.25">
      <c r="B124" s="4">
        <v>45983</v>
      </c>
      <c r="C124" s="2"/>
      <c r="D124" s="2"/>
      <c r="E124" s="2"/>
      <c r="F124" s="2"/>
      <c r="G124" s="2"/>
    </row>
    <row r="125" spans="2:7" x14ac:dyDescent="0.25">
      <c r="B125" s="4">
        <v>45984</v>
      </c>
      <c r="C125" s="2"/>
      <c r="D125" s="2"/>
      <c r="E125" s="2"/>
      <c r="F125" s="2"/>
      <c r="G125" s="2"/>
    </row>
    <row r="126" spans="2:7" x14ac:dyDescent="0.25">
      <c r="B126" s="4">
        <v>45985</v>
      </c>
      <c r="C126" s="2" t="s">
        <v>5944</v>
      </c>
      <c r="D126" s="2"/>
      <c r="E126" s="2"/>
      <c r="F126" s="2"/>
      <c r="G126" s="2"/>
    </row>
    <row r="127" spans="2:7" x14ac:dyDescent="0.25">
      <c r="B127" s="4">
        <v>45986</v>
      </c>
      <c r="C127" s="2"/>
      <c r="D127" s="2"/>
      <c r="E127" s="2"/>
      <c r="F127" s="2"/>
      <c r="G127" s="2"/>
    </row>
    <row r="128" spans="2:7" x14ac:dyDescent="0.25">
      <c r="B128" s="4">
        <v>45987</v>
      </c>
      <c r="C128" s="2"/>
      <c r="D128" s="2"/>
      <c r="E128" s="2"/>
      <c r="F128" s="2"/>
      <c r="G128" s="2"/>
    </row>
    <row r="129" spans="2:7" x14ac:dyDescent="0.25">
      <c r="B129" s="4">
        <v>45988</v>
      </c>
      <c r="C129" s="2"/>
      <c r="D129" s="2"/>
      <c r="E129" s="2"/>
      <c r="F129" s="2"/>
      <c r="G129" s="2"/>
    </row>
    <row r="130" spans="2:7" x14ac:dyDescent="0.25">
      <c r="B130" s="4">
        <v>45989</v>
      </c>
      <c r="C130" s="2"/>
      <c r="D130" s="2"/>
      <c r="E130" s="2"/>
      <c r="F130" s="2"/>
      <c r="G130" s="2"/>
    </row>
    <row r="131" spans="2:7" x14ac:dyDescent="0.25">
      <c r="B131" s="4">
        <v>45990</v>
      </c>
      <c r="C131" s="2"/>
      <c r="D131" s="2"/>
      <c r="E131" s="2"/>
      <c r="F131" s="2"/>
      <c r="G131" s="2"/>
    </row>
    <row r="132" spans="2:7" x14ac:dyDescent="0.25">
      <c r="B132" s="4">
        <v>45991</v>
      </c>
      <c r="C132" s="2"/>
      <c r="D132" s="2"/>
      <c r="E132" s="2"/>
      <c r="F132" s="2"/>
      <c r="G132" s="2"/>
    </row>
    <row r="133" spans="2:7" x14ac:dyDescent="0.25">
      <c r="B133" s="4">
        <v>45992</v>
      </c>
      <c r="C133" s="2" t="s">
        <v>6028</v>
      </c>
      <c r="D133" s="2"/>
      <c r="E133" s="2"/>
      <c r="F133" s="2"/>
      <c r="G133" s="2"/>
    </row>
    <row r="134" spans="2:7" x14ac:dyDescent="0.25">
      <c r="B134" s="4">
        <v>45993</v>
      </c>
      <c r="C134" s="2"/>
      <c r="D134" s="2"/>
      <c r="E134" s="2"/>
      <c r="F134" s="2"/>
      <c r="G134" s="2"/>
    </row>
    <row r="135" spans="2:7" x14ac:dyDescent="0.25">
      <c r="B135" s="4">
        <v>45994</v>
      </c>
      <c r="C135" s="2"/>
      <c r="D135" s="2"/>
      <c r="E135" s="2"/>
      <c r="F135" s="2"/>
      <c r="G135" s="2"/>
    </row>
    <row r="136" spans="2:7" x14ac:dyDescent="0.25">
      <c r="B136" s="4">
        <v>45995</v>
      </c>
      <c r="C136" s="2"/>
      <c r="D136" s="2"/>
      <c r="E136" s="2"/>
      <c r="F136" s="2"/>
      <c r="G136" s="2"/>
    </row>
    <row r="137" spans="2:7" x14ac:dyDescent="0.25">
      <c r="B137" s="4">
        <v>45996</v>
      </c>
      <c r="C137" s="2"/>
      <c r="D137" s="2"/>
      <c r="E137" s="2"/>
      <c r="F137" s="2"/>
      <c r="G137" s="2"/>
    </row>
    <row r="138" spans="2:7" x14ac:dyDescent="0.25">
      <c r="B138" s="4">
        <v>45997</v>
      </c>
      <c r="C138" s="2"/>
      <c r="D138" s="2"/>
      <c r="E138" s="2"/>
      <c r="F138" s="2"/>
      <c r="G138" s="2"/>
    </row>
    <row r="139" spans="2:7" x14ac:dyDescent="0.25">
      <c r="B139" s="4">
        <v>45998</v>
      </c>
      <c r="C139" s="2"/>
      <c r="D139" s="2"/>
      <c r="E139" s="2"/>
      <c r="F139" s="2"/>
      <c r="G139" s="2"/>
    </row>
    <row r="140" spans="2:7" x14ac:dyDescent="0.25">
      <c r="B140" s="4">
        <v>45999</v>
      </c>
      <c r="C140" s="2"/>
      <c r="D140" s="2"/>
      <c r="E140" s="2"/>
      <c r="F140" s="2"/>
      <c r="G140" s="2"/>
    </row>
    <row r="141" spans="2:7" x14ac:dyDescent="0.25">
      <c r="B141" s="4">
        <v>46000</v>
      </c>
      <c r="C141" s="2"/>
      <c r="D141" s="2"/>
      <c r="E141" s="2"/>
      <c r="F141" s="2"/>
      <c r="G141" s="2"/>
    </row>
    <row r="142" spans="2:7" x14ac:dyDescent="0.25">
      <c r="B142" s="4">
        <v>46001</v>
      </c>
      <c r="C142" s="2"/>
      <c r="D142" s="2"/>
      <c r="E142" s="2"/>
      <c r="F142" s="2"/>
      <c r="G142" s="2"/>
    </row>
    <row r="143" spans="2:7" x14ac:dyDescent="0.25">
      <c r="B143" s="4">
        <v>46002</v>
      </c>
      <c r="C143" s="2"/>
      <c r="D143" s="2"/>
      <c r="E143" s="2"/>
      <c r="F143" s="2"/>
      <c r="G143" s="2"/>
    </row>
    <row r="144" spans="2:7" x14ac:dyDescent="0.25">
      <c r="B144" s="4">
        <v>46003</v>
      </c>
      <c r="C144" s="2"/>
      <c r="D144" s="2"/>
      <c r="E144" s="2"/>
      <c r="F144" s="2"/>
      <c r="G144" s="2"/>
    </row>
    <row r="145" spans="2:7" x14ac:dyDescent="0.25">
      <c r="B145" s="4">
        <v>46004</v>
      </c>
      <c r="C145" s="2"/>
      <c r="D145" s="2"/>
      <c r="E145" s="2"/>
      <c r="F145" s="2"/>
      <c r="G145" s="2"/>
    </row>
    <row r="146" spans="2:7" x14ac:dyDescent="0.25">
      <c r="B146" s="4">
        <v>46005</v>
      </c>
      <c r="C146" s="2"/>
      <c r="D146" s="2"/>
      <c r="E146" s="2"/>
      <c r="F146" s="2"/>
      <c r="G146" s="2"/>
    </row>
    <row r="147" spans="2:7" x14ac:dyDescent="0.25">
      <c r="B147" s="4">
        <v>46006</v>
      </c>
      <c r="C147" s="2"/>
      <c r="D147" s="2"/>
      <c r="E147" s="2"/>
      <c r="F147" s="2"/>
      <c r="G147" s="2"/>
    </row>
    <row r="148" spans="2:7" x14ac:dyDescent="0.25">
      <c r="B148" s="4">
        <v>46007</v>
      </c>
      <c r="C148" s="2"/>
      <c r="D148" s="2"/>
      <c r="E148" s="2"/>
      <c r="F148" s="2"/>
      <c r="G148" s="2"/>
    </row>
    <row r="149" spans="2:7" x14ac:dyDescent="0.25">
      <c r="B149" s="4">
        <v>46008</v>
      </c>
      <c r="C149" s="2" t="s">
        <v>6138</v>
      </c>
      <c r="D149" s="2"/>
      <c r="E149" s="2"/>
      <c r="F149" s="2"/>
      <c r="G149" s="2"/>
    </row>
    <row r="150" spans="2:7" x14ac:dyDescent="0.25">
      <c r="B150" s="4">
        <v>46009</v>
      </c>
      <c r="C150" s="2"/>
      <c r="D150" s="2"/>
      <c r="E150" s="2"/>
      <c r="F150" s="2"/>
      <c r="G150" s="2"/>
    </row>
    <row r="151" spans="2:7" x14ac:dyDescent="0.25">
      <c r="B151" s="4">
        <v>46010</v>
      </c>
      <c r="C151" s="2"/>
      <c r="D151" s="2"/>
      <c r="E151" s="2"/>
      <c r="F151" s="2"/>
      <c r="G151" s="2"/>
    </row>
    <row r="152" spans="2:7" x14ac:dyDescent="0.25">
      <c r="B152" s="4">
        <v>46011</v>
      </c>
      <c r="C152" s="2"/>
      <c r="D152" s="2"/>
      <c r="E152" s="2"/>
      <c r="F152" s="2"/>
      <c r="G152" s="2"/>
    </row>
    <row r="153" spans="2:7" x14ac:dyDescent="0.25">
      <c r="B153" s="4">
        <v>46012</v>
      </c>
      <c r="C153" s="2"/>
      <c r="D153" s="2"/>
      <c r="E153" s="2"/>
      <c r="F153" s="2"/>
      <c r="G153" s="2"/>
    </row>
    <row r="154" spans="2:7" x14ac:dyDescent="0.25">
      <c r="B154" s="4">
        <v>46013</v>
      </c>
      <c r="C154" s="2"/>
      <c r="D154" s="2"/>
      <c r="E154" s="2"/>
      <c r="F154" s="2"/>
      <c r="G154" s="2"/>
    </row>
    <row r="155" spans="2:7" x14ac:dyDescent="0.25">
      <c r="B155" s="4">
        <v>46014</v>
      </c>
      <c r="C155" s="2" t="s">
        <v>6390</v>
      </c>
      <c r="D155" s="2"/>
      <c r="E155" s="2"/>
      <c r="F155" s="2"/>
      <c r="G155" s="2"/>
    </row>
    <row r="156" spans="2:7" x14ac:dyDescent="0.25">
      <c r="B156" s="4">
        <v>46015</v>
      </c>
      <c r="C156" s="2"/>
      <c r="D156" s="2"/>
      <c r="E156" s="2"/>
      <c r="F156" s="2"/>
      <c r="G156" s="2"/>
    </row>
    <row r="157" spans="2:7" x14ac:dyDescent="0.25">
      <c r="B157" s="4">
        <v>46016</v>
      </c>
      <c r="C157" s="2"/>
      <c r="D157" s="2"/>
      <c r="E157" s="2"/>
      <c r="F157" s="2"/>
      <c r="G157" s="2"/>
    </row>
    <row r="158" spans="2:7" x14ac:dyDescent="0.25">
      <c r="B158" s="4">
        <v>46017</v>
      </c>
      <c r="C158" s="2"/>
      <c r="D158" s="2"/>
      <c r="E158" s="2"/>
      <c r="F158" s="2"/>
      <c r="G158" s="2"/>
    </row>
    <row r="159" spans="2:7" x14ac:dyDescent="0.25">
      <c r="B159" s="4">
        <v>46018</v>
      </c>
      <c r="C159" s="2"/>
      <c r="D159" s="2"/>
      <c r="E159" s="2"/>
      <c r="F159" s="2"/>
      <c r="G159" s="2"/>
    </row>
    <row r="160" spans="2:7" x14ac:dyDescent="0.25">
      <c r="B160" s="4">
        <v>46019</v>
      </c>
      <c r="C160" s="2"/>
      <c r="D160" s="2"/>
      <c r="E160" s="2"/>
      <c r="F160" s="2"/>
      <c r="G160" s="2"/>
    </row>
    <row r="161" spans="2:7" x14ac:dyDescent="0.25">
      <c r="B161" s="4">
        <v>46020</v>
      </c>
      <c r="C161" s="2"/>
      <c r="D161" s="2"/>
      <c r="E161" s="2"/>
      <c r="F161" s="2"/>
      <c r="G161" s="2"/>
    </row>
    <row r="162" spans="2:7" x14ac:dyDescent="0.25">
      <c r="B162" s="4">
        <v>46021</v>
      </c>
      <c r="C162" s="2"/>
      <c r="D162" s="2"/>
      <c r="E162" s="2"/>
      <c r="F162" s="2"/>
      <c r="G162" s="2"/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B2:G196"/>
  <sheetViews>
    <sheetView workbookViewId="0">
      <pane ySplit="3" topLeftCell="A57" activePane="bottomLeft" state="frozen"/>
      <selection activeCell="D8" sqref="D8"/>
      <selection pane="bottomLeft" activeCell="C194" sqref="C194"/>
    </sheetView>
  </sheetViews>
  <sheetFormatPr defaultRowHeight="15" x14ac:dyDescent="0.25"/>
  <cols>
    <col min="2" max="2" width="18" bestFit="1" customWidth="1"/>
    <col min="3" max="3" width="55.5703125" customWidth="1"/>
    <col min="4" max="4" width="44.140625" customWidth="1"/>
    <col min="5" max="5" width="11.85546875" bestFit="1" customWidth="1"/>
    <col min="6" max="6" width="8.42578125" bestFit="1" customWidth="1"/>
    <col min="7" max="7" width="11" bestFit="1" customWidth="1"/>
  </cols>
  <sheetData>
    <row r="2" spans="2:7" ht="18.75" x14ac:dyDescent="0.3">
      <c r="B2" s="144" t="s">
        <v>6721</v>
      </c>
      <c r="D2" s="123" t="s">
        <v>5515</v>
      </c>
      <c r="E2" s="124" t="s">
        <v>5516</v>
      </c>
      <c r="F2" s="125">
        <f>SUM(F4:F71)</f>
        <v>11.5</v>
      </c>
    </row>
    <row r="3" spans="2:7" ht="15.75" x14ac:dyDescent="0.25">
      <c r="B3" s="10" t="s">
        <v>0</v>
      </c>
      <c r="C3" s="11" t="s">
        <v>1</v>
      </c>
      <c r="D3" s="11" t="s">
        <v>2</v>
      </c>
      <c r="E3" s="11" t="s">
        <v>934</v>
      </c>
      <c r="F3" s="11" t="s">
        <v>1095</v>
      </c>
      <c r="G3" s="11" t="s">
        <v>1507</v>
      </c>
    </row>
    <row r="4" spans="2:7" x14ac:dyDescent="0.25">
      <c r="B4" s="4">
        <v>45924</v>
      </c>
      <c r="C4" s="2" t="s">
        <v>5459</v>
      </c>
      <c r="D4" s="2"/>
      <c r="E4" s="23"/>
      <c r="F4" s="2"/>
      <c r="G4" s="2"/>
    </row>
    <row r="5" spans="2:7" x14ac:dyDescent="0.25">
      <c r="B5" s="4">
        <v>45925</v>
      </c>
      <c r="C5" s="2" t="s">
        <v>5459</v>
      </c>
      <c r="D5" s="2"/>
      <c r="E5" s="23"/>
      <c r="F5" s="2"/>
      <c r="G5" s="2"/>
    </row>
    <row r="6" spans="2:7" x14ac:dyDescent="0.25">
      <c r="B6" s="4">
        <v>45926</v>
      </c>
      <c r="C6" s="2"/>
      <c r="D6" s="2"/>
      <c r="E6" s="23"/>
      <c r="F6" s="2"/>
      <c r="G6" s="2"/>
    </row>
    <row r="7" spans="2:7" x14ac:dyDescent="0.25">
      <c r="B7" s="4">
        <v>45927</v>
      </c>
      <c r="C7" s="2"/>
      <c r="D7" s="58"/>
      <c r="E7" s="23"/>
      <c r="F7" s="2"/>
      <c r="G7" s="2"/>
    </row>
    <row r="8" spans="2:7" x14ac:dyDescent="0.25">
      <c r="B8" s="4">
        <v>45928</v>
      </c>
      <c r="C8" s="2"/>
      <c r="D8" s="58"/>
      <c r="E8" s="23"/>
      <c r="F8" s="2"/>
      <c r="G8" s="2"/>
    </row>
    <row r="9" spans="2:7" x14ac:dyDescent="0.25">
      <c r="B9" s="4">
        <v>45929</v>
      </c>
      <c r="C9" s="2" t="s">
        <v>4729</v>
      </c>
      <c r="D9" s="58"/>
      <c r="E9" s="23"/>
      <c r="F9" s="2"/>
      <c r="G9" s="2"/>
    </row>
    <row r="10" spans="2:7" x14ac:dyDescent="0.25">
      <c r="B10" s="4">
        <v>45930</v>
      </c>
      <c r="C10" s="2"/>
      <c r="D10" s="2"/>
      <c r="E10" s="23"/>
      <c r="F10" s="2"/>
      <c r="G10" s="2"/>
    </row>
    <row r="11" spans="2:7" x14ac:dyDescent="0.25">
      <c r="B11" s="4">
        <v>45931</v>
      </c>
      <c r="C11" s="2"/>
      <c r="D11" s="2"/>
      <c r="E11" s="23"/>
      <c r="F11" s="2"/>
      <c r="G11" s="2"/>
    </row>
    <row r="12" spans="2:7" x14ac:dyDescent="0.25">
      <c r="B12" s="4">
        <v>45932</v>
      </c>
      <c r="C12" s="2" t="s">
        <v>5522</v>
      </c>
      <c r="D12" s="2"/>
      <c r="E12" s="23"/>
      <c r="F12" s="2"/>
      <c r="G12" s="2"/>
    </row>
    <row r="13" spans="2:7" x14ac:dyDescent="0.25">
      <c r="B13" s="4">
        <v>45933</v>
      </c>
      <c r="C13" s="2"/>
      <c r="D13" s="2"/>
      <c r="E13" s="23"/>
      <c r="F13" s="2"/>
      <c r="G13" s="2"/>
    </row>
    <row r="14" spans="2:7" x14ac:dyDescent="0.25">
      <c r="B14" s="4">
        <v>45934</v>
      </c>
      <c r="C14" s="2"/>
      <c r="D14" s="2"/>
      <c r="E14" s="23"/>
      <c r="F14" s="2"/>
      <c r="G14" s="2"/>
    </row>
    <row r="15" spans="2:7" x14ac:dyDescent="0.25">
      <c r="B15" s="4">
        <v>45935</v>
      </c>
      <c r="C15" s="2"/>
      <c r="D15" s="2"/>
      <c r="E15" s="23"/>
      <c r="F15" s="2"/>
      <c r="G15" s="2"/>
    </row>
    <row r="16" spans="2:7" x14ac:dyDescent="0.25">
      <c r="B16" s="4">
        <v>45936</v>
      </c>
      <c r="C16" s="2" t="s">
        <v>5550</v>
      </c>
      <c r="D16" s="2"/>
      <c r="E16" s="23"/>
      <c r="F16" s="2"/>
      <c r="G16" s="2"/>
    </row>
    <row r="17" spans="2:7" x14ac:dyDescent="0.25">
      <c r="B17" s="4">
        <v>45937</v>
      </c>
      <c r="C17" s="2" t="s">
        <v>5512</v>
      </c>
      <c r="D17" s="2"/>
      <c r="E17" s="23"/>
      <c r="F17" s="2"/>
      <c r="G17" s="2"/>
    </row>
    <row r="18" spans="2:7" x14ac:dyDescent="0.25">
      <c r="B18" s="4">
        <v>45938</v>
      </c>
      <c r="C18" s="2" t="s">
        <v>5590</v>
      </c>
      <c r="D18" s="2"/>
      <c r="E18" s="23"/>
      <c r="F18" s="2"/>
      <c r="G18" s="2"/>
    </row>
    <row r="19" spans="2:7" x14ac:dyDescent="0.25">
      <c r="B19" s="4">
        <v>45939</v>
      </c>
      <c r="C19" s="2"/>
      <c r="D19" s="2"/>
      <c r="E19" s="23"/>
      <c r="F19" s="2"/>
      <c r="G19" s="2"/>
    </row>
    <row r="20" spans="2:7" x14ac:dyDescent="0.25">
      <c r="B20" s="4">
        <v>45940</v>
      </c>
      <c r="C20" s="2" t="s">
        <v>5613</v>
      </c>
      <c r="D20" s="2"/>
      <c r="E20" s="23"/>
      <c r="F20" s="2"/>
      <c r="G20" s="2"/>
    </row>
    <row r="21" spans="2:7" x14ac:dyDescent="0.25">
      <c r="B21" s="4">
        <v>45941</v>
      </c>
      <c r="C21" s="2" t="s">
        <v>5620</v>
      </c>
      <c r="D21" s="2"/>
      <c r="E21" s="23"/>
      <c r="F21" s="2"/>
      <c r="G21" s="2"/>
    </row>
    <row r="22" spans="2:7" x14ac:dyDescent="0.25">
      <c r="B22" s="4">
        <v>45942</v>
      </c>
      <c r="C22" s="2" t="s">
        <v>5621</v>
      </c>
      <c r="D22" s="2"/>
      <c r="E22" s="23"/>
      <c r="F22" s="2"/>
      <c r="G22" s="2"/>
    </row>
    <row r="23" spans="2:7" x14ac:dyDescent="0.25">
      <c r="B23" s="4">
        <v>45943</v>
      </c>
      <c r="C23" s="2" t="s">
        <v>5628</v>
      </c>
      <c r="D23" s="2"/>
      <c r="E23" s="23"/>
      <c r="F23" s="2"/>
      <c r="G23" s="2"/>
    </row>
    <row r="24" spans="2:7" x14ac:dyDescent="0.25">
      <c r="B24" s="4">
        <v>45944</v>
      </c>
      <c r="C24" s="2" t="s">
        <v>5635</v>
      </c>
      <c r="D24" s="2"/>
      <c r="E24" s="23"/>
      <c r="F24" s="2"/>
      <c r="G24" s="2"/>
    </row>
    <row r="25" spans="2:7" x14ac:dyDescent="0.25">
      <c r="B25" s="4">
        <v>45945</v>
      </c>
      <c r="C25" s="2" t="s">
        <v>5645</v>
      </c>
      <c r="D25" s="2"/>
      <c r="E25" s="23"/>
      <c r="F25" s="2"/>
      <c r="G25" s="2"/>
    </row>
    <row r="26" spans="2:7" x14ac:dyDescent="0.25">
      <c r="B26" s="4">
        <v>45946</v>
      </c>
      <c r="C26" s="2" t="s">
        <v>279</v>
      </c>
      <c r="D26" s="2"/>
      <c r="E26" s="23"/>
      <c r="F26" s="2"/>
      <c r="G26" s="2"/>
    </row>
    <row r="27" spans="2:7" x14ac:dyDescent="0.25">
      <c r="B27" s="4">
        <v>45947</v>
      </c>
      <c r="C27" s="2" t="s">
        <v>5660</v>
      </c>
      <c r="D27" s="2"/>
      <c r="E27" s="23"/>
      <c r="F27" s="2"/>
      <c r="G27" s="2"/>
    </row>
    <row r="28" spans="2:7" x14ac:dyDescent="0.25">
      <c r="B28" s="4">
        <v>45948</v>
      </c>
      <c r="C28" s="2" t="s">
        <v>5672</v>
      </c>
      <c r="D28" s="2"/>
      <c r="E28" s="23"/>
      <c r="F28" s="2"/>
      <c r="G28" s="2"/>
    </row>
    <row r="29" spans="2:7" x14ac:dyDescent="0.25">
      <c r="B29" s="4">
        <v>45949</v>
      </c>
      <c r="C29" s="2" t="s">
        <v>5673</v>
      </c>
      <c r="D29" s="2"/>
      <c r="E29" s="23"/>
      <c r="F29" s="2"/>
      <c r="G29" s="2"/>
    </row>
    <row r="30" spans="2:7" x14ac:dyDescent="0.25">
      <c r="B30" s="4">
        <v>45950</v>
      </c>
      <c r="C30" s="2" t="s">
        <v>5688</v>
      </c>
      <c r="D30" s="2"/>
      <c r="E30" s="23"/>
      <c r="F30" s="2"/>
      <c r="G30" s="2"/>
    </row>
    <row r="31" spans="2:7" x14ac:dyDescent="0.25">
      <c r="B31" s="4">
        <v>45951</v>
      </c>
      <c r="C31" s="2" t="s">
        <v>5673</v>
      </c>
      <c r="D31" s="2"/>
      <c r="E31" s="23"/>
      <c r="F31" s="2"/>
      <c r="G31" s="2"/>
    </row>
    <row r="32" spans="2:7" x14ac:dyDescent="0.25">
      <c r="B32" s="4">
        <v>45952</v>
      </c>
      <c r="C32" s="2" t="s">
        <v>5705</v>
      </c>
      <c r="D32" s="2"/>
      <c r="E32" s="23">
        <v>16</v>
      </c>
      <c r="F32" s="2">
        <f>E32-E31</f>
        <v>16</v>
      </c>
      <c r="G32" s="2"/>
    </row>
    <row r="33" spans="2:7" x14ac:dyDescent="0.25">
      <c r="B33" s="4">
        <v>45953</v>
      </c>
      <c r="C33" s="2" t="s">
        <v>5715</v>
      </c>
      <c r="D33" s="2" t="s">
        <v>5716</v>
      </c>
      <c r="E33" s="23">
        <v>8</v>
      </c>
      <c r="F33" s="2">
        <f t="shared" ref="F33:F95" si="0">E33-E32</f>
        <v>-8</v>
      </c>
      <c r="G33" s="2"/>
    </row>
    <row r="34" spans="2:7" x14ac:dyDescent="0.25">
      <c r="B34" s="4">
        <v>45954</v>
      </c>
      <c r="C34" s="2" t="s">
        <v>5721</v>
      </c>
      <c r="D34" s="2" t="s">
        <v>5722</v>
      </c>
      <c r="E34" s="23">
        <v>10</v>
      </c>
      <c r="F34" s="2">
        <f t="shared" si="0"/>
        <v>2</v>
      </c>
      <c r="G34" s="2"/>
    </row>
    <row r="35" spans="2:7" x14ac:dyDescent="0.25">
      <c r="B35" s="4">
        <v>45955</v>
      </c>
      <c r="C35" s="2" t="s">
        <v>5741</v>
      </c>
      <c r="D35" s="2"/>
      <c r="E35" s="23">
        <v>18</v>
      </c>
      <c r="F35" s="2">
        <f t="shared" si="0"/>
        <v>8</v>
      </c>
      <c r="G35" s="2"/>
    </row>
    <row r="36" spans="2:7" x14ac:dyDescent="0.25">
      <c r="B36" s="4">
        <v>45956</v>
      </c>
      <c r="C36" s="2" t="s">
        <v>5731</v>
      </c>
      <c r="D36" s="2" t="s">
        <v>5735</v>
      </c>
      <c r="E36" s="23">
        <v>22</v>
      </c>
      <c r="F36" s="2">
        <f t="shared" si="0"/>
        <v>4</v>
      </c>
      <c r="G36" s="2"/>
    </row>
    <row r="37" spans="2:7" x14ac:dyDescent="0.25">
      <c r="B37" s="4">
        <v>45957</v>
      </c>
      <c r="C37" s="2" t="s">
        <v>5743</v>
      </c>
      <c r="D37" s="2"/>
      <c r="E37" s="23">
        <v>28</v>
      </c>
      <c r="F37" s="2">
        <f t="shared" si="0"/>
        <v>6</v>
      </c>
      <c r="G37" s="2"/>
    </row>
    <row r="38" spans="2:7" x14ac:dyDescent="0.25">
      <c r="B38" s="4">
        <v>45958</v>
      </c>
      <c r="C38" s="2" t="s">
        <v>5749</v>
      </c>
      <c r="D38" s="2"/>
      <c r="E38" s="23">
        <v>29.5</v>
      </c>
      <c r="F38" s="2">
        <f t="shared" si="0"/>
        <v>1.5</v>
      </c>
      <c r="G38" s="2"/>
    </row>
    <row r="39" spans="2:7" x14ac:dyDescent="0.25">
      <c r="B39" s="4">
        <v>45959</v>
      </c>
      <c r="C39" s="2" t="s">
        <v>5762</v>
      </c>
      <c r="D39" s="2"/>
      <c r="E39" s="23">
        <v>32.5</v>
      </c>
      <c r="F39" s="2">
        <f t="shared" si="0"/>
        <v>3</v>
      </c>
      <c r="G39" s="2"/>
    </row>
    <row r="40" spans="2:7" x14ac:dyDescent="0.25">
      <c r="B40" s="4">
        <v>45960</v>
      </c>
      <c r="C40" s="2" t="s">
        <v>5763</v>
      </c>
      <c r="D40" s="2"/>
      <c r="E40" s="23">
        <v>35</v>
      </c>
      <c r="F40" s="2">
        <f t="shared" si="0"/>
        <v>2.5</v>
      </c>
      <c r="G40" s="2"/>
    </row>
    <row r="41" spans="2:7" x14ac:dyDescent="0.25">
      <c r="B41" s="4">
        <v>45961</v>
      </c>
      <c r="C41" s="2" t="s">
        <v>5772</v>
      </c>
      <c r="D41" s="2" t="s">
        <v>5768</v>
      </c>
      <c r="E41" s="23">
        <v>39.5</v>
      </c>
      <c r="F41" s="2">
        <f t="shared" si="0"/>
        <v>4.5</v>
      </c>
      <c r="G41" s="2"/>
    </row>
    <row r="42" spans="2:7" x14ac:dyDescent="0.25">
      <c r="B42" s="4">
        <v>45962</v>
      </c>
      <c r="C42" s="2" t="s">
        <v>5778</v>
      </c>
      <c r="D42" s="2"/>
      <c r="E42" s="23">
        <v>46</v>
      </c>
      <c r="F42" s="2">
        <f t="shared" si="0"/>
        <v>6.5</v>
      </c>
      <c r="G42" s="2"/>
    </row>
    <row r="43" spans="2:7" x14ac:dyDescent="0.25">
      <c r="B43" s="4">
        <v>45963</v>
      </c>
      <c r="C43" s="2" t="s">
        <v>5779</v>
      </c>
      <c r="D43" s="2" t="s">
        <v>5780</v>
      </c>
      <c r="E43" s="23">
        <v>47</v>
      </c>
      <c r="F43" s="2">
        <f t="shared" si="0"/>
        <v>1</v>
      </c>
      <c r="G43" s="2"/>
    </row>
    <row r="44" spans="2:7" x14ac:dyDescent="0.25">
      <c r="B44" s="4">
        <v>45964</v>
      </c>
      <c r="C44" s="2" t="s">
        <v>5788</v>
      </c>
      <c r="D44" s="2"/>
      <c r="E44" s="23">
        <v>49.5</v>
      </c>
      <c r="F44" s="2">
        <f t="shared" si="0"/>
        <v>2.5</v>
      </c>
      <c r="G44" s="2"/>
    </row>
    <row r="45" spans="2:7" x14ac:dyDescent="0.25">
      <c r="B45" s="4">
        <v>45965</v>
      </c>
      <c r="C45" s="2" t="s">
        <v>5795</v>
      </c>
      <c r="D45" s="2" t="s">
        <v>5796</v>
      </c>
      <c r="E45" s="23">
        <v>50</v>
      </c>
      <c r="F45" s="2">
        <f t="shared" si="0"/>
        <v>0.5</v>
      </c>
      <c r="G45" s="2"/>
    </row>
    <row r="46" spans="2:7" x14ac:dyDescent="0.25">
      <c r="B46" s="4">
        <v>45966</v>
      </c>
      <c r="C46" s="2" t="s">
        <v>5061</v>
      </c>
      <c r="D46" s="2"/>
      <c r="E46" s="23">
        <v>50</v>
      </c>
      <c r="F46" s="2">
        <f t="shared" si="0"/>
        <v>0</v>
      </c>
      <c r="G46" s="2"/>
    </row>
    <row r="47" spans="2:7" x14ac:dyDescent="0.25">
      <c r="B47" s="4">
        <v>45967</v>
      </c>
      <c r="C47" s="2" t="s">
        <v>5810</v>
      </c>
      <c r="D47" s="2"/>
      <c r="E47" s="23"/>
      <c r="F47" s="2">
        <f t="shared" si="0"/>
        <v>-50</v>
      </c>
      <c r="G47" s="2"/>
    </row>
    <row r="48" spans="2:7" x14ac:dyDescent="0.25">
      <c r="B48" s="4">
        <v>45968</v>
      </c>
      <c r="C48" s="2" t="s">
        <v>5815</v>
      </c>
      <c r="D48" s="2" t="s">
        <v>5816</v>
      </c>
      <c r="E48" s="23"/>
      <c r="F48" s="2">
        <f t="shared" si="0"/>
        <v>0</v>
      </c>
      <c r="G48" s="2"/>
    </row>
    <row r="49" spans="2:7" x14ac:dyDescent="0.25">
      <c r="B49" s="4">
        <v>45969</v>
      </c>
      <c r="C49" s="2" t="s">
        <v>5832</v>
      </c>
      <c r="D49" s="2"/>
      <c r="E49" s="23"/>
      <c r="F49" s="2">
        <f t="shared" si="0"/>
        <v>0</v>
      </c>
      <c r="G49" s="2"/>
    </row>
    <row r="50" spans="2:7" x14ac:dyDescent="0.25">
      <c r="B50" s="4">
        <v>45970</v>
      </c>
      <c r="C50" s="2" t="s">
        <v>480</v>
      </c>
      <c r="D50" s="2"/>
      <c r="E50" s="23"/>
      <c r="F50" s="2">
        <f t="shared" si="0"/>
        <v>0</v>
      </c>
      <c r="G50" s="2"/>
    </row>
    <row r="51" spans="2:7" x14ac:dyDescent="0.25">
      <c r="B51" s="4">
        <v>45971</v>
      </c>
      <c r="C51" s="2" t="s">
        <v>5833</v>
      </c>
      <c r="D51" s="2" t="s">
        <v>5844</v>
      </c>
      <c r="E51" s="23">
        <v>5</v>
      </c>
      <c r="F51" s="2">
        <f t="shared" si="0"/>
        <v>5</v>
      </c>
      <c r="G51" s="2"/>
    </row>
    <row r="52" spans="2:7" x14ac:dyDescent="0.25">
      <c r="B52" s="4">
        <v>45972</v>
      </c>
      <c r="C52" s="2" t="s">
        <v>5843</v>
      </c>
      <c r="D52" s="2" t="s">
        <v>5845</v>
      </c>
      <c r="E52" s="23">
        <v>8</v>
      </c>
      <c r="F52" s="2">
        <f t="shared" si="0"/>
        <v>3</v>
      </c>
      <c r="G52" s="2"/>
    </row>
    <row r="53" spans="2:7" x14ac:dyDescent="0.25">
      <c r="B53" s="4">
        <v>45973</v>
      </c>
      <c r="C53" s="2" t="s">
        <v>5850</v>
      </c>
      <c r="D53" s="2"/>
      <c r="E53" s="23">
        <v>8</v>
      </c>
      <c r="F53" s="2">
        <f t="shared" si="0"/>
        <v>0</v>
      </c>
      <c r="G53" s="2"/>
    </row>
    <row r="54" spans="2:7" x14ac:dyDescent="0.25">
      <c r="B54" s="4">
        <v>45974</v>
      </c>
      <c r="C54" s="2" t="s">
        <v>5857</v>
      </c>
      <c r="D54" s="2" t="s">
        <v>5861</v>
      </c>
      <c r="E54" s="23">
        <v>15.5</v>
      </c>
      <c r="F54" s="2">
        <f t="shared" si="0"/>
        <v>7.5</v>
      </c>
      <c r="G54" s="2"/>
    </row>
    <row r="55" spans="2:7" x14ac:dyDescent="0.25">
      <c r="B55" s="4">
        <v>45975</v>
      </c>
      <c r="C55" s="2" t="s">
        <v>5862</v>
      </c>
      <c r="D55" s="2" t="s">
        <v>5863</v>
      </c>
      <c r="E55" s="23">
        <v>16</v>
      </c>
      <c r="F55" s="2">
        <f t="shared" si="0"/>
        <v>0.5</v>
      </c>
      <c r="G55" s="2"/>
    </row>
    <row r="56" spans="2:7" x14ac:dyDescent="0.25">
      <c r="B56" s="4">
        <v>45976</v>
      </c>
      <c r="C56" s="2" t="s">
        <v>5872</v>
      </c>
      <c r="D56" s="2"/>
      <c r="E56" s="23">
        <v>16</v>
      </c>
      <c r="F56" s="2">
        <f t="shared" si="0"/>
        <v>0</v>
      </c>
      <c r="G56" s="2"/>
    </row>
    <row r="57" spans="2:7" x14ac:dyDescent="0.25">
      <c r="B57" s="4">
        <v>45977</v>
      </c>
      <c r="C57" s="2" t="s">
        <v>5862</v>
      </c>
      <c r="D57" s="2"/>
      <c r="E57" s="23">
        <v>16</v>
      </c>
      <c r="F57" s="2">
        <f t="shared" si="0"/>
        <v>0</v>
      </c>
      <c r="G57" s="2"/>
    </row>
    <row r="58" spans="2:7" x14ac:dyDescent="0.25">
      <c r="B58" s="4">
        <v>45978</v>
      </c>
      <c r="C58" s="2" t="s">
        <v>5880</v>
      </c>
      <c r="D58" s="2" t="s">
        <v>5884</v>
      </c>
      <c r="E58" s="23">
        <v>16</v>
      </c>
      <c r="F58" s="2">
        <f t="shared" si="0"/>
        <v>0</v>
      </c>
      <c r="G58" s="2"/>
    </row>
    <row r="59" spans="2:7" x14ac:dyDescent="0.25">
      <c r="B59" s="4">
        <v>45979</v>
      </c>
      <c r="C59" s="2" t="s">
        <v>5901</v>
      </c>
      <c r="D59" s="2"/>
      <c r="E59" s="23">
        <v>16</v>
      </c>
      <c r="F59" s="2">
        <f t="shared" si="0"/>
        <v>0</v>
      </c>
      <c r="G59" s="2"/>
    </row>
    <row r="60" spans="2:7" x14ac:dyDescent="0.25">
      <c r="B60" s="4">
        <v>45980</v>
      </c>
      <c r="C60" s="2" t="s">
        <v>5921</v>
      </c>
      <c r="D60" s="2" t="s">
        <v>656</v>
      </c>
      <c r="E60" s="23">
        <v>10</v>
      </c>
      <c r="F60" s="2">
        <f t="shared" si="0"/>
        <v>-6</v>
      </c>
      <c r="G60" s="2"/>
    </row>
    <row r="61" spans="2:7" x14ac:dyDescent="0.25">
      <c r="B61" s="4">
        <v>45981</v>
      </c>
      <c r="C61" s="2" t="s">
        <v>5929</v>
      </c>
      <c r="D61" s="2"/>
      <c r="E61" s="23">
        <v>10</v>
      </c>
      <c r="F61" s="2">
        <f t="shared" si="0"/>
        <v>0</v>
      </c>
      <c r="G61" s="2"/>
    </row>
    <row r="62" spans="2:7" x14ac:dyDescent="0.25">
      <c r="B62" s="4">
        <v>45982</v>
      </c>
      <c r="C62" s="2" t="s">
        <v>5945</v>
      </c>
      <c r="D62" s="2" t="s">
        <v>5073</v>
      </c>
      <c r="E62" s="23">
        <v>10</v>
      </c>
      <c r="F62" s="2">
        <f t="shared" si="0"/>
        <v>0</v>
      </c>
      <c r="G62" s="2"/>
    </row>
    <row r="63" spans="2:7" x14ac:dyDescent="0.25">
      <c r="B63" s="4">
        <v>45983</v>
      </c>
      <c r="C63" s="2" t="s">
        <v>5945</v>
      </c>
      <c r="D63" s="2" t="s">
        <v>5946</v>
      </c>
      <c r="E63" s="23">
        <v>10</v>
      </c>
      <c r="F63" s="2">
        <f t="shared" si="0"/>
        <v>0</v>
      </c>
      <c r="G63" s="2"/>
    </row>
    <row r="64" spans="2:7" x14ac:dyDescent="0.25">
      <c r="B64" s="4">
        <v>45984</v>
      </c>
      <c r="C64" s="2" t="s">
        <v>5952</v>
      </c>
      <c r="D64" s="2" t="s">
        <v>5953</v>
      </c>
      <c r="E64" s="23">
        <v>10</v>
      </c>
      <c r="F64" s="2">
        <f t="shared" si="0"/>
        <v>0</v>
      </c>
      <c r="G64" s="2"/>
    </row>
    <row r="65" spans="2:7" x14ac:dyDescent="0.25">
      <c r="B65" s="4">
        <v>45985</v>
      </c>
      <c r="C65" s="2" t="s">
        <v>5952</v>
      </c>
      <c r="D65" s="2" t="s">
        <v>5959</v>
      </c>
      <c r="E65" s="23">
        <v>10</v>
      </c>
      <c r="F65" s="2">
        <f t="shared" si="0"/>
        <v>0</v>
      </c>
      <c r="G65" s="2"/>
    </row>
    <row r="66" spans="2:7" x14ac:dyDescent="0.25">
      <c r="B66" s="4">
        <v>45986</v>
      </c>
      <c r="C66" s="2" t="s">
        <v>5971</v>
      </c>
      <c r="D66" s="2"/>
      <c r="E66" s="23">
        <v>10</v>
      </c>
      <c r="F66" s="2">
        <f t="shared" si="0"/>
        <v>0</v>
      </c>
      <c r="G66" s="2"/>
    </row>
    <row r="67" spans="2:7" x14ac:dyDescent="0.25">
      <c r="B67" s="4">
        <v>45987</v>
      </c>
      <c r="C67" s="2" t="s">
        <v>5976</v>
      </c>
      <c r="D67" s="2" t="s">
        <v>5977</v>
      </c>
      <c r="E67" s="23">
        <v>11</v>
      </c>
      <c r="F67" s="2">
        <f t="shared" si="0"/>
        <v>1</v>
      </c>
      <c r="G67" s="2"/>
    </row>
    <row r="68" spans="2:7" x14ac:dyDescent="0.25">
      <c r="B68" s="4">
        <v>45988</v>
      </c>
      <c r="C68" s="2" t="s">
        <v>5986</v>
      </c>
      <c r="D68" s="2"/>
      <c r="E68" s="23"/>
      <c r="F68" s="2">
        <f t="shared" si="0"/>
        <v>-11</v>
      </c>
      <c r="G68" s="2"/>
    </row>
    <row r="69" spans="2:7" x14ac:dyDescent="0.25">
      <c r="B69" s="4">
        <v>45989</v>
      </c>
      <c r="C69" s="2" t="s">
        <v>5997</v>
      </c>
      <c r="D69" s="2"/>
      <c r="E69" s="23"/>
      <c r="F69" s="2">
        <f t="shared" si="0"/>
        <v>0</v>
      </c>
      <c r="G69" s="2"/>
    </row>
    <row r="70" spans="2:7" x14ac:dyDescent="0.25">
      <c r="B70" s="4">
        <v>45990</v>
      </c>
      <c r="C70" s="2" t="s">
        <v>6003</v>
      </c>
      <c r="D70" s="2"/>
      <c r="E70" s="23">
        <v>11.5</v>
      </c>
      <c r="F70" s="2">
        <f t="shared" si="0"/>
        <v>11.5</v>
      </c>
      <c r="G70" s="2"/>
    </row>
    <row r="71" spans="2:7" x14ac:dyDescent="0.25">
      <c r="B71" s="4">
        <v>45991</v>
      </c>
      <c r="C71" s="2" t="s">
        <v>6011</v>
      </c>
      <c r="D71" s="2"/>
      <c r="E71" s="23">
        <v>11.5</v>
      </c>
      <c r="F71" s="2">
        <f t="shared" si="0"/>
        <v>0</v>
      </c>
      <c r="G71" s="2"/>
    </row>
    <row r="72" spans="2:7" x14ac:dyDescent="0.25">
      <c r="B72" s="4">
        <v>45992</v>
      </c>
      <c r="C72" s="2" t="s">
        <v>6020</v>
      </c>
      <c r="D72" s="2" t="s">
        <v>6021</v>
      </c>
      <c r="E72" s="23">
        <v>12</v>
      </c>
      <c r="F72" s="2">
        <f t="shared" si="0"/>
        <v>0.5</v>
      </c>
      <c r="G72" s="2"/>
    </row>
    <row r="73" spans="2:7" x14ac:dyDescent="0.25">
      <c r="B73" s="4">
        <v>45993</v>
      </c>
      <c r="C73" s="2" t="s">
        <v>6033</v>
      </c>
      <c r="D73" s="2"/>
      <c r="E73" s="23"/>
      <c r="F73" s="2">
        <f t="shared" si="0"/>
        <v>-12</v>
      </c>
      <c r="G73" s="2"/>
    </row>
    <row r="74" spans="2:7" x14ac:dyDescent="0.25">
      <c r="B74" s="4">
        <v>45994</v>
      </c>
      <c r="C74" s="2" t="s">
        <v>6041</v>
      </c>
      <c r="D74" s="2"/>
      <c r="E74" s="23"/>
      <c r="F74" s="2">
        <f t="shared" si="0"/>
        <v>0</v>
      </c>
      <c r="G74" s="2"/>
    </row>
    <row r="75" spans="2:7" x14ac:dyDescent="0.25">
      <c r="B75" s="4">
        <v>45995</v>
      </c>
      <c r="C75" s="2" t="s">
        <v>6047</v>
      </c>
      <c r="D75" s="2"/>
      <c r="E75" s="23"/>
      <c r="F75" s="2">
        <f t="shared" si="0"/>
        <v>0</v>
      </c>
      <c r="G75" s="2"/>
    </row>
    <row r="76" spans="2:7" x14ac:dyDescent="0.25">
      <c r="B76" s="4">
        <v>45996</v>
      </c>
      <c r="C76" s="2" t="s">
        <v>279</v>
      </c>
      <c r="D76" s="2" t="s">
        <v>5329</v>
      </c>
      <c r="E76" s="23"/>
      <c r="F76" s="2">
        <f t="shared" si="0"/>
        <v>0</v>
      </c>
      <c r="G76" s="2"/>
    </row>
    <row r="77" spans="2:7" x14ac:dyDescent="0.25">
      <c r="B77" s="4">
        <v>45997</v>
      </c>
      <c r="C77" s="2" t="s">
        <v>6061</v>
      </c>
      <c r="D77" s="2"/>
      <c r="E77" s="23"/>
      <c r="F77" s="2">
        <f t="shared" si="0"/>
        <v>0</v>
      </c>
      <c r="G77" s="2"/>
    </row>
    <row r="78" spans="2:7" x14ac:dyDescent="0.25">
      <c r="B78" s="4">
        <v>45998</v>
      </c>
      <c r="C78" s="2" t="s">
        <v>6069</v>
      </c>
      <c r="D78" s="2"/>
      <c r="E78" s="23"/>
      <c r="F78" s="2">
        <f t="shared" si="0"/>
        <v>0</v>
      </c>
      <c r="G78" s="2"/>
    </row>
    <row r="79" spans="2:7" x14ac:dyDescent="0.25">
      <c r="B79" s="4">
        <v>45999</v>
      </c>
      <c r="C79" s="2" t="s">
        <v>6081</v>
      </c>
      <c r="D79" s="2"/>
      <c r="E79" s="23"/>
      <c r="F79" s="2">
        <f t="shared" si="0"/>
        <v>0</v>
      </c>
      <c r="G79" s="2"/>
    </row>
    <row r="80" spans="2:7" x14ac:dyDescent="0.25">
      <c r="B80" s="4">
        <v>46000</v>
      </c>
      <c r="C80" s="2" t="s">
        <v>6084</v>
      </c>
      <c r="D80" s="2" t="s">
        <v>5562</v>
      </c>
      <c r="E80" s="23"/>
      <c r="F80" s="2">
        <f t="shared" si="0"/>
        <v>0</v>
      </c>
      <c r="G80" s="2"/>
    </row>
    <row r="81" spans="2:7" x14ac:dyDescent="0.25">
      <c r="B81" s="4">
        <v>46001</v>
      </c>
      <c r="C81" s="2" t="s">
        <v>6091</v>
      </c>
      <c r="D81" s="2"/>
      <c r="E81" s="23">
        <v>9</v>
      </c>
      <c r="F81" s="2">
        <f t="shared" si="0"/>
        <v>9</v>
      </c>
      <c r="G81" s="2"/>
    </row>
    <row r="82" spans="2:7" x14ac:dyDescent="0.25">
      <c r="B82" s="4">
        <v>46002</v>
      </c>
      <c r="C82" s="2" t="s">
        <v>6097</v>
      </c>
      <c r="D82" s="2"/>
      <c r="E82" s="23"/>
      <c r="F82" s="2">
        <f t="shared" si="0"/>
        <v>-9</v>
      </c>
      <c r="G82" s="2"/>
    </row>
    <row r="83" spans="2:7" x14ac:dyDescent="0.25">
      <c r="B83" s="4">
        <v>46003</v>
      </c>
      <c r="C83" s="2" t="s">
        <v>6126</v>
      </c>
      <c r="D83" s="2"/>
      <c r="E83" s="23"/>
      <c r="F83" s="2">
        <f t="shared" si="0"/>
        <v>0</v>
      </c>
      <c r="G83" s="2"/>
    </row>
    <row r="84" spans="2:7" x14ac:dyDescent="0.25">
      <c r="B84" s="4">
        <v>46004</v>
      </c>
      <c r="C84" s="2" t="s">
        <v>6127</v>
      </c>
      <c r="D84" s="2"/>
      <c r="E84" s="23"/>
      <c r="F84" s="2">
        <f t="shared" si="0"/>
        <v>0</v>
      </c>
      <c r="G84" s="2"/>
    </row>
    <row r="85" spans="2:7" x14ac:dyDescent="0.25">
      <c r="B85" s="4">
        <v>46005</v>
      </c>
      <c r="C85" s="2" t="s">
        <v>6128</v>
      </c>
      <c r="D85" s="2"/>
      <c r="E85" s="23"/>
      <c r="F85" s="2">
        <f t="shared" si="0"/>
        <v>0</v>
      </c>
      <c r="G85" s="2"/>
    </row>
    <row r="86" spans="2:7" x14ac:dyDescent="0.25">
      <c r="B86" s="4">
        <v>46006</v>
      </c>
      <c r="C86" s="2" t="s">
        <v>480</v>
      </c>
      <c r="D86" s="2"/>
      <c r="E86" s="23"/>
      <c r="F86" s="2">
        <f t="shared" si="0"/>
        <v>0</v>
      </c>
      <c r="G86" s="2"/>
    </row>
    <row r="87" spans="2:7" x14ac:dyDescent="0.25">
      <c r="B87" s="4">
        <v>46007</v>
      </c>
      <c r="C87" s="2" t="s">
        <v>480</v>
      </c>
      <c r="D87" s="2"/>
      <c r="E87" s="23"/>
      <c r="F87" s="2">
        <f t="shared" si="0"/>
        <v>0</v>
      </c>
      <c r="G87" s="2"/>
    </row>
    <row r="88" spans="2:7" x14ac:dyDescent="0.25">
      <c r="B88" s="4">
        <v>46008</v>
      </c>
      <c r="C88" s="2" t="s">
        <v>6139</v>
      </c>
      <c r="D88" s="2"/>
      <c r="E88" s="23"/>
      <c r="F88" s="2">
        <f t="shared" si="0"/>
        <v>0</v>
      </c>
      <c r="G88" s="2"/>
    </row>
    <row r="89" spans="2:7" x14ac:dyDescent="0.25">
      <c r="B89" s="4">
        <v>46009</v>
      </c>
      <c r="C89" s="2" t="s">
        <v>480</v>
      </c>
      <c r="D89" s="2"/>
      <c r="E89" s="23"/>
      <c r="F89" s="2">
        <f t="shared" si="0"/>
        <v>0</v>
      </c>
      <c r="G89" s="2"/>
    </row>
    <row r="90" spans="2:7" x14ac:dyDescent="0.25">
      <c r="B90" s="4">
        <v>46010</v>
      </c>
      <c r="C90" s="2" t="s">
        <v>480</v>
      </c>
      <c r="D90" s="2"/>
      <c r="E90" s="23"/>
      <c r="F90" s="2">
        <f t="shared" si="0"/>
        <v>0</v>
      </c>
      <c r="G90" s="2"/>
    </row>
    <row r="91" spans="2:7" x14ac:dyDescent="0.25">
      <c r="B91" s="4">
        <v>46011</v>
      </c>
      <c r="C91" s="2" t="s">
        <v>480</v>
      </c>
      <c r="D91" s="2"/>
      <c r="E91" s="23"/>
      <c r="F91" s="2">
        <f t="shared" si="0"/>
        <v>0</v>
      </c>
      <c r="G91" s="2"/>
    </row>
    <row r="92" spans="2:7" x14ac:dyDescent="0.25">
      <c r="B92" s="4">
        <v>46012</v>
      </c>
      <c r="C92" s="2" t="s">
        <v>480</v>
      </c>
      <c r="D92" s="2"/>
      <c r="E92" s="23"/>
      <c r="F92" s="2">
        <f t="shared" si="0"/>
        <v>0</v>
      </c>
      <c r="G92" s="2"/>
    </row>
    <row r="93" spans="2:7" x14ac:dyDescent="0.25">
      <c r="B93" s="4">
        <v>46013</v>
      </c>
      <c r="C93" s="2" t="s">
        <v>480</v>
      </c>
      <c r="D93" s="2"/>
      <c r="E93" s="23"/>
      <c r="F93" s="2">
        <f t="shared" si="0"/>
        <v>0</v>
      </c>
      <c r="G93" s="2"/>
    </row>
    <row r="94" spans="2:7" x14ac:dyDescent="0.25">
      <c r="B94" s="4">
        <v>46014</v>
      </c>
      <c r="C94" s="2"/>
      <c r="D94" s="2"/>
      <c r="E94" s="23"/>
      <c r="F94" s="2">
        <f t="shared" si="0"/>
        <v>0</v>
      </c>
      <c r="G94" s="2"/>
    </row>
    <row r="95" spans="2:7" x14ac:dyDescent="0.25">
      <c r="B95" s="4">
        <v>46015</v>
      </c>
      <c r="C95" s="2"/>
      <c r="D95" s="2"/>
      <c r="E95" s="23"/>
      <c r="F95" s="2">
        <f t="shared" si="0"/>
        <v>0</v>
      </c>
      <c r="G95" s="2"/>
    </row>
    <row r="96" spans="2:7" x14ac:dyDescent="0.25">
      <c r="B96" s="4">
        <v>46016</v>
      </c>
      <c r="C96" s="2"/>
      <c r="D96" s="2"/>
      <c r="E96" s="2"/>
      <c r="F96" s="2"/>
      <c r="G96" s="2"/>
    </row>
    <row r="97" spans="2:7" x14ac:dyDescent="0.25">
      <c r="B97" s="4">
        <v>46017</v>
      </c>
      <c r="C97" s="2"/>
      <c r="D97" s="2"/>
      <c r="E97" s="2"/>
      <c r="F97" s="2"/>
      <c r="G97" s="2"/>
    </row>
    <row r="98" spans="2:7" x14ac:dyDescent="0.25">
      <c r="B98" s="4">
        <v>46018</v>
      </c>
      <c r="C98" s="2"/>
      <c r="D98" s="2"/>
      <c r="E98" s="2"/>
      <c r="F98" s="2"/>
      <c r="G98" s="2"/>
    </row>
    <row r="99" spans="2:7" x14ac:dyDescent="0.25">
      <c r="B99" s="4">
        <v>46019</v>
      </c>
      <c r="C99" s="2"/>
      <c r="D99" s="2"/>
      <c r="E99" s="2"/>
      <c r="F99" s="2"/>
      <c r="G99" s="2"/>
    </row>
    <row r="100" spans="2:7" x14ac:dyDescent="0.25">
      <c r="B100" s="4">
        <v>46020</v>
      </c>
      <c r="C100" s="2"/>
      <c r="D100" s="2"/>
      <c r="E100" s="2"/>
      <c r="F100" s="2"/>
      <c r="G100" s="2"/>
    </row>
    <row r="101" spans="2:7" x14ac:dyDescent="0.25">
      <c r="B101" s="4">
        <v>46021</v>
      </c>
      <c r="C101" s="2"/>
      <c r="D101" s="2"/>
      <c r="E101" s="2"/>
      <c r="F101" s="2"/>
      <c r="G101" s="2"/>
    </row>
    <row r="102" spans="2:7" x14ac:dyDescent="0.25">
      <c r="B102" s="4">
        <v>46022</v>
      </c>
      <c r="C102" s="2"/>
      <c r="D102" s="2"/>
      <c r="E102" s="2"/>
      <c r="F102" s="2"/>
      <c r="G102" s="2"/>
    </row>
    <row r="103" spans="2:7" x14ac:dyDescent="0.25">
      <c r="B103" s="4">
        <v>46023</v>
      </c>
      <c r="C103" s="2"/>
      <c r="D103" s="2"/>
      <c r="E103" s="2"/>
      <c r="F103" s="2"/>
      <c r="G103" s="2"/>
    </row>
    <row r="104" spans="2:7" x14ac:dyDescent="0.25">
      <c r="B104" s="4">
        <v>46024</v>
      </c>
      <c r="C104" s="2"/>
      <c r="D104" s="2"/>
      <c r="E104" s="2"/>
      <c r="F104" s="2"/>
      <c r="G104" s="2"/>
    </row>
    <row r="105" spans="2:7" x14ac:dyDescent="0.25">
      <c r="B105" s="4">
        <v>46025</v>
      </c>
      <c r="C105" s="2"/>
      <c r="D105" s="2"/>
      <c r="E105" s="2"/>
      <c r="F105" s="2"/>
      <c r="G105" s="2"/>
    </row>
    <row r="106" spans="2:7" x14ac:dyDescent="0.25">
      <c r="B106" s="4">
        <v>46026</v>
      </c>
      <c r="C106" s="2"/>
      <c r="D106" s="2"/>
      <c r="E106" s="2"/>
      <c r="F106" s="2"/>
      <c r="G106" s="2"/>
    </row>
    <row r="107" spans="2:7" x14ac:dyDescent="0.25">
      <c r="B107" s="4">
        <v>46027</v>
      </c>
      <c r="C107" s="2"/>
      <c r="D107" s="2"/>
      <c r="E107" s="2"/>
      <c r="F107" s="2"/>
      <c r="G107" s="2"/>
    </row>
    <row r="108" spans="2:7" x14ac:dyDescent="0.25">
      <c r="B108" s="4">
        <v>46028</v>
      </c>
      <c r="C108" s="2"/>
      <c r="D108" s="2"/>
      <c r="E108" s="2"/>
      <c r="F108" s="2"/>
      <c r="G108" s="2"/>
    </row>
    <row r="109" spans="2:7" x14ac:dyDescent="0.25">
      <c r="B109" s="4">
        <v>46029</v>
      </c>
      <c r="C109" s="2"/>
      <c r="D109" s="2"/>
      <c r="E109" s="2"/>
      <c r="F109" s="2"/>
      <c r="G109" s="2"/>
    </row>
    <row r="110" spans="2:7" x14ac:dyDescent="0.25">
      <c r="B110" s="4">
        <v>46030</v>
      </c>
      <c r="C110" s="2"/>
      <c r="D110" s="2"/>
      <c r="E110" s="2"/>
      <c r="F110" s="2"/>
      <c r="G110" s="2"/>
    </row>
    <row r="111" spans="2:7" x14ac:dyDescent="0.25">
      <c r="B111" s="4">
        <v>46031</v>
      </c>
      <c r="C111" s="2" t="s">
        <v>6295</v>
      </c>
      <c r="D111" s="2"/>
      <c r="E111" s="2"/>
      <c r="F111" s="2"/>
      <c r="G111" s="2"/>
    </row>
    <row r="112" spans="2:7" x14ac:dyDescent="0.25">
      <c r="B112" s="4">
        <v>46032</v>
      </c>
      <c r="C112" s="2" t="s">
        <v>6296</v>
      </c>
      <c r="D112" s="2"/>
      <c r="E112" s="2"/>
      <c r="F112" s="2"/>
      <c r="G112" s="2"/>
    </row>
    <row r="113" spans="2:7" x14ac:dyDescent="0.25">
      <c r="B113" s="4">
        <v>46033</v>
      </c>
      <c r="C113" s="2" t="s">
        <v>5413</v>
      </c>
      <c r="D113" s="2"/>
      <c r="E113" s="2"/>
      <c r="F113" s="2"/>
      <c r="G113" s="2"/>
    </row>
    <row r="114" spans="2:7" x14ac:dyDescent="0.25">
      <c r="B114" s="4">
        <v>46034</v>
      </c>
      <c r="C114" s="2" t="s">
        <v>6315</v>
      </c>
      <c r="D114" s="2"/>
      <c r="E114" s="2"/>
      <c r="F114" s="2"/>
      <c r="G114" s="2"/>
    </row>
    <row r="115" spans="2:7" x14ac:dyDescent="0.25">
      <c r="B115" s="4">
        <v>46035</v>
      </c>
      <c r="C115" s="2" t="s">
        <v>6324</v>
      </c>
      <c r="D115" s="2"/>
      <c r="E115" s="2"/>
      <c r="F115" s="2"/>
      <c r="G115" s="2"/>
    </row>
    <row r="116" spans="2:7" x14ac:dyDescent="0.25">
      <c r="B116" s="4">
        <v>46036</v>
      </c>
      <c r="C116" s="2" t="s">
        <v>5645</v>
      </c>
      <c r="D116" s="2"/>
      <c r="E116" s="2"/>
      <c r="F116" s="2"/>
      <c r="G116" s="2"/>
    </row>
    <row r="117" spans="2:7" x14ac:dyDescent="0.25">
      <c r="B117" s="4">
        <v>46037</v>
      </c>
      <c r="C117" s="2" t="s">
        <v>6341</v>
      </c>
      <c r="D117" s="2"/>
      <c r="E117" s="2"/>
      <c r="F117" s="2"/>
      <c r="G117" s="2"/>
    </row>
    <row r="118" spans="2:7" x14ac:dyDescent="0.25">
      <c r="B118" s="4">
        <v>46038</v>
      </c>
      <c r="C118" s="2" t="s">
        <v>6342</v>
      </c>
      <c r="D118" s="2"/>
      <c r="E118" s="2"/>
      <c r="F118" s="2"/>
      <c r="G118" s="2"/>
    </row>
    <row r="119" spans="2:7" x14ac:dyDescent="0.25">
      <c r="B119" s="4">
        <v>46039</v>
      </c>
      <c r="C119" s="2" t="s">
        <v>4825</v>
      </c>
      <c r="D119" s="2"/>
      <c r="E119" s="2"/>
      <c r="F119" s="2"/>
      <c r="G119" s="2"/>
    </row>
    <row r="120" spans="2:7" x14ac:dyDescent="0.25">
      <c r="B120" s="4">
        <v>46040</v>
      </c>
      <c r="C120" s="2" t="s">
        <v>6353</v>
      </c>
      <c r="D120" s="2"/>
      <c r="E120" s="2"/>
      <c r="F120" s="2"/>
      <c r="G120" s="2"/>
    </row>
    <row r="121" spans="2:7" x14ac:dyDescent="0.25">
      <c r="B121" s="4">
        <v>46041</v>
      </c>
      <c r="C121" s="2" t="s">
        <v>6359</v>
      </c>
      <c r="D121" s="2" t="s">
        <v>6360</v>
      </c>
      <c r="E121" s="2"/>
      <c r="F121" s="2"/>
      <c r="G121" s="2"/>
    </row>
    <row r="122" spans="2:7" x14ac:dyDescent="0.25">
      <c r="B122" s="4">
        <v>46042</v>
      </c>
      <c r="C122" s="2" t="s">
        <v>6363</v>
      </c>
      <c r="D122" s="2"/>
      <c r="E122" s="2"/>
      <c r="F122" s="2"/>
      <c r="G122" s="2"/>
    </row>
    <row r="123" spans="2:7" x14ac:dyDescent="0.25">
      <c r="B123" s="4">
        <v>46043</v>
      </c>
      <c r="C123" s="2" t="s">
        <v>6372</v>
      </c>
      <c r="D123" s="2" t="s">
        <v>6373</v>
      </c>
      <c r="E123" s="2"/>
      <c r="F123" s="2"/>
      <c r="G123" s="2"/>
    </row>
    <row r="124" spans="2:7" x14ac:dyDescent="0.25">
      <c r="B124" s="4">
        <v>46044</v>
      </c>
      <c r="C124" s="2" t="s">
        <v>6379</v>
      </c>
      <c r="D124" s="2"/>
      <c r="E124" s="2"/>
      <c r="F124" s="2"/>
      <c r="G124" s="2"/>
    </row>
    <row r="125" spans="2:7" x14ac:dyDescent="0.25">
      <c r="B125" s="4">
        <v>46045</v>
      </c>
      <c r="C125" s="2" t="s">
        <v>6387</v>
      </c>
      <c r="D125" s="2" t="s">
        <v>6388</v>
      </c>
      <c r="E125" s="2"/>
      <c r="F125" s="2"/>
      <c r="G125" s="2"/>
    </row>
    <row r="126" spans="2:7" x14ac:dyDescent="0.25">
      <c r="B126" s="4">
        <v>46046</v>
      </c>
      <c r="C126" s="2" t="s">
        <v>6393</v>
      </c>
      <c r="D126" s="2"/>
      <c r="E126" s="2"/>
      <c r="F126" s="2"/>
      <c r="G126" s="2"/>
    </row>
    <row r="127" spans="2:7" x14ac:dyDescent="0.25">
      <c r="B127" s="4">
        <v>46047</v>
      </c>
      <c r="C127" s="2" t="s">
        <v>6393</v>
      </c>
      <c r="D127" s="2" t="s">
        <v>6401</v>
      </c>
      <c r="E127" s="2"/>
      <c r="F127" s="2"/>
      <c r="G127" s="2"/>
    </row>
    <row r="128" spans="2:7" x14ac:dyDescent="0.25">
      <c r="B128" s="4">
        <v>46048</v>
      </c>
      <c r="C128" s="2" t="s">
        <v>6393</v>
      </c>
      <c r="D128" s="2"/>
      <c r="E128" s="2"/>
      <c r="F128" s="2"/>
      <c r="G128" s="2"/>
    </row>
    <row r="129" spans="2:7" x14ac:dyDescent="0.25">
      <c r="B129" s="4">
        <v>46049</v>
      </c>
      <c r="C129" s="2" t="s">
        <v>6393</v>
      </c>
      <c r="D129" s="2"/>
      <c r="E129" s="2"/>
      <c r="F129" s="2"/>
      <c r="G129" s="2"/>
    </row>
    <row r="130" spans="2:7" x14ac:dyDescent="0.25">
      <c r="B130" s="4">
        <v>46050</v>
      </c>
      <c r="C130" s="2" t="s">
        <v>6413</v>
      </c>
      <c r="D130" s="2" t="s">
        <v>6408</v>
      </c>
      <c r="E130" s="2">
        <v>2</v>
      </c>
      <c r="F130" s="2">
        <f>E130-E129</f>
        <v>2</v>
      </c>
      <c r="G130" s="2"/>
    </row>
    <row r="131" spans="2:7" x14ac:dyDescent="0.25">
      <c r="B131" s="4">
        <v>46051</v>
      </c>
      <c r="C131" s="2" t="s">
        <v>6414</v>
      </c>
      <c r="D131" s="2" t="s">
        <v>6412</v>
      </c>
      <c r="E131" s="2">
        <v>3</v>
      </c>
      <c r="F131" s="2">
        <f t="shared" ref="F131:F194" si="1">E131-E130</f>
        <v>1</v>
      </c>
      <c r="G131" s="2"/>
    </row>
    <row r="132" spans="2:7" x14ac:dyDescent="0.25">
      <c r="B132" s="4">
        <v>46052</v>
      </c>
      <c r="C132" s="2" t="s">
        <v>6414</v>
      </c>
      <c r="D132" s="2" t="s">
        <v>6422</v>
      </c>
      <c r="E132" s="2">
        <v>3</v>
      </c>
      <c r="F132" s="2">
        <f t="shared" si="1"/>
        <v>0</v>
      </c>
      <c r="G132" s="2"/>
    </row>
    <row r="133" spans="2:7" x14ac:dyDescent="0.25">
      <c r="B133" s="4">
        <v>46053</v>
      </c>
      <c r="C133" s="2" t="s">
        <v>6434</v>
      </c>
      <c r="D133" s="2"/>
      <c r="E133" s="2">
        <v>8</v>
      </c>
      <c r="F133" s="2">
        <f t="shared" si="1"/>
        <v>5</v>
      </c>
      <c r="G133" s="2"/>
    </row>
    <row r="134" spans="2:7" x14ac:dyDescent="0.25">
      <c r="B134" s="4">
        <v>46054</v>
      </c>
      <c r="C134" s="2" t="s">
        <v>6425</v>
      </c>
      <c r="D134" s="2"/>
      <c r="E134" s="2">
        <v>15</v>
      </c>
      <c r="F134" s="2">
        <f t="shared" si="1"/>
        <v>7</v>
      </c>
      <c r="G134" s="2"/>
    </row>
    <row r="135" spans="2:7" x14ac:dyDescent="0.25">
      <c r="B135" s="4">
        <v>46055</v>
      </c>
      <c r="C135" s="2" t="s">
        <v>6435</v>
      </c>
      <c r="D135" s="2"/>
      <c r="E135" s="2">
        <v>20</v>
      </c>
      <c r="F135" s="2">
        <f t="shared" si="1"/>
        <v>5</v>
      </c>
      <c r="G135" s="2"/>
    </row>
    <row r="136" spans="2:7" x14ac:dyDescent="0.25">
      <c r="B136" s="4">
        <v>46056</v>
      </c>
      <c r="C136" s="2" t="s">
        <v>6441</v>
      </c>
      <c r="D136" s="2" t="s">
        <v>6442</v>
      </c>
      <c r="E136" s="2">
        <v>21</v>
      </c>
      <c r="F136" s="2">
        <f t="shared" si="1"/>
        <v>1</v>
      </c>
      <c r="G136" s="2"/>
    </row>
    <row r="137" spans="2:7" x14ac:dyDescent="0.25">
      <c r="B137" s="4">
        <v>46057</v>
      </c>
      <c r="C137" s="2" t="s">
        <v>6459</v>
      </c>
      <c r="D137" s="2"/>
      <c r="E137" s="2">
        <v>26</v>
      </c>
      <c r="F137" s="2">
        <f t="shared" si="1"/>
        <v>5</v>
      </c>
      <c r="G137" s="2"/>
    </row>
    <row r="138" spans="2:7" x14ac:dyDescent="0.25">
      <c r="B138" s="4">
        <v>46058</v>
      </c>
      <c r="C138" s="2" t="s">
        <v>6460</v>
      </c>
      <c r="D138" s="2"/>
      <c r="E138" s="2">
        <v>31</v>
      </c>
      <c r="F138" s="2">
        <f t="shared" si="1"/>
        <v>5</v>
      </c>
      <c r="G138" s="2"/>
    </row>
    <row r="139" spans="2:7" x14ac:dyDescent="0.25">
      <c r="B139" s="4">
        <v>46059</v>
      </c>
      <c r="C139" s="2" t="s">
        <v>6464</v>
      </c>
      <c r="D139" s="2"/>
      <c r="E139" s="2">
        <v>36</v>
      </c>
      <c r="F139" s="2">
        <f t="shared" si="1"/>
        <v>5</v>
      </c>
      <c r="G139" s="2"/>
    </row>
    <row r="140" spans="2:7" x14ac:dyDescent="0.25">
      <c r="B140" s="4">
        <v>46060</v>
      </c>
      <c r="C140" s="2" t="s">
        <v>6470</v>
      </c>
      <c r="D140" s="2"/>
      <c r="E140" s="2">
        <v>38.5</v>
      </c>
      <c r="F140" s="2">
        <f t="shared" si="1"/>
        <v>2.5</v>
      </c>
      <c r="G140" s="2"/>
    </row>
    <row r="141" spans="2:7" x14ac:dyDescent="0.25">
      <c r="B141" s="4">
        <v>46061</v>
      </c>
      <c r="C141" s="2" t="s">
        <v>6471</v>
      </c>
      <c r="D141" s="2" t="s">
        <v>6472</v>
      </c>
      <c r="E141" s="2">
        <v>39.5</v>
      </c>
      <c r="F141" s="2">
        <f t="shared" si="1"/>
        <v>1</v>
      </c>
      <c r="G141" s="2"/>
    </row>
    <row r="142" spans="2:7" x14ac:dyDescent="0.25">
      <c r="B142" s="4">
        <v>46062</v>
      </c>
      <c r="C142" s="2" t="s">
        <v>6471</v>
      </c>
      <c r="D142" s="2" t="s">
        <v>2673</v>
      </c>
      <c r="E142" s="2">
        <v>39.5</v>
      </c>
      <c r="F142" s="2">
        <f t="shared" si="1"/>
        <v>0</v>
      </c>
      <c r="G142" s="2"/>
    </row>
    <row r="143" spans="2:7" x14ac:dyDescent="0.25">
      <c r="B143" s="4">
        <v>46063</v>
      </c>
      <c r="C143" s="2" t="s">
        <v>6486</v>
      </c>
      <c r="D143" s="2" t="s">
        <v>5804</v>
      </c>
      <c r="E143" s="2">
        <v>40</v>
      </c>
      <c r="F143" s="2">
        <f t="shared" si="1"/>
        <v>0.5</v>
      </c>
      <c r="G143" s="2"/>
    </row>
    <row r="144" spans="2:7" x14ac:dyDescent="0.25">
      <c r="B144" s="4">
        <v>46064</v>
      </c>
      <c r="C144" s="2" t="s">
        <v>6491</v>
      </c>
      <c r="D144" s="2"/>
      <c r="E144" s="2">
        <v>40</v>
      </c>
      <c r="F144" s="2">
        <f t="shared" si="1"/>
        <v>0</v>
      </c>
      <c r="G144" s="2"/>
    </row>
    <row r="145" spans="2:7" x14ac:dyDescent="0.25">
      <c r="B145" s="4">
        <v>46065</v>
      </c>
      <c r="C145" s="2" t="s">
        <v>6500</v>
      </c>
      <c r="D145" s="2" t="s">
        <v>6501</v>
      </c>
      <c r="E145" s="2">
        <v>41</v>
      </c>
      <c r="F145" s="2">
        <f t="shared" si="1"/>
        <v>1</v>
      </c>
      <c r="G145" s="2"/>
    </row>
    <row r="146" spans="2:7" x14ac:dyDescent="0.25">
      <c r="B146" s="4">
        <v>46066</v>
      </c>
      <c r="C146" s="2" t="s">
        <v>6502</v>
      </c>
      <c r="D146" s="2" t="s">
        <v>6503</v>
      </c>
      <c r="E146" s="2">
        <v>42</v>
      </c>
      <c r="F146" s="2">
        <f t="shared" si="1"/>
        <v>1</v>
      </c>
      <c r="G146" s="2"/>
    </row>
    <row r="147" spans="2:7" x14ac:dyDescent="0.25">
      <c r="B147" s="4">
        <v>46067</v>
      </c>
      <c r="C147" s="2" t="s">
        <v>6517</v>
      </c>
      <c r="D147" s="2"/>
      <c r="E147" s="2">
        <v>43</v>
      </c>
      <c r="F147" s="2">
        <f t="shared" si="1"/>
        <v>1</v>
      </c>
      <c r="G147" s="2"/>
    </row>
    <row r="148" spans="2:7" x14ac:dyDescent="0.25">
      <c r="B148" s="4">
        <v>46068</v>
      </c>
      <c r="C148" s="2" t="s">
        <v>6518</v>
      </c>
      <c r="D148" s="2"/>
      <c r="E148" s="2">
        <v>47</v>
      </c>
      <c r="F148" s="2">
        <f t="shared" si="1"/>
        <v>4</v>
      </c>
      <c r="G148" s="2"/>
    </row>
    <row r="149" spans="2:7" x14ac:dyDescent="0.25">
      <c r="B149" s="4">
        <v>46069</v>
      </c>
      <c r="C149" s="2" t="s">
        <v>6529</v>
      </c>
      <c r="D149" s="2"/>
      <c r="E149" s="2">
        <v>47.5</v>
      </c>
      <c r="F149" s="2">
        <f t="shared" si="1"/>
        <v>0.5</v>
      </c>
      <c r="G149" s="2"/>
    </row>
    <row r="150" spans="2:7" x14ac:dyDescent="0.25">
      <c r="B150" s="4">
        <v>46070</v>
      </c>
      <c r="C150" s="2" t="s">
        <v>6546</v>
      </c>
      <c r="D150" s="2"/>
      <c r="E150" s="2">
        <v>48.5</v>
      </c>
      <c r="F150" s="2">
        <f t="shared" si="1"/>
        <v>1</v>
      </c>
      <c r="G150" s="2"/>
    </row>
    <row r="151" spans="2:7" x14ac:dyDescent="0.25">
      <c r="B151" s="4">
        <v>46071</v>
      </c>
      <c r="C151" s="2" t="s">
        <v>6545</v>
      </c>
      <c r="D151" s="2"/>
      <c r="E151" s="2">
        <v>49.5</v>
      </c>
      <c r="F151" s="2">
        <f t="shared" si="1"/>
        <v>1</v>
      </c>
      <c r="G151" s="2"/>
    </row>
    <row r="152" spans="2:7" x14ac:dyDescent="0.25">
      <c r="B152" s="4">
        <v>46072</v>
      </c>
      <c r="C152" s="2" t="s">
        <v>6547</v>
      </c>
      <c r="D152" s="2"/>
      <c r="E152" s="2">
        <v>58</v>
      </c>
      <c r="F152" s="2">
        <f t="shared" si="1"/>
        <v>8.5</v>
      </c>
      <c r="G152" s="2"/>
    </row>
    <row r="153" spans="2:7" x14ac:dyDescent="0.25">
      <c r="B153" s="4">
        <v>46073</v>
      </c>
      <c r="C153" s="2" t="s">
        <v>6551</v>
      </c>
      <c r="D153" s="2"/>
      <c r="E153" s="2">
        <v>59</v>
      </c>
      <c r="F153" s="2">
        <f t="shared" si="1"/>
        <v>1</v>
      </c>
      <c r="G153" s="2"/>
    </row>
    <row r="154" spans="2:7" x14ac:dyDescent="0.25">
      <c r="B154" s="4">
        <v>46074</v>
      </c>
      <c r="C154" s="2" t="s">
        <v>6558</v>
      </c>
      <c r="D154" s="2"/>
      <c r="E154" s="2">
        <v>60</v>
      </c>
      <c r="F154" s="2">
        <f t="shared" si="1"/>
        <v>1</v>
      </c>
      <c r="G154" s="2"/>
    </row>
    <row r="155" spans="2:7" x14ac:dyDescent="0.25">
      <c r="B155" s="4">
        <v>46075</v>
      </c>
      <c r="C155" s="2" t="s">
        <v>6559</v>
      </c>
      <c r="D155" s="2"/>
      <c r="E155" s="2">
        <v>61</v>
      </c>
      <c r="F155" s="2">
        <f t="shared" si="1"/>
        <v>1</v>
      </c>
      <c r="G155" s="2"/>
    </row>
    <row r="156" spans="2:7" x14ac:dyDescent="0.25">
      <c r="B156" s="4">
        <v>46076</v>
      </c>
      <c r="C156" s="2" t="s">
        <v>6575</v>
      </c>
      <c r="D156" s="2"/>
      <c r="E156" s="2">
        <v>63</v>
      </c>
      <c r="F156" s="2">
        <f t="shared" si="1"/>
        <v>2</v>
      </c>
      <c r="G156" s="2"/>
    </row>
    <row r="157" spans="2:7" x14ac:dyDescent="0.25">
      <c r="B157" s="4">
        <v>46077</v>
      </c>
      <c r="C157" s="2" t="s">
        <v>6583</v>
      </c>
      <c r="D157" s="2"/>
      <c r="E157" s="2">
        <v>65</v>
      </c>
      <c r="F157" s="2">
        <f t="shared" si="1"/>
        <v>2</v>
      </c>
      <c r="G157" s="2"/>
    </row>
    <row r="158" spans="2:7" x14ac:dyDescent="0.25">
      <c r="B158" s="4">
        <v>46078</v>
      </c>
      <c r="C158" s="2" t="s">
        <v>6591</v>
      </c>
      <c r="D158" s="2"/>
      <c r="E158" s="2">
        <v>66.5</v>
      </c>
      <c r="F158" s="2">
        <f t="shared" si="1"/>
        <v>1.5</v>
      </c>
      <c r="G158" s="2"/>
    </row>
    <row r="159" spans="2:7" x14ac:dyDescent="0.25">
      <c r="B159" s="4">
        <v>46079</v>
      </c>
      <c r="C159" s="2" t="s">
        <v>6639</v>
      </c>
      <c r="D159" s="2"/>
      <c r="E159" s="2">
        <v>68.5</v>
      </c>
      <c r="F159" s="2">
        <f t="shared" si="1"/>
        <v>2</v>
      </c>
      <c r="G159" s="2"/>
    </row>
    <row r="160" spans="2:7" x14ac:dyDescent="0.25">
      <c r="B160" s="4">
        <v>46080</v>
      </c>
      <c r="C160" s="2" t="s">
        <v>6606</v>
      </c>
      <c r="D160" s="2"/>
      <c r="E160" s="2">
        <v>70</v>
      </c>
      <c r="F160" s="2">
        <f t="shared" si="1"/>
        <v>1.5</v>
      </c>
      <c r="G160" s="2"/>
    </row>
    <row r="161" spans="2:7" x14ac:dyDescent="0.25">
      <c r="B161" s="4">
        <v>46081</v>
      </c>
      <c r="C161" s="2" t="s">
        <v>6640</v>
      </c>
      <c r="D161" s="2"/>
      <c r="E161" s="2">
        <v>72.5</v>
      </c>
      <c r="F161" s="2">
        <f t="shared" si="1"/>
        <v>2.5</v>
      </c>
      <c r="G161" s="2"/>
    </row>
    <row r="162" spans="2:7" x14ac:dyDescent="0.25">
      <c r="B162" s="4">
        <v>46082</v>
      </c>
      <c r="C162" s="2" t="s">
        <v>6641</v>
      </c>
      <c r="D162" s="2"/>
      <c r="E162" s="2">
        <v>73.5</v>
      </c>
      <c r="F162" s="2">
        <f t="shared" si="1"/>
        <v>1</v>
      </c>
      <c r="G162" s="2"/>
    </row>
    <row r="163" spans="2:7" x14ac:dyDescent="0.25">
      <c r="B163" s="4">
        <v>46083</v>
      </c>
      <c r="C163" s="2" t="s">
        <v>6652</v>
      </c>
      <c r="D163" s="2"/>
      <c r="E163" s="2">
        <v>75</v>
      </c>
      <c r="F163" s="2">
        <f t="shared" si="1"/>
        <v>1.5</v>
      </c>
      <c r="G163" s="2"/>
    </row>
    <row r="164" spans="2:7" x14ac:dyDescent="0.25">
      <c r="B164" s="4">
        <v>46084</v>
      </c>
      <c r="C164" s="2" t="s">
        <v>6653</v>
      </c>
      <c r="D164" s="2"/>
      <c r="E164" s="2">
        <v>76.5</v>
      </c>
      <c r="F164" s="2">
        <f t="shared" si="1"/>
        <v>1.5</v>
      </c>
      <c r="G164" s="2"/>
    </row>
    <row r="165" spans="2:7" x14ac:dyDescent="0.25">
      <c r="B165" s="4">
        <v>46085</v>
      </c>
      <c r="C165" s="2" t="s">
        <v>6654</v>
      </c>
      <c r="D165" s="2"/>
      <c r="E165" s="2">
        <v>78.5</v>
      </c>
      <c r="F165" s="2">
        <f t="shared" si="1"/>
        <v>2</v>
      </c>
      <c r="G165" s="2"/>
    </row>
    <row r="166" spans="2:7" x14ac:dyDescent="0.25">
      <c r="B166" s="4">
        <v>46086</v>
      </c>
      <c r="C166" s="2" t="s">
        <v>6665</v>
      </c>
      <c r="D166" s="2"/>
      <c r="E166" s="2">
        <v>80.5</v>
      </c>
      <c r="F166" s="2">
        <f t="shared" si="1"/>
        <v>2</v>
      </c>
      <c r="G166" s="2"/>
    </row>
    <row r="167" spans="2:7" x14ac:dyDescent="0.25">
      <c r="B167" s="4">
        <v>46087</v>
      </c>
      <c r="C167" s="2" t="s">
        <v>6670</v>
      </c>
      <c r="D167" s="2"/>
      <c r="E167" s="2">
        <v>82</v>
      </c>
      <c r="F167" s="2">
        <f t="shared" si="1"/>
        <v>1.5</v>
      </c>
      <c r="G167" s="2"/>
    </row>
    <row r="168" spans="2:7" x14ac:dyDescent="0.25">
      <c r="B168" s="4">
        <v>46088</v>
      </c>
      <c r="C168" s="2" t="s">
        <v>6670</v>
      </c>
      <c r="D168" s="2" t="s">
        <v>6676</v>
      </c>
      <c r="E168" s="2">
        <v>82</v>
      </c>
      <c r="F168" s="2">
        <f t="shared" si="1"/>
        <v>0</v>
      </c>
      <c r="G168" s="2"/>
    </row>
    <row r="169" spans="2:7" x14ac:dyDescent="0.25">
      <c r="B169" s="4">
        <v>46089</v>
      </c>
      <c r="C169" s="2" t="s">
        <v>6677</v>
      </c>
      <c r="D169" s="2"/>
      <c r="E169" s="2"/>
      <c r="F169" s="2">
        <f t="shared" si="1"/>
        <v>-82</v>
      </c>
      <c r="G169" s="2"/>
    </row>
    <row r="170" spans="2:7" x14ac:dyDescent="0.25">
      <c r="B170" s="4">
        <v>46090</v>
      </c>
      <c r="C170" s="2" t="s">
        <v>6689</v>
      </c>
      <c r="D170" s="2"/>
      <c r="E170" s="2"/>
      <c r="F170" s="2">
        <f t="shared" si="1"/>
        <v>0</v>
      </c>
      <c r="G170" s="2"/>
    </row>
    <row r="171" spans="2:7" x14ac:dyDescent="0.25">
      <c r="B171" s="4">
        <v>46091</v>
      </c>
      <c r="C171" s="2"/>
      <c r="D171" s="2"/>
      <c r="E171" s="2"/>
      <c r="F171" s="2">
        <f t="shared" si="1"/>
        <v>0</v>
      </c>
      <c r="G171" s="2"/>
    </row>
    <row r="172" spans="2:7" x14ac:dyDescent="0.25">
      <c r="B172" s="4">
        <v>46092</v>
      </c>
      <c r="C172" s="2"/>
      <c r="D172" s="2"/>
      <c r="E172" s="2"/>
      <c r="F172" s="2">
        <f t="shared" si="1"/>
        <v>0</v>
      </c>
      <c r="G172" s="2"/>
    </row>
    <row r="173" spans="2:7" x14ac:dyDescent="0.25">
      <c r="B173" s="4">
        <v>46093</v>
      </c>
      <c r="C173" s="2"/>
      <c r="D173" s="2"/>
      <c r="E173" s="2"/>
      <c r="F173" s="2">
        <f t="shared" si="1"/>
        <v>0</v>
      </c>
      <c r="G173" s="2"/>
    </row>
    <row r="174" spans="2:7" x14ac:dyDescent="0.25">
      <c r="B174" s="4">
        <v>46094</v>
      </c>
      <c r="C174" s="2"/>
      <c r="D174" s="2"/>
      <c r="E174" s="2"/>
      <c r="F174" s="2">
        <f t="shared" si="1"/>
        <v>0</v>
      </c>
      <c r="G174" s="2"/>
    </row>
    <row r="175" spans="2:7" x14ac:dyDescent="0.25">
      <c r="B175" s="4">
        <v>46095</v>
      </c>
      <c r="C175" s="2"/>
      <c r="D175" s="2"/>
      <c r="E175" s="2"/>
      <c r="F175" s="2">
        <f t="shared" si="1"/>
        <v>0</v>
      </c>
      <c r="G175" s="2"/>
    </row>
    <row r="176" spans="2:7" x14ac:dyDescent="0.25">
      <c r="B176" s="4">
        <v>46096</v>
      </c>
      <c r="C176" s="2"/>
      <c r="D176" s="2"/>
      <c r="E176" s="2"/>
      <c r="F176" s="2">
        <f t="shared" si="1"/>
        <v>0</v>
      </c>
      <c r="G176" s="2"/>
    </row>
    <row r="177" spans="2:7" x14ac:dyDescent="0.25">
      <c r="B177" s="4">
        <v>46097</v>
      </c>
      <c r="C177" s="2"/>
      <c r="D177" s="2"/>
      <c r="E177" s="2"/>
      <c r="F177" s="2">
        <f t="shared" si="1"/>
        <v>0</v>
      </c>
      <c r="G177" s="2"/>
    </row>
    <row r="178" spans="2:7" x14ac:dyDescent="0.25">
      <c r="B178" s="4">
        <v>46098</v>
      </c>
      <c r="C178" s="2"/>
      <c r="D178" s="2"/>
      <c r="E178" s="2"/>
      <c r="F178" s="2">
        <f t="shared" si="1"/>
        <v>0</v>
      </c>
      <c r="G178" s="2"/>
    </row>
    <row r="179" spans="2:7" x14ac:dyDescent="0.25">
      <c r="B179" s="4">
        <v>46099</v>
      </c>
      <c r="C179" s="2"/>
      <c r="D179" s="2"/>
      <c r="E179" s="2"/>
      <c r="F179" s="2">
        <f t="shared" si="1"/>
        <v>0</v>
      </c>
      <c r="G179" s="2"/>
    </row>
    <row r="180" spans="2:7" x14ac:dyDescent="0.25">
      <c r="B180" s="4">
        <v>46100</v>
      </c>
      <c r="C180" s="2"/>
      <c r="D180" s="2"/>
      <c r="E180" s="2"/>
      <c r="F180" s="2">
        <f t="shared" si="1"/>
        <v>0</v>
      </c>
      <c r="G180" s="2"/>
    </row>
    <row r="181" spans="2:7" x14ac:dyDescent="0.25">
      <c r="B181" s="4">
        <v>46101</v>
      </c>
      <c r="C181" s="2"/>
      <c r="D181" s="2"/>
      <c r="E181" s="2"/>
      <c r="F181" s="2">
        <f t="shared" si="1"/>
        <v>0</v>
      </c>
      <c r="G181" s="2"/>
    </row>
    <row r="182" spans="2:7" x14ac:dyDescent="0.25">
      <c r="B182" s="4">
        <v>46102</v>
      </c>
      <c r="C182" s="2"/>
      <c r="D182" s="2"/>
      <c r="E182" s="2"/>
      <c r="F182" s="2">
        <f t="shared" si="1"/>
        <v>0</v>
      </c>
      <c r="G182" s="2"/>
    </row>
    <row r="183" spans="2:7" x14ac:dyDescent="0.25">
      <c r="B183" s="4">
        <v>46103</v>
      </c>
      <c r="C183" s="2"/>
      <c r="D183" s="2"/>
      <c r="E183" s="2"/>
      <c r="F183" s="2">
        <f t="shared" si="1"/>
        <v>0</v>
      </c>
      <c r="G183" s="2"/>
    </row>
    <row r="184" spans="2:7" x14ac:dyDescent="0.25">
      <c r="B184" s="4">
        <v>46104</v>
      </c>
      <c r="C184" s="2"/>
      <c r="D184" s="2"/>
      <c r="E184" s="2"/>
      <c r="F184" s="2">
        <f t="shared" si="1"/>
        <v>0</v>
      </c>
      <c r="G184" s="2"/>
    </row>
    <row r="185" spans="2:7" x14ac:dyDescent="0.25">
      <c r="B185" s="4">
        <v>46105</v>
      </c>
      <c r="C185" s="2"/>
      <c r="D185" s="2"/>
      <c r="E185" s="2"/>
      <c r="F185" s="2">
        <f t="shared" si="1"/>
        <v>0</v>
      </c>
      <c r="G185" s="2"/>
    </row>
    <row r="186" spans="2:7" x14ac:dyDescent="0.25">
      <c r="B186" s="4">
        <v>46106</v>
      </c>
      <c r="C186" s="2"/>
      <c r="D186" s="2"/>
      <c r="E186" s="2"/>
      <c r="F186" s="2">
        <f t="shared" si="1"/>
        <v>0</v>
      </c>
      <c r="G186" s="2"/>
    </row>
    <row r="187" spans="2:7" x14ac:dyDescent="0.25">
      <c r="B187" s="4">
        <v>46107</v>
      </c>
      <c r="C187" s="2"/>
      <c r="D187" s="2"/>
      <c r="E187" s="2"/>
      <c r="F187" s="2">
        <f t="shared" si="1"/>
        <v>0</v>
      </c>
      <c r="G187" s="2"/>
    </row>
    <row r="188" spans="2:7" x14ac:dyDescent="0.25">
      <c r="B188" s="4">
        <v>46108</v>
      </c>
      <c r="C188" s="2"/>
      <c r="D188" s="2"/>
      <c r="E188" s="2"/>
      <c r="F188" s="2">
        <f t="shared" si="1"/>
        <v>0</v>
      </c>
      <c r="G188" s="2"/>
    </row>
    <row r="189" spans="2:7" x14ac:dyDescent="0.25">
      <c r="B189" s="4">
        <v>46109</v>
      </c>
      <c r="C189" s="2"/>
      <c r="D189" s="2"/>
      <c r="E189" s="2"/>
      <c r="F189" s="2">
        <f t="shared" si="1"/>
        <v>0</v>
      </c>
      <c r="G189" s="2"/>
    </row>
    <row r="190" spans="2:7" x14ac:dyDescent="0.25">
      <c r="B190" s="4">
        <v>46110</v>
      </c>
      <c r="C190" s="2"/>
      <c r="D190" s="2"/>
      <c r="E190" s="2"/>
      <c r="F190" s="2">
        <f t="shared" si="1"/>
        <v>0</v>
      </c>
      <c r="G190" s="2"/>
    </row>
    <row r="191" spans="2:7" x14ac:dyDescent="0.25">
      <c r="B191" s="4">
        <v>46111</v>
      </c>
      <c r="C191" s="2"/>
      <c r="D191" s="2"/>
      <c r="E191" s="2"/>
      <c r="F191" s="2">
        <f t="shared" si="1"/>
        <v>0</v>
      </c>
      <c r="G191" s="2"/>
    </row>
    <row r="192" spans="2:7" x14ac:dyDescent="0.25">
      <c r="B192" s="4">
        <v>46112</v>
      </c>
      <c r="C192" s="2" t="s">
        <v>6714</v>
      </c>
      <c r="D192" s="2"/>
      <c r="E192" s="2"/>
      <c r="F192" s="2">
        <f t="shared" si="1"/>
        <v>0</v>
      </c>
      <c r="G192" s="2"/>
    </row>
    <row r="193" spans="2:7" x14ac:dyDescent="0.25">
      <c r="B193" s="4">
        <v>46113</v>
      </c>
      <c r="C193" s="2" t="s">
        <v>6715</v>
      </c>
      <c r="D193" s="2" t="s">
        <v>6716</v>
      </c>
      <c r="E193" s="2">
        <v>82</v>
      </c>
      <c r="F193" s="2">
        <f t="shared" si="1"/>
        <v>82</v>
      </c>
      <c r="G193" s="2"/>
    </row>
    <row r="194" spans="2:7" x14ac:dyDescent="0.25">
      <c r="B194" s="4">
        <v>46114</v>
      </c>
      <c r="C194" s="2"/>
      <c r="D194" s="2"/>
      <c r="E194" s="2"/>
      <c r="F194" s="2">
        <f t="shared" si="1"/>
        <v>-82</v>
      </c>
      <c r="G194" s="2"/>
    </row>
    <row r="195" spans="2:7" x14ac:dyDescent="0.25">
      <c r="B195" s="4">
        <v>46115</v>
      </c>
      <c r="C195" s="2"/>
      <c r="D195" s="2"/>
      <c r="E195" s="2"/>
      <c r="F195" s="2">
        <f t="shared" ref="F195:F196" si="2">E195-E194</f>
        <v>0</v>
      </c>
      <c r="G195" s="2"/>
    </row>
    <row r="196" spans="2:7" x14ac:dyDescent="0.25">
      <c r="B196" s="4">
        <v>46116</v>
      </c>
      <c r="C196" s="2"/>
      <c r="D196" s="2"/>
      <c r="E196" s="2"/>
      <c r="F196" s="2">
        <f t="shared" si="2"/>
        <v>0</v>
      </c>
      <c r="G196" s="2"/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B2:G36"/>
  <sheetViews>
    <sheetView workbookViewId="0">
      <pane ySplit="3" topLeftCell="A10" activePane="bottomLeft" state="frozen"/>
      <selection pane="bottomLeft" activeCell="C22" sqref="C22"/>
    </sheetView>
  </sheetViews>
  <sheetFormatPr defaultRowHeight="15" x14ac:dyDescent="0.25"/>
  <cols>
    <col min="2" max="2" width="18" bestFit="1" customWidth="1"/>
    <col min="3" max="3" width="72" bestFit="1" customWidth="1"/>
    <col min="4" max="4" width="42.140625" bestFit="1" customWidth="1"/>
    <col min="5" max="5" width="11.85546875" bestFit="1" customWidth="1"/>
    <col min="6" max="6" width="8.42578125" bestFit="1" customWidth="1"/>
    <col min="7" max="7" width="11" bestFit="1" customWidth="1"/>
  </cols>
  <sheetData>
    <row r="2" spans="2:7" x14ac:dyDescent="0.25">
      <c r="B2" s="53" t="s">
        <v>5523</v>
      </c>
    </row>
    <row r="3" spans="2:7" ht="15.75" x14ac:dyDescent="0.25">
      <c r="B3" s="10" t="s">
        <v>0</v>
      </c>
      <c r="C3" s="11" t="s">
        <v>1</v>
      </c>
      <c r="D3" s="11" t="s">
        <v>2</v>
      </c>
      <c r="E3" s="11" t="s">
        <v>934</v>
      </c>
      <c r="F3" s="11" t="s">
        <v>1095</v>
      </c>
      <c r="G3" s="11" t="s">
        <v>1507</v>
      </c>
    </row>
    <row r="4" spans="2:7" x14ac:dyDescent="0.25">
      <c r="B4" s="4">
        <v>45929</v>
      </c>
      <c r="C4" s="2" t="s">
        <v>5513</v>
      </c>
      <c r="D4" s="2"/>
      <c r="E4" s="23"/>
      <c r="F4" s="2"/>
      <c r="G4" s="2"/>
    </row>
    <row r="5" spans="2:7" x14ac:dyDescent="0.25">
      <c r="B5" s="4">
        <v>45930</v>
      </c>
      <c r="C5" s="2"/>
      <c r="D5" s="2"/>
      <c r="E5" s="23"/>
      <c r="F5" s="2"/>
      <c r="G5" s="2"/>
    </row>
    <row r="6" spans="2:7" x14ac:dyDescent="0.25">
      <c r="B6" s="4">
        <v>45931</v>
      </c>
      <c r="C6" s="2" t="s">
        <v>5524</v>
      </c>
      <c r="D6" s="2"/>
      <c r="E6" s="23"/>
      <c r="F6" s="2"/>
      <c r="G6" s="2"/>
    </row>
    <row r="7" spans="2:7" x14ac:dyDescent="0.25">
      <c r="B7" s="4">
        <v>45932</v>
      </c>
      <c r="C7" s="2" t="s">
        <v>5513</v>
      </c>
      <c r="D7" s="58"/>
      <c r="E7" s="23"/>
      <c r="F7" s="2"/>
      <c r="G7" s="2"/>
    </row>
    <row r="8" spans="2:7" x14ac:dyDescent="0.25">
      <c r="B8" s="4">
        <v>45933</v>
      </c>
      <c r="C8" s="2" t="s">
        <v>279</v>
      </c>
      <c r="D8" s="58" t="s">
        <v>5541</v>
      </c>
      <c r="E8" s="23"/>
      <c r="F8" s="2"/>
      <c r="G8" s="2"/>
    </row>
    <row r="9" spans="2:7" x14ac:dyDescent="0.25">
      <c r="B9" s="4">
        <v>45934</v>
      </c>
      <c r="C9" s="2" t="s">
        <v>5560</v>
      </c>
      <c r="D9" s="58"/>
      <c r="E9" s="23"/>
      <c r="F9" s="2"/>
      <c r="G9" s="2"/>
    </row>
    <row r="10" spans="2:7" x14ac:dyDescent="0.25">
      <c r="B10" s="4">
        <v>45935</v>
      </c>
      <c r="C10" s="2" t="s">
        <v>5561</v>
      </c>
      <c r="D10" s="2" t="s">
        <v>5562</v>
      </c>
      <c r="E10" s="23"/>
      <c r="F10" s="2"/>
      <c r="G10" s="2"/>
    </row>
    <row r="11" spans="2:7" x14ac:dyDescent="0.25">
      <c r="B11" s="4">
        <v>45936</v>
      </c>
      <c r="C11" s="2" t="s">
        <v>5581</v>
      </c>
      <c r="D11" s="2"/>
      <c r="E11" s="23">
        <v>35</v>
      </c>
      <c r="F11" s="2">
        <f>E11-E10</f>
        <v>35</v>
      </c>
      <c r="G11" s="2"/>
    </row>
    <row r="12" spans="2:7" x14ac:dyDescent="0.25">
      <c r="B12" s="4">
        <v>45937</v>
      </c>
      <c r="C12" s="2" t="s">
        <v>5586</v>
      </c>
      <c r="D12" s="2"/>
      <c r="E12" s="23">
        <v>57</v>
      </c>
      <c r="F12" s="2">
        <f t="shared" ref="F12:F19" si="0">E12-E11</f>
        <v>22</v>
      </c>
      <c r="G12" s="2"/>
    </row>
    <row r="13" spans="2:7" x14ac:dyDescent="0.25">
      <c r="B13" s="4">
        <v>45938</v>
      </c>
      <c r="C13" s="2" t="s">
        <v>5597</v>
      </c>
      <c r="D13" s="2" t="s">
        <v>5598</v>
      </c>
      <c r="E13" s="23">
        <v>57</v>
      </c>
      <c r="F13" s="2">
        <f t="shared" si="0"/>
        <v>0</v>
      </c>
      <c r="G13" s="2"/>
    </row>
    <row r="14" spans="2:7" x14ac:dyDescent="0.25">
      <c r="B14" s="4">
        <v>45939</v>
      </c>
      <c r="C14" s="2" t="s">
        <v>5604</v>
      </c>
      <c r="D14" s="2"/>
      <c r="E14" s="23">
        <v>74</v>
      </c>
      <c r="F14" s="2">
        <f t="shared" si="0"/>
        <v>17</v>
      </c>
      <c r="G14" s="2"/>
    </row>
    <row r="15" spans="2:7" x14ac:dyDescent="0.25">
      <c r="B15" s="4">
        <v>45940</v>
      </c>
      <c r="C15" s="2" t="s">
        <v>5610</v>
      </c>
      <c r="D15" s="2"/>
      <c r="E15" s="23">
        <v>89</v>
      </c>
      <c r="F15" s="2">
        <f t="shared" si="0"/>
        <v>15</v>
      </c>
      <c r="G15" s="2"/>
    </row>
    <row r="16" spans="2:7" x14ac:dyDescent="0.25">
      <c r="B16" s="4">
        <v>45941</v>
      </c>
      <c r="C16" s="2" t="s">
        <v>5622</v>
      </c>
      <c r="D16" s="2"/>
      <c r="E16" s="23">
        <v>97</v>
      </c>
      <c r="F16" s="2">
        <f t="shared" si="0"/>
        <v>8</v>
      </c>
      <c r="G16" s="2"/>
    </row>
    <row r="17" spans="2:7" x14ac:dyDescent="0.25">
      <c r="B17" s="4">
        <v>45942</v>
      </c>
      <c r="C17" s="2" t="s">
        <v>5623</v>
      </c>
      <c r="D17" s="2"/>
      <c r="E17" s="23">
        <v>110</v>
      </c>
      <c r="F17" s="2">
        <f t="shared" si="0"/>
        <v>13</v>
      </c>
      <c r="G17" s="2"/>
    </row>
    <row r="18" spans="2:7" x14ac:dyDescent="0.25">
      <c r="B18" s="4">
        <v>45943</v>
      </c>
      <c r="C18" s="2" t="s">
        <v>5629</v>
      </c>
      <c r="D18" s="2"/>
      <c r="E18" s="23">
        <v>118</v>
      </c>
      <c r="F18" s="2">
        <f t="shared" si="0"/>
        <v>8</v>
      </c>
      <c r="G18" s="2"/>
    </row>
    <row r="19" spans="2:7" x14ac:dyDescent="0.25">
      <c r="B19" s="4">
        <v>45944</v>
      </c>
      <c r="C19" s="2" t="s">
        <v>5636</v>
      </c>
      <c r="D19" s="2"/>
      <c r="E19" s="23">
        <v>120</v>
      </c>
      <c r="F19" s="2">
        <f t="shared" si="0"/>
        <v>2</v>
      </c>
      <c r="G19" s="2"/>
    </row>
    <row r="20" spans="2:7" x14ac:dyDescent="0.25">
      <c r="B20" s="4">
        <v>45945</v>
      </c>
      <c r="C20" s="2" t="s">
        <v>5646</v>
      </c>
      <c r="D20" s="2"/>
      <c r="E20" s="2"/>
      <c r="F20" s="2"/>
      <c r="G20" s="2"/>
    </row>
    <row r="21" spans="2:7" x14ac:dyDescent="0.25">
      <c r="B21" s="4">
        <v>45946</v>
      </c>
      <c r="C21" s="2" t="s">
        <v>5657</v>
      </c>
      <c r="D21" s="2"/>
      <c r="E21" s="2"/>
      <c r="F21" s="2"/>
      <c r="G21" s="2"/>
    </row>
    <row r="22" spans="2:7" x14ac:dyDescent="0.25">
      <c r="B22" s="4">
        <v>45947</v>
      </c>
      <c r="C22" s="2" t="s">
        <v>3862</v>
      </c>
      <c r="D22" s="2"/>
      <c r="E22" s="2"/>
      <c r="F22" s="2"/>
      <c r="G22" s="2"/>
    </row>
    <row r="23" spans="2:7" x14ac:dyDescent="0.25">
      <c r="B23" s="4">
        <v>45948</v>
      </c>
      <c r="C23" s="2"/>
      <c r="D23" s="2"/>
      <c r="E23" s="2"/>
      <c r="F23" s="2"/>
      <c r="G23" s="2"/>
    </row>
    <row r="24" spans="2:7" x14ac:dyDescent="0.25">
      <c r="B24" s="4">
        <v>45949</v>
      </c>
      <c r="C24" s="2"/>
      <c r="D24" s="2"/>
      <c r="E24" s="2"/>
      <c r="F24" s="2"/>
      <c r="G24" s="2"/>
    </row>
    <row r="25" spans="2:7" x14ac:dyDescent="0.25">
      <c r="B25" s="4">
        <v>45950</v>
      </c>
      <c r="C25" s="2"/>
      <c r="D25" s="2"/>
      <c r="E25" s="2"/>
      <c r="F25" s="2"/>
      <c r="G25" s="2"/>
    </row>
    <row r="26" spans="2:7" x14ac:dyDescent="0.25">
      <c r="B26" s="4">
        <v>45951</v>
      </c>
      <c r="C26" s="2"/>
      <c r="D26" s="2"/>
      <c r="E26" s="2"/>
      <c r="F26" s="2"/>
      <c r="G26" s="2"/>
    </row>
    <row r="27" spans="2:7" x14ac:dyDescent="0.25">
      <c r="B27" s="4">
        <v>45952</v>
      </c>
      <c r="C27" s="2"/>
      <c r="D27" s="2"/>
      <c r="E27" s="2"/>
      <c r="F27" s="2"/>
      <c r="G27" s="2"/>
    </row>
    <row r="28" spans="2:7" x14ac:dyDescent="0.25">
      <c r="B28" s="4">
        <v>45953</v>
      </c>
      <c r="C28" s="2"/>
      <c r="D28" s="2"/>
      <c r="E28" s="2"/>
      <c r="F28" s="2"/>
      <c r="G28" s="2"/>
    </row>
    <row r="29" spans="2:7" x14ac:dyDescent="0.25">
      <c r="B29" s="4">
        <v>45954</v>
      </c>
      <c r="C29" s="2"/>
      <c r="D29" s="2"/>
      <c r="E29" s="2"/>
      <c r="F29" s="2"/>
      <c r="G29" s="2"/>
    </row>
    <row r="30" spans="2:7" x14ac:dyDescent="0.25">
      <c r="B30" s="4">
        <v>45955</v>
      </c>
      <c r="C30" s="2"/>
      <c r="D30" s="2"/>
      <c r="E30" s="2"/>
      <c r="F30" s="2"/>
      <c r="G30" s="2"/>
    </row>
    <row r="31" spans="2:7" x14ac:dyDescent="0.25">
      <c r="B31" s="4">
        <v>45956</v>
      </c>
      <c r="C31" s="2"/>
      <c r="D31" s="2"/>
      <c r="E31" s="2"/>
      <c r="F31" s="2"/>
      <c r="G31" s="2"/>
    </row>
    <row r="32" spans="2:7" x14ac:dyDescent="0.25">
      <c r="B32" s="4">
        <v>45957</v>
      </c>
      <c r="C32" s="2"/>
      <c r="D32" s="2"/>
      <c r="E32" s="2"/>
      <c r="F32" s="2"/>
      <c r="G32" s="2"/>
    </row>
    <row r="33" spans="2:7" x14ac:dyDescent="0.25">
      <c r="B33" s="4">
        <v>45958</v>
      </c>
      <c r="C33" s="2"/>
      <c r="D33" s="2"/>
      <c r="E33" s="2"/>
      <c r="F33" s="2"/>
      <c r="G33" s="2"/>
    </row>
    <row r="34" spans="2:7" x14ac:dyDescent="0.25">
      <c r="B34" s="4">
        <v>45959</v>
      </c>
      <c r="C34" s="2"/>
      <c r="D34" s="2"/>
      <c r="E34" s="2"/>
      <c r="F34" s="2"/>
      <c r="G34" s="2"/>
    </row>
    <row r="35" spans="2:7" x14ac:dyDescent="0.25">
      <c r="B35" s="4">
        <v>45960</v>
      </c>
      <c r="C35" s="2"/>
      <c r="D35" s="2"/>
      <c r="E35" s="2"/>
      <c r="F35" s="2"/>
      <c r="G35" s="2"/>
    </row>
    <row r="36" spans="2:7" x14ac:dyDescent="0.25">
      <c r="B36" s="4">
        <v>45961</v>
      </c>
      <c r="C36" s="2"/>
      <c r="D36" s="2"/>
      <c r="E36" s="2"/>
      <c r="F36" s="2"/>
      <c r="G36" s="2"/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B2:G35"/>
  <sheetViews>
    <sheetView workbookViewId="0">
      <pane ySplit="3" topLeftCell="A19" activePane="bottomLeft" state="frozen"/>
      <selection pane="bottomLeft" activeCell="C30" sqref="C30"/>
    </sheetView>
  </sheetViews>
  <sheetFormatPr defaultRowHeight="15" x14ac:dyDescent="0.25"/>
  <cols>
    <col min="2" max="2" width="18" bestFit="1" customWidth="1"/>
    <col min="3" max="3" width="72" bestFit="1" customWidth="1"/>
    <col min="4" max="4" width="42.140625" bestFit="1" customWidth="1"/>
    <col min="5" max="5" width="11.85546875" bestFit="1" customWidth="1"/>
  </cols>
  <sheetData>
    <row r="2" spans="2:7" x14ac:dyDescent="0.25">
      <c r="B2" s="53" t="s">
        <v>5501</v>
      </c>
    </row>
    <row r="3" spans="2:7" ht="15.75" x14ac:dyDescent="0.25">
      <c r="B3" s="10" t="s">
        <v>0</v>
      </c>
      <c r="C3" s="11" t="s">
        <v>1</v>
      </c>
      <c r="D3" s="11" t="s">
        <v>2</v>
      </c>
      <c r="E3" s="11" t="s">
        <v>934</v>
      </c>
      <c r="F3" s="11" t="s">
        <v>1095</v>
      </c>
      <c r="G3" s="11" t="s">
        <v>1507</v>
      </c>
    </row>
    <row r="4" spans="2:7" x14ac:dyDescent="0.25">
      <c r="B4" s="4">
        <v>45929</v>
      </c>
      <c r="C4" s="2" t="s">
        <v>2777</v>
      </c>
      <c r="D4" s="2"/>
      <c r="E4" s="23"/>
      <c r="F4" s="2"/>
      <c r="G4" s="2"/>
    </row>
    <row r="5" spans="2:7" x14ac:dyDescent="0.25">
      <c r="B5" s="4">
        <v>45930</v>
      </c>
      <c r="C5" s="2" t="s">
        <v>656</v>
      </c>
      <c r="D5" s="2"/>
      <c r="E5" s="23"/>
      <c r="F5" s="2"/>
      <c r="G5" s="2"/>
    </row>
    <row r="6" spans="2:7" x14ac:dyDescent="0.25">
      <c r="B6" s="4">
        <v>45931</v>
      </c>
      <c r="C6" s="2"/>
      <c r="D6" s="2"/>
      <c r="E6" s="23"/>
      <c r="F6" s="2"/>
      <c r="G6" s="2"/>
    </row>
    <row r="7" spans="2:7" x14ac:dyDescent="0.25">
      <c r="B7" s="4">
        <v>45932</v>
      </c>
      <c r="C7" s="2"/>
      <c r="D7" s="58"/>
      <c r="E7" s="23"/>
      <c r="F7" s="2"/>
      <c r="G7" s="2"/>
    </row>
    <row r="8" spans="2:7" x14ac:dyDescent="0.25">
      <c r="B8" s="4">
        <v>45933</v>
      </c>
      <c r="C8" s="2" t="s">
        <v>647</v>
      </c>
      <c r="D8" s="58"/>
      <c r="E8" s="23">
        <v>22</v>
      </c>
      <c r="F8" s="2">
        <f>E8-E7</f>
        <v>22</v>
      </c>
      <c r="G8" s="2"/>
    </row>
    <row r="9" spans="2:7" x14ac:dyDescent="0.25">
      <c r="B9" s="4">
        <v>45934</v>
      </c>
      <c r="C9" s="2" t="s">
        <v>5575</v>
      </c>
      <c r="D9" s="58"/>
      <c r="E9" s="23">
        <v>24</v>
      </c>
      <c r="F9" s="2">
        <f t="shared" ref="F9:F12" si="0">E9-E8</f>
        <v>2</v>
      </c>
      <c r="G9" s="2"/>
    </row>
    <row r="10" spans="2:7" x14ac:dyDescent="0.25">
      <c r="B10" s="4">
        <v>45935</v>
      </c>
      <c r="C10" s="2" t="s">
        <v>1903</v>
      </c>
      <c r="D10" s="2"/>
      <c r="E10" s="23">
        <v>25</v>
      </c>
      <c r="F10" s="2">
        <f t="shared" si="0"/>
        <v>1</v>
      </c>
      <c r="G10" s="2"/>
    </row>
    <row r="11" spans="2:7" x14ac:dyDescent="0.25">
      <c r="B11" s="4">
        <v>45936</v>
      </c>
      <c r="C11" s="2" t="s">
        <v>5576</v>
      </c>
      <c r="D11" s="2"/>
      <c r="E11" s="23">
        <v>26</v>
      </c>
      <c r="F11" s="2">
        <f t="shared" si="0"/>
        <v>1</v>
      </c>
      <c r="G11" s="2"/>
    </row>
    <row r="12" spans="2:7" x14ac:dyDescent="0.25">
      <c r="B12" s="4">
        <v>45937</v>
      </c>
      <c r="C12" s="2" t="s">
        <v>5576</v>
      </c>
      <c r="D12" s="2"/>
      <c r="E12" s="23"/>
      <c r="F12" s="2">
        <f t="shared" si="0"/>
        <v>-26</v>
      </c>
      <c r="G12" s="2"/>
    </row>
    <row r="13" spans="2:7" x14ac:dyDescent="0.25">
      <c r="B13" s="4">
        <v>45938</v>
      </c>
      <c r="C13" s="2" t="s">
        <v>360</v>
      </c>
      <c r="D13" s="2"/>
      <c r="E13" s="2"/>
      <c r="F13" s="2"/>
      <c r="G13" s="2"/>
    </row>
    <row r="14" spans="2:7" x14ac:dyDescent="0.25">
      <c r="B14" s="4">
        <v>45939</v>
      </c>
      <c r="C14" s="2" t="s">
        <v>5576</v>
      </c>
      <c r="D14" s="2"/>
      <c r="E14" s="2"/>
      <c r="F14" s="2"/>
      <c r="G14" s="2"/>
    </row>
    <row r="15" spans="2:7" x14ac:dyDescent="0.25">
      <c r="B15" s="4">
        <v>45940</v>
      </c>
      <c r="C15" s="2" t="s">
        <v>5614</v>
      </c>
      <c r="D15" s="2"/>
      <c r="E15" s="2"/>
      <c r="F15" s="2"/>
      <c r="G15" s="2"/>
    </row>
    <row r="16" spans="2:7" x14ac:dyDescent="0.25">
      <c r="B16" s="4">
        <v>45941</v>
      </c>
      <c r="C16" s="2"/>
      <c r="D16" s="2"/>
      <c r="E16" s="2"/>
      <c r="F16" s="2"/>
      <c r="G16" s="2"/>
    </row>
    <row r="17" spans="2:7" x14ac:dyDescent="0.25">
      <c r="B17" s="4">
        <v>45942</v>
      </c>
      <c r="C17" s="2"/>
      <c r="D17" s="2"/>
      <c r="E17" s="2"/>
      <c r="F17" s="2"/>
      <c r="G17" s="2"/>
    </row>
    <row r="18" spans="2:7" x14ac:dyDescent="0.25">
      <c r="B18" s="4">
        <v>45943</v>
      </c>
      <c r="C18" s="2"/>
      <c r="D18" s="2" t="s">
        <v>5625</v>
      </c>
      <c r="E18" s="2"/>
      <c r="F18" s="2"/>
      <c r="G18" s="2"/>
    </row>
    <row r="19" spans="2:7" x14ac:dyDescent="0.25">
      <c r="B19" s="4">
        <v>45944</v>
      </c>
      <c r="C19" s="2" t="s">
        <v>5640</v>
      </c>
      <c r="D19" s="2"/>
      <c r="E19" s="2">
        <v>37</v>
      </c>
      <c r="F19" s="2"/>
      <c r="G19" s="2"/>
    </row>
    <row r="20" spans="2:7" x14ac:dyDescent="0.25">
      <c r="B20" s="4">
        <v>45945</v>
      </c>
      <c r="C20" s="2" t="s">
        <v>5690</v>
      </c>
      <c r="D20" s="2"/>
      <c r="E20" s="2">
        <v>38</v>
      </c>
      <c r="F20" s="2"/>
      <c r="G20" s="2"/>
    </row>
    <row r="21" spans="2:7" x14ac:dyDescent="0.25">
      <c r="B21" s="4">
        <v>45946</v>
      </c>
      <c r="C21" s="2"/>
      <c r="D21" s="2"/>
      <c r="E21" s="2"/>
      <c r="F21" s="2"/>
      <c r="G21" s="2"/>
    </row>
    <row r="22" spans="2:7" x14ac:dyDescent="0.25">
      <c r="B22" s="4">
        <v>45947</v>
      </c>
      <c r="C22" s="2" t="s">
        <v>5691</v>
      </c>
      <c r="D22" s="2"/>
      <c r="E22" s="2">
        <v>33</v>
      </c>
      <c r="F22" s="2"/>
      <c r="G22" s="2"/>
    </row>
    <row r="23" spans="2:7" x14ac:dyDescent="0.25">
      <c r="B23" s="4">
        <v>45948</v>
      </c>
      <c r="C23" s="2"/>
      <c r="D23" s="2"/>
      <c r="E23" s="2"/>
      <c r="F23" s="2"/>
      <c r="G23" s="2"/>
    </row>
    <row r="24" spans="2:7" x14ac:dyDescent="0.25">
      <c r="B24" s="4">
        <v>45949</v>
      </c>
      <c r="C24" s="2"/>
      <c r="D24" s="2"/>
      <c r="E24" s="2"/>
      <c r="F24" s="2"/>
      <c r="G24" s="2"/>
    </row>
    <row r="25" spans="2:7" x14ac:dyDescent="0.25">
      <c r="B25" s="4">
        <v>45950</v>
      </c>
      <c r="C25" s="2" t="s">
        <v>5689</v>
      </c>
      <c r="D25" s="2"/>
      <c r="E25" s="2">
        <v>40</v>
      </c>
      <c r="F25" s="2"/>
      <c r="G25" s="2"/>
    </row>
    <row r="26" spans="2:7" x14ac:dyDescent="0.25">
      <c r="B26" s="4">
        <v>45951</v>
      </c>
      <c r="C26" s="2" t="s">
        <v>5702</v>
      </c>
      <c r="D26" s="2"/>
      <c r="E26" s="2">
        <v>41</v>
      </c>
      <c r="F26" s="2"/>
      <c r="G26" s="2"/>
    </row>
    <row r="27" spans="2:7" x14ac:dyDescent="0.25">
      <c r="B27" s="4">
        <v>45952</v>
      </c>
      <c r="C27" s="2" t="s">
        <v>2881</v>
      </c>
      <c r="D27" s="2"/>
      <c r="E27" s="2"/>
      <c r="F27" s="2"/>
      <c r="G27" s="2"/>
    </row>
    <row r="28" spans="2:7" x14ac:dyDescent="0.25">
      <c r="B28" s="4">
        <v>45953</v>
      </c>
      <c r="C28" s="2"/>
      <c r="D28" s="2"/>
      <c r="E28" s="2"/>
      <c r="F28" s="2"/>
      <c r="G28" s="2"/>
    </row>
    <row r="29" spans="2:7" x14ac:dyDescent="0.25">
      <c r="B29" s="4">
        <v>45954</v>
      </c>
      <c r="C29" s="2" t="s">
        <v>5726</v>
      </c>
      <c r="D29" s="2"/>
      <c r="E29" s="2"/>
      <c r="F29" s="2"/>
      <c r="G29" s="2"/>
    </row>
    <row r="30" spans="2:7" x14ac:dyDescent="0.25">
      <c r="B30" s="4">
        <v>45955</v>
      </c>
      <c r="C30" s="2" t="s">
        <v>5736</v>
      </c>
      <c r="D30" s="2"/>
      <c r="E30" s="2"/>
      <c r="F30" s="2"/>
      <c r="G30" s="2"/>
    </row>
    <row r="31" spans="2:7" x14ac:dyDescent="0.25">
      <c r="B31" s="4">
        <v>45956</v>
      </c>
      <c r="C31" s="2" t="s">
        <v>5736</v>
      </c>
      <c r="D31" s="2"/>
      <c r="E31" s="2"/>
      <c r="F31" s="2"/>
      <c r="G31" s="2"/>
    </row>
    <row r="32" spans="2:7" x14ac:dyDescent="0.25">
      <c r="B32" s="4">
        <v>45957</v>
      </c>
      <c r="C32" s="2"/>
      <c r="D32" s="2"/>
      <c r="E32" s="2"/>
      <c r="F32" s="2"/>
      <c r="G32" s="2"/>
    </row>
    <row r="33" spans="2:7" x14ac:dyDescent="0.25">
      <c r="B33" s="4">
        <v>45958</v>
      </c>
      <c r="C33" s="2"/>
      <c r="D33" s="2"/>
      <c r="E33" s="2"/>
      <c r="F33" s="2"/>
      <c r="G33" s="2"/>
    </row>
    <row r="34" spans="2:7" x14ac:dyDescent="0.25">
      <c r="B34" s="4">
        <v>45959</v>
      </c>
      <c r="C34" s="2"/>
      <c r="D34" s="2"/>
      <c r="E34" s="2"/>
      <c r="F34" s="2"/>
      <c r="G34" s="2"/>
    </row>
    <row r="35" spans="2:7" x14ac:dyDescent="0.25">
      <c r="B35" s="4">
        <v>45960</v>
      </c>
      <c r="C35" s="2"/>
      <c r="D35" s="2"/>
      <c r="E35" s="2"/>
      <c r="F35" s="2"/>
      <c r="G35" s="2"/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B2:G97"/>
  <sheetViews>
    <sheetView workbookViewId="0">
      <pane ySplit="3" topLeftCell="A83" activePane="bottomLeft" state="frozen"/>
      <selection activeCell="D8" sqref="D8"/>
      <selection pane="bottomLeft" activeCell="C95" sqref="C95"/>
    </sheetView>
  </sheetViews>
  <sheetFormatPr defaultRowHeight="15" x14ac:dyDescent="0.25"/>
  <cols>
    <col min="2" max="2" width="18" bestFit="1" customWidth="1"/>
    <col min="3" max="3" width="72" bestFit="1" customWidth="1"/>
    <col min="4" max="4" width="42.140625" bestFit="1" customWidth="1"/>
    <col min="5" max="5" width="11.85546875" bestFit="1" customWidth="1"/>
    <col min="7" max="7" width="11" bestFit="1" customWidth="1"/>
  </cols>
  <sheetData>
    <row r="2" spans="2:7" x14ac:dyDescent="0.25">
      <c r="B2" s="144" t="s">
        <v>5502</v>
      </c>
    </row>
    <row r="3" spans="2:7" ht="15.75" x14ac:dyDescent="0.25">
      <c r="B3" s="10" t="s">
        <v>0</v>
      </c>
      <c r="C3" s="11" t="s">
        <v>1</v>
      </c>
      <c r="D3" s="11" t="s">
        <v>2</v>
      </c>
      <c r="E3" s="11" t="s">
        <v>934</v>
      </c>
      <c r="F3" s="11" t="s">
        <v>1095</v>
      </c>
      <c r="G3" s="11" t="s">
        <v>1507</v>
      </c>
    </row>
    <row r="4" spans="2:7" x14ac:dyDescent="0.25">
      <c r="B4" s="4">
        <v>45929</v>
      </c>
      <c r="C4" s="2"/>
      <c r="D4" s="2"/>
      <c r="E4" s="23"/>
      <c r="F4" s="2"/>
      <c r="G4" s="2"/>
    </row>
    <row r="5" spans="2:7" x14ac:dyDescent="0.25">
      <c r="B5" s="4">
        <v>45930</v>
      </c>
      <c r="C5" s="2" t="s">
        <v>4729</v>
      </c>
      <c r="D5" s="2"/>
      <c r="E5" s="23"/>
      <c r="F5" s="2"/>
      <c r="G5" s="2"/>
    </row>
    <row r="6" spans="2:7" x14ac:dyDescent="0.25">
      <c r="B6" s="4">
        <v>45931</v>
      </c>
      <c r="C6" s="2"/>
      <c r="D6" s="2"/>
      <c r="E6" s="23"/>
      <c r="F6" s="2"/>
      <c r="G6" s="2"/>
    </row>
    <row r="7" spans="2:7" x14ac:dyDescent="0.25">
      <c r="B7" s="4">
        <v>45932</v>
      </c>
      <c r="C7" s="2" t="s">
        <v>5525</v>
      </c>
      <c r="D7" s="58" t="s">
        <v>5538</v>
      </c>
      <c r="E7" s="23"/>
      <c r="F7" s="2"/>
      <c r="G7" s="2"/>
    </row>
    <row r="8" spans="2:7" x14ac:dyDescent="0.25">
      <c r="B8" s="4">
        <v>45933</v>
      </c>
      <c r="C8" s="2" t="s">
        <v>5549</v>
      </c>
      <c r="D8" s="58" t="s">
        <v>5554</v>
      </c>
      <c r="E8" s="23"/>
      <c r="F8" s="2"/>
      <c r="G8" s="2"/>
    </row>
    <row r="9" spans="2:7" x14ac:dyDescent="0.25">
      <c r="B9" s="4">
        <v>45934</v>
      </c>
      <c r="C9" s="2" t="s">
        <v>480</v>
      </c>
      <c r="D9" s="58"/>
      <c r="E9" s="23"/>
      <c r="F9" s="2"/>
      <c r="G9" s="2"/>
    </row>
    <row r="10" spans="2:7" x14ac:dyDescent="0.25">
      <c r="B10" s="4">
        <v>45935</v>
      </c>
      <c r="C10" s="2" t="s">
        <v>5563</v>
      </c>
      <c r="D10" s="2" t="s">
        <v>5564</v>
      </c>
      <c r="E10" s="2"/>
      <c r="F10" s="2"/>
      <c r="G10" s="2"/>
    </row>
    <row r="11" spans="2:7" x14ac:dyDescent="0.25">
      <c r="B11" s="4">
        <v>45936</v>
      </c>
      <c r="C11" s="2" t="s">
        <v>5568</v>
      </c>
      <c r="D11" s="2"/>
      <c r="E11" s="2"/>
      <c r="F11" s="2"/>
      <c r="G11" s="2"/>
    </row>
    <row r="12" spans="2:7" x14ac:dyDescent="0.25">
      <c r="B12" s="4">
        <v>45937</v>
      </c>
      <c r="C12" s="2" t="s">
        <v>5587</v>
      </c>
      <c r="D12" s="2" t="s">
        <v>5588</v>
      </c>
      <c r="E12" s="2"/>
      <c r="F12" s="2"/>
      <c r="G12" s="2"/>
    </row>
    <row r="13" spans="2:7" x14ac:dyDescent="0.25">
      <c r="B13" s="4">
        <v>45938</v>
      </c>
      <c r="C13" s="2" t="s">
        <v>5601</v>
      </c>
      <c r="D13" s="2" t="s">
        <v>5599</v>
      </c>
      <c r="E13" s="2"/>
      <c r="F13" s="2"/>
      <c r="G13" s="2"/>
    </row>
    <row r="14" spans="2:7" x14ac:dyDescent="0.25">
      <c r="B14" s="4">
        <v>45939</v>
      </c>
      <c r="C14" s="2" t="s">
        <v>5602</v>
      </c>
      <c r="D14" s="2" t="s">
        <v>5603</v>
      </c>
      <c r="E14" s="2">
        <v>12</v>
      </c>
      <c r="F14" s="2">
        <f>E14-E13</f>
        <v>12</v>
      </c>
      <c r="G14" s="2"/>
    </row>
    <row r="15" spans="2:7" x14ac:dyDescent="0.25">
      <c r="B15" s="4">
        <v>45940</v>
      </c>
      <c r="C15" s="2" t="s">
        <v>5611</v>
      </c>
      <c r="D15" s="2" t="s">
        <v>5612</v>
      </c>
      <c r="E15" s="2">
        <v>13</v>
      </c>
      <c r="F15" s="2">
        <f t="shared" ref="F15:F34" si="0">E15-E14</f>
        <v>1</v>
      </c>
      <c r="G15" s="2"/>
    </row>
    <row r="16" spans="2:7" x14ac:dyDescent="0.25">
      <c r="B16" s="4">
        <v>45941</v>
      </c>
      <c r="C16" s="2" t="s">
        <v>480</v>
      </c>
      <c r="D16" s="2"/>
      <c r="E16" s="2">
        <v>13</v>
      </c>
      <c r="F16" s="2">
        <f t="shared" si="0"/>
        <v>0</v>
      </c>
      <c r="G16" s="2"/>
    </row>
    <row r="17" spans="2:7" x14ac:dyDescent="0.25">
      <c r="B17" s="4">
        <v>45942</v>
      </c>
      <c r="C17" s="2" t="s">
        <v>480</v>
      </c>
      <c r="D17" s="2"/>
      <c r="E17" s="2">
        <v>13</v>
      </c>
      <c r="F17" s="2">
        <f t="shared" si="0"/>
        <v>0</v>
      </c>
      <c r="G17" s="2"/>
    </row>
    <row r="18" spans="2:7" x14ac:dyDescent="0.25">
      <c r="B18" s="4">
        <v>45943</v>
      </c>
      <c r="C18" s="2" t="s">
        <v>5637</v>
      </c>
      <c r="D18" s="2"/>
      <c r="E18" s="2">
        <v>28</v>
      </c>
      <c r="F18" s="2">
        <f t="shared" si="0"/>
        <v>15</v>
      </c>
      <c r="G18" s="2"/>
    </row>
    <row r="19" spans="2:7" x14ac:dyDescent="0.25">
      <c r="B19" s="4">
        <v>45944</v>
      </c>
      <c r="C19" s="2" t="s">
        <v>5638</v>
      </c>
      <c r="D19" s="2"/>
      <c r="E19" s="2">
        <v>34</v>
      </c>
      <c r="F19" s="2">
        <f t="shared" si="0"/>
        <v>6</v>
      </c>
      <c r="G19" s="2"/>
    </row>
    <row r="20" spans="2:7" x14ac:dyDescent="0.25">
      <c r="B20" s="4">
        <v>45945</v>
      </c>
      <c r="C20" s="2" t="s">
        <v>5647</v>
      </c>
      <c r="D20" s="2" t="s">
        <v>5648</v>
      </c>
      <c r="E20" s="2">
        <v>45</v>
      </c>
      <c r="F20" s="2">
        <f t="shared" si="0"/>
        <v>11</v>
      </c>
      <c r="G20" s="2"/>
    </row>
    <row r="21" spans="2:7" x14ac:dyDescent="0.25">
      <c r="B21" s="4">
        <v>45946</v>
      </c>
      <c r="C21" s="2" t="s">
        <v>5652</v>
      </c>
      <c r="D21" s="2"/>
      <c r="E21" s="2">
        <v>45</v>
      </c>
      <c r="F21" s="2">
        <f t="shared" si="0"/>
        <v>0</v>
      </c>
      <c r="G21" s="2"/>
    </row>
    <row r="22" spans="2:7" x14ac:dyDescent="0.25">
      <c r="B22" s="4">
        <v>45947</v>
      </c>
      <c r="C22" s="2" t="s">
        <v>5658</v>
      </c>
      <c r="D22" s="2"/>
      <c r="E22" s="2">
        <v>45</v>
      </c>
      <c r="F22" s="2">
        <f t="shared" si="0"/>
        <v>0</v>
      </c>
      <c r="G22" s="2"/>
    </row>
    <row r="23" spans="2:7" x14ac:dyDescent="0.25">
      <c r="B23" s="4">
        <v>45948</v>
      </c>
      <c r="C23" s="2" t="s">
        <v>5674</v>
      </c>
      <c r="D23" s="2"/>
      <c r="E23" s="2">
        <v>45</v>
      </c>
      <c r="F23" s="2">
        <f t="shared" si="0"/>
        <v>0</v>
      </c>
      <c r="G23" s="2"/>
    </row>
    <row r="24" spans="2:7" x14ac:dyDescent="0.25">
      <c r="B24" s="4">
        <v>45949</v>
      </c>
      <c r="C24" s="2" t="s">
        <v>5675</v>
      </c>
      <c r="D24" s="2" t="s">
        <v>5678</v>
      </c>
      <c r="E24" s="2">
        <v>57</v>
      </c>
      <c r="F24" s="2">
        <f t="shared" si="0"/>
        <v>12</v>
      </c>
      <c r="G24" s="2"/>
    </row>
    <row r="25" spans="2:7" x14ac:dyDescent="0.25">
      <c r="B25" s="4">
        <v>45950</v>
      </c>
      <c r="C25" s="2" t="s">
        <v>5681</v>
      </c>
      <c r="D25" s="2"/>
      <c r="E25" s="2">
        <v>67</v>
      </c>
      <c r="F25" s="2">
        <f t="shared" si="0"/>
        <v>10</v>
      </c>
      <c r="G25" s="2"/>
    </row>
    <row r="26" spans="2:7" x14ac:dyDescent="0.25">
      <c r="B26" s="4">
        <v>45951</v>
      </c>
      <c r="C26" s="2" t="s">
        <v>5695</v>
      </c>
      <c r="D26" s="2"/>
      <c r="E26" s="2">
        <v>68</v>
      </c>
      <c r="F26" s="2">
        <f t="shared" si="0"/>
        <v>1</v>
      </c>
      <c r="G26" s="2"/>
    </row>
    <row r="27" spans="2:7" x14ac:dyDescent="0.25">
      <c r="B27" s="4">
        <v>45952</v>
      </c>
      <c r="C27" s="2" t="s">
        <v>5481</v>
      </c>
      <c r="D27" s="2" t="s">
        <v>5708</v>
      </c>
      <c r="E27" s="2">
        <v>68</v>
      </c>
      <c r="F27" s="2">
        <f t="shared" si="0"/>
        <v>0</v>
      </c>
      <c r="G27" s="2"/>
    </row>
    <row r="28" spans="2:7" x14ac:dyDescent="0.25">
      <c r="B28" s="4">
        <v>45953</v>
      </c>
      <c r="C28" s="2" t="s">
        <v>5713</v>
      </c>
      <c r="D28" s="2"/>
      <c r="E28" s="2">
        <v>70</v>
      </c>
      <c r="F28" s="2">
        <f t="shared" si="0"/>
        <v>2</v>
      </c>
      <c r="G28" s="2"/>
    </row>
    <row r="29" spans="2:7" x14ac:dyDescent="0.25">
      <c r="B29" s="4">
        <v>45954</v>
      </c>
      <c r="C29" s="2" t="s">
        <v>5723</v>
      </c>
      <c r="D29" s="2"/>
      <c r="E29" s="2">
        <v>70</v>
      </c>
      <c r="F29" s="2">
        <f t="shared" si="0"/>
        <v>0</v>
      </c>
      <c r="G29" s="2"/>
    </row>
    <row r="30" spans="2:7" x14ac:dyDescent="0.25">
      <c r="B30" s="4">
        <v>45955</v>
      </c>
      <c r="C30" s="2" t="s">
        <v>5724</v>
      </c>
      <c r="D30" s="2" t="s">
        <v>4825</v>
      </c>
      <c r="E30" s="2"/>
      <c r="F30" s="2">
        <f t="shared" si="0"/>
        <v>-70</v>
      </c>
      <c r="G30" s="2"/>
    </row>
    <row r="31" spans="2:7" x14ac:dyDescent="0.25">
      <c r="B31" s="4">
        <v>45956</v>
      </c>
      <c r="C31" s="2"/>
      <c r="D31" s="2"/>
      <c r="E31" s="2"/>
      <c r="F31" s="2">
        <f t="shared" si="0"/>
        <v>0</v>
      </c>
      <c r="G31" s="2"/>
    </row>
    <row r="32" spans="2:7" x14ac:dyDescent="0.25">
      <c r="B32" s="4">
        <v>45957</v>
      </c>
      <c r="C32" s="2" t="s">
        <v>4825</v>
      </c>
      <c r="D32" s="2"/>
      <c r="E32" s="2"/>
      <c r="F32" s="2">
        <f t="shared" si="0"/>
        <v>0</v>
      </c>
      <c r="G32" s="2"/>
    </row>
    <row r="33" spans="2:7" x14ac:dyDescent="0.25">
      <c r="B33" s="4">
        <v>45958</v>
      </c>
      <c r="C33" s="2" t="s">
        <v>5738</v>
      </c>
      <c r="D33" s="2" t="s">
        <v>5766</v>
      </c>
      <c r="E33" s="2"/>
      <c r="F33" s="2">
        <f t="shared" si="0"/>
        <v>0</v>
      </c>
      <c r="G33" s="2"/>
    </row>
    <row r="34" spans="2:7" x14ac:dyDescent="0.25">
      <c r="B34" s="4">
        <v>45959</v>
      </c>
      <c r="C34" s="2"/>
      <c r="D34" s="2"/>
      <c r="E34" s="2"/>
      <c r="F34" s="2">
        <f t="shared" si="0"/>
        <v>0</v>
      </c>
      <c r="G34" s="2"/>
    </row>
    <row r="35" spans="2:7" x14ac:dyDescent="0.25">
      <c r="B35" s="4">
        <v>45960</v>
      </c>
      <c r="C35" s="2"/>
      <c r="D35" s="2"/>
      <c r="E35" s="2"/>
      <c r="F35" s="2"/>
      <c r="G35" s="2"/>
    </row>
    <row r="36" spans="2:7" x14ac:dyDescent="0.25">
      <c r="B36" s="4">
        <v>45961</v>
      </c>
      <c r="C36" s="2"/>
      <c r="D36" s="2"/>
      <c r="E36" s="2"/>
      <c r="F36" s="2"/>
      <c r="G36" s="2"/>
    </row>
    <row r="37" spans="2:7" x14ac:dyDescent="0.25">
      <c r="B37" s="4">
        <v>45962</v>
      </c>
      <c r="C37" s="2"/>
      <c r="D37" s="2"/>
      <c r="E37" s="2"/>
      <c r="F37" s="2"/>
      <c r="G37" s="2"/>
    </row>
    <row r="38" spans="2:7" x14ac:dyDescent="0.25">
      <c r="B38" s="4">
        <v>45963</v>
      </c>
      <c r="C38" s="2" t="s">
        <v>5781</v>
      </c>
      <c r="D38" s="2" t="s">
        <v>5838</v>
      </c>
      <c r="E38" s="2"/>
      <c r="F38" s="2"/>
      <c r="G38" s="2"/>
    </row>
    <row r="39" spans="2:7" x14ac:dyDescent="0.25">
      <c r="B39" s="4">
        <v>45964</v>
      </c>
      <c r="C39" s="2"/>
      <c r="D39" s="2"/>
      <c r="E39" s="2"/>
      <c r="F39" s="2"/>
      <c r="G39" s="2"/>
    </row>
    <row r="40" spans="2:7" x14ac:dyDescent="0.25">
      <c r="B40" s="4">
        <v>45965</v>
      </c>
      <c r="C40" s="2"/>
      <c r="D40" s="2"/>
      <c r="E40" s="2"/>
      <c r="F40" s="2"/>
      <c r="G40" s="2"/>
    </row>
    <row r="41" spans="2:7" x14ac:dyDescent="0.25">
      <c r="B41" s="4">
        <v>45966</v>
      </c>
      <c r="C41" s="2"/>
      <c r="D41" s="2"/>
      <c r="E41" s="2"/>
      <c r="F41" s="2"/>
      <c r="G41" s="2"/>
    </row>
    <row r="42" spans="2:7" x14ac:dyDescent="0.25">
      <c r="B42" s="4">
        <v>45967</v>
      </c>
      <c r="C42" s="2"/>
      <c r="D42" s="2"/>
      <c r="E42" s="2"/>
      <c r="F42" s="2"/>
      <c r="G42" s="2"/>
    </row>
    <row r="43" spans="2:7" x14ac:dyDescent="0.25">
      <c r="B43" s="4">
        <v>45968</v>
      </c>
      <c r="C43" s="2"/>
      <c r="D43" s="2"/>
      <c r="E43" s="2"/>
      <c r="F43" s="2"/>
      <c r="G43" s="2"/>
    </row>
    <row r="44" spans="2:7" x14ac:dyDescent="0.25">
      <c r="B44" s="4">
        <v>45969</v>
      </c>
      <c r="C44" s="2"/>
      <c r="D44" s="2"/>
      <c r="E44" s="2"/>
      <c r="F44" s="2"/>
      <c r="G44" s="2"/>
    </row>
    <row r="45" spans="2:7" x14ac:dyDescent="0.25">
      <c r="B45" s="4">
        <v>45970</v>
      </c>
      <c r="C45" s="2"/>
      <c r="D45" s="2"/>
      <c r="E45" s="2"/>
      <c r="F45" s="2"/>
      <c r="G45" s="2"/>
    </row>
    <row r="46" spans="2:7" x14ac:dyDescent="0.25">
      <c r="B46" s="4">
        <v>45971</v>
      </c>
      <c r="C46" s="2"/>
      <c r="D46" s="2"/>
      <c r="E46" s="2"/>
      <c r="F46" s="2"/>
      <c r="G46" s="2"/>
    </row>
    <row r="47" spans="2:7" x14ac:dyDescent="0.25">
      <c r="B47" s="4">
        <v>45972</v>
      </c>
      <c r="C47" s="2"/>
      <c r="D47" s="2"/>
      <c r="E47" s="2"/>
      <c r="F47" s="2"/>
      <c r="G47" s="2"/>
    </row>
    <row r="48" spans="2:7" x14ac:dyDescent="0.25">
      <c r="B48" s="4">
        <v>45973</v>
      </c>
      <c r="C48" s="2"/>
      <c r="D48" s="2"/>
      <c r="E48" s="2"/>
      <c r="F48" s="2"/>
      <c r="G48" s="2"/>
    </row>
    <row r="49" spans="2:7" x14ac:dyDescent="0.25">
      <c r="B49" s="4">
        <v>45974</v>
      </c>
      <c r="C49" s="2"/>
      <c r="D49" s="2"/>
      <c r="E49" s="2"/>
      <c r="F49" s="2"/>
      <c r="G49" s="2"/>
    </row>
    <row r="50" spans="2:7" x14ac:dyDescent="0.25">
      <c r="B50" s="4">
        <v>45975</v>
      </c>
      <c r="C50" s="2"/>
      <c r="D50" s="2"/>
      <c r="E50" s="2"/>
      <c r="F50" s="2"/>
      <c r="G50" s="2"/>
    </row>
    <row r="51" spans="2:7" x14ac:dyDescent="0.25">
      <c r="B51" s="4">
        <v>45976</v>
      </c>
      <c r="C51" s="2"/>
      <c r="D51" s="2"/>
      <c r="E51" s="2"/>
      <c r="F51" s="2"/>
      <c r="G51" s="2"/>
    </row>
    <row r="52" spans="2:7" x14ac:dyDescent="0.25">
      <c r="B52" s="4">
        <v>45977</v>
      </c>
      <c r="C52" s="2"/>
      <c r="D52" s="2"/>
      <c r="E52" s="2"/>
      <c r="F52" s="2"/>
      <c r="G52" s="2"/>
    </row>
    <row r="53" spans="2:7" x14ac:dyDescent="0.25">
      <c r="B53" s="4">
        <v>45978</v>
      </c>
      <c r="C53" s="2"/>
      <c r="D53" s="2"/>
      <c r="E53" s="2"/>
      <c r="F53" s="2"/>
      <c r="G53" s="2"/>
    </row>
    <row r="54" spans="2:7" x14ac:dyDescent="0.25">
      <c r="B54" s="4">
        <v>45979</v>
      </c>
      <c r="C54" s="2"/>
      <c r="D54" s="2"/>
      <c r="E54" s="2"/>
      <c r="F54" s="2"/>
      <c r="G54" s="2"/>
    </row>
    <row r="55" spans="2:7" x14ac:dyDescent="0.25">
      <c r="B55" s="4">
        <v>45980</v>
      </c>
      <c r="C55" s="2"/>
      <c r="D55" s="2"/>
      <c r="E55" s="2"/>
      <c r="F55" s="2"/>
      <c r="G55" s="2"/>
    </row>
    <row r="56" spans="2:7" x14ac:dyDescent="0.25">
      <c r="B56" s="4">
        <v>45981</v>
      </c>
      <c r="C56" s="2"/>
      <c r="D56" s="2"/>
      <c r="E56" s="2"/>
      <c r="F56" s="2"/>
      <c r="G56" s="2"/>
    </row>
    <row r="57" spans="2:7" x14ac:dyDescent="0.25">
      <c r="B57" s="4">
        <v>45982</v>
      </c>
      <c r="C57" s="2"/>
      <c r="D57" s="2"/>
      <c r="E57" s="2"/>
      <c r="F57" s="2"/>
      <c r="G57" s="2"/>
    </row>
    <row r="58" spans="2:7" x14ac:dyDescent="0.25">
      <c r="B58" s="4">
        <v>45983</v>
      </c>
      <c r="C58" s="2"/>
      <c r="D58" s="2"/>
      <c r="E58" s="2"/>
      <c r="F58" s="2"/>
      <c r="G58" s="2"/>
    </row>
    <row r="59" spans="2:7" x14ac:dyDescent="0.25">
      <c r="B59" s="4">
        <v>45984</v>
      </c>
      <c r="C59" s="2"/>
      <c r="D59" s="2"/>
      <c r="E59" s="2"/>
      <c r="F59" s="2"/>
      <c r="G59" s="2"/>
    </row>
    <row r="60" spans="2:7" x14ac:dyDescent="0.25">
      <c r="B60" s="4">
        <v>45985</v>
      </c>
      <c r="C60" s="2"/>
      <c r="D60" s="2"/>
      <c r="E60" s="2"/>
      <c r="F60" s="2"/>
      <c r="G60" s="2"/>
    </row>
    <row r="61" spans="2:7" x14ac:dyDescent="0.25">
      <c r="B61" s="4">
        <v>45986</v>
      </c>
      <c r="C61" s="2"/>
      <c r="D61" s="2"/>
      <c r="E61" s="2"/>
      <c r="F61" s="2"/>
      <c r="G61" s="2"/>
    </row>
    <row r="62" spans="2:7" x14ac:dyDescent="0.25">
      <c r="B62" s="4">
        <v>45987</v>
      </c>
      <c r="C62" s="2" t="s">
        <v>5980</v>
      </c>
      <c r="D62" s="2" t="s">
        <v>5982</v>
      </c>
      <c r="E62" s="2"/>
      <c r="F62" s="2"/>
      <c r="G62" s="2"/>
    </row>
    <row r="63" spans="2:7" x14ac:dyDescent="0.25">
      <c r="B63" s="4">
        <v>45988</v>
      </c>
      <c r="C63" s="2" t="s">
        <v>5987</v>
      </c>
      <c r="D63" s="2"/>
      <c r="E63" s="2"/>
      <c r="F63" s="2"/>
      <c r="G63" s="2"/>
    </row>
    <row r="64" spans="2:7" x14ac:dyDescent="0.25">
      <c r="B64" s="4">
        <v>45989</v>
      </c>
      <c r="C64" s="2"/>
      <c r="D64" s="2"/>
      <c r="E64" s="2"/>
      <c r="F64" s="2"/>
      <c r="G64" s="2"/>
    </row>
    <row r="65" spans="2:7" x14ac:dyDescent="0.25">
      <c r="B65" s="4">
        <v>45990</v>
      </c>
      <c r="C65" s="2"/>
      <c r="D65" s="2"/>
      <c r="E65" s="2"/>
      <c r="F65" s="2"/>
      <c r="G65" s="2"/>
    </row>
    <row r="66" spans="2:7" x14ac:dyDescent="0.25">
      <c r="B66" s="4">
        <v>45991</v>
      </c>
      <c r="C66" s="2"/>
      <c r="D66" s="2"/>
      <c r="E66" s="2"/>
      <c r="F66" s="2"/>
      <c r="G66" s="2"/>
    </row>
    <row r="67" spans="2:7" x14ac:dyDescent="0.25">
      <c r="B67" s="4">
        <v>45992</v>
      </c>
      <c r="C67" s="2"/>
      <c r="D67" s="2"/>
      <c r="E67" s="2"/>
      <c r="F67" s="2"/>
      <c r="G67" s="2"/>
    </row>
    <row r="68" spans="2:7" x14ac:dyDescent="0.25">
      <c r="B68" s="4">
        <v>45993</v>
      </c>
      <c r="C68" s="2"/>
      <c r="D68" s="2"/>
      <c r="E68" s="2"/>
      <c r="F68" s="2"/>
      <c r="G68" s="2"/>
    </row>
    <row r="69" spans="2:7" x14ac:dyDescent="0.25">
      <c r="B69" s="4">
        <v>45994</v>
      </c>
      <c r="C69" s="2"/>
      <c r="D69" s="2"/>
      <c r="E69" s="2"/>
      <c r="F69" s="2"/>
      <c r="G69" s="2"/>
    </row>
    <row r="70" spans="2:7" x14ac:dyDescent="0.25">
      <c r="B70" s="4">
        <v>45995</v>
      </c>
      <c r="C70" s="2"/>
      <c r="D70" s="2"/>
      <c r="E70" s="2"/>
      <c r="F70" s="2"/>
      <c r="G70" s="2"/>
    </row>
    <row r="71" spans="2:7" x14ac:dyDescent="0.25">
      <c r="B71" s="4">
        <v>45996</v>
      </c>
      <c r="C71" s="2"/>
      <c r="D71" s="2"/>
      <c r="E71" s="2"/>
      <c r="F71" s="2"/>
      <c r="G71" s="2"/>
    </row>
    <row r="72" spans="2:7" x14ac:dyDescent="0.25">
      <c r="B72" s="4">
        <v>45997</v>
      </c>
      <c r="C72" s="2"/>
      <c r="D72" s="2"/>
      <c r="E72" s="2"/>
      <c r="F72" s="2"/>
      <c r="G72" s="2"/>
    </row>
    <row r="73" spans="2:7" x14ac:dyDescent="0.25">
      <c r="B73" s="4">
        <v>45998</v>
      </c>
      <c r="C73" s="2"/>
      <c r="D73" s="2"/>
      <c r="E73" s="2"/>
      <c r="F73" s="2"/>
      <c r="G73" s="2"/>
    </row>
    <row r="74" spans="2:7" x14ac:dyDescent="0.25">
      <c r="B74" s="4">
        <v>45999</v>
      </c>
      <c r="C74" s="2"/>
      <c r="D74" s="2"/>
      <c r="E74" s="2"/>
      <c r="F74" s="2"/>
      <c r="G74" s="2"/>
    </row>
    <row r="75" spans="2:7" x14ac:dyDescent="0.25">
      <c r="B75" s="4">
        <v>46000</v>
      </c>
      <c r="C75" s="2"/>
      <c r="D75" s="2"/>
      <c r="E75" s="2"/>
      <c r="F75" s="2"/>
      <c r="G75" s="2"/>
    </row>
    <row r="76" spans="2:7" x14ac:dyDescent="0.25">
      <c r="B76" s="4">
        <v>46001</v>
      </c>
      <c r="C76" s="2"/>
      <c r="D76" s="2"/>
      <c r="E76" s="2"/>
      <c r="F76" s="2"/>
      <c r="G76" s="2"/>
    </row>
    <row r="77" spans="2:7" x14ac:dyDescent="0.25">
      <c r="B77" s="4">
        <v>46002</v>
      </c>
      <c r="C77" s="2"/>
      <c r="D77" s="2"/>
      <c r="E77" s="2"/>
      <c r="F77" s="2"/>
      <c r="G77" s="2"/>
    </row>
    <row r="78" spans="2:7" x14ac:dyDescent="0.25">
      <c r="B78" s="4">
        <v>46003</v>
      </c>
      <c r="C78" s="2"/>
      <c r="D78" s="2"/>
      <c r="E78" s="2"/>
      <c r="F78" s="2"/>
      <c r="G78" s="2"/>
    </row>
    <row r="79" spans="2:7" x14ac:dyDescent="0.25">
      <c r="B79" s="4">
        <v>46004</v>
      </c>
      <c r="C79" s="2"/>
      <c r="D79" s="2"/>
      <c r="E79" s="2"/>
      <c r="F79" s="2"/>
      <c r="G79" s="2"/>
    </row>
    <row r="80" spans="2:7" x14ac:dyDescent="0.25">
      <c r="B80" s="4">
        <v>46005</v>
      </c>
      <c r="C80" s="2"/>
      <c r="D80" s="2"/>
      <c r="E80" s="2"/>
      <c r="F80" s="2"/>
      <c r="G80" s="2"/>
    </row>
    <row r="81" spans="2:7" x14ac:dyDescent="0.25">
      <c r="B81" s="4">
        <v>46006</v>
      </c>
      <c r="C81" s="2"/>
      <c r="D81" s="2"/>
      <c r="E81" s="2"/>
      <c r="F81" s="2"/>
      <c r="G81" s="2"/>
    </row>
    <row r="82" spans="2:7" x14ac:dyDescent="0.25">
      <c r="B82" s="4">
        <v>46007</v>
      </c>
      <c r="C82" s="2"/>
      <c r="D82" s="2"/>
      <c r="E82" s="2"/>
      <c r="F82" s="2"/>
      <c r="G82" s="2"/>
    </row>
    <row r="83" spans="2:7" x14ac:dyDescent="0.25">
      <c r="B83" s="4">
        <v>46008</v>
      </c>
      <c r="C83" s="2" t="s">
        <v>6140</v>
      </c>
      <c r="D83" s="2"/>
      <c r="E83" s="2"/>
      <c r="F83" s="2"/>
      <c r="G83" s="2"/>
    </row>
    <row r="84" spans="2:7" x14ac:dyDescent="0.25">
      <c r="B84" s="4">
        <v>46009</v>
      </c>
      <c r="C84" s="2"/>
      <c r="D84" s="2"/>
      <c r="E84" s="2"/>
      <c r="F84" s="2"/>
      <c r="G84" s="2"/>
    </row>
    <row r="85" spans="2:7" x14ac:dyDescent="0.25">
      <c r="B85" s="4">
        <v>46010</v>
      </c>
      <c r="C85" s="2" t="s">
        <v>6175</v>
      </c>
      <c r="D85" s="2"/>
      <c r="E85" s="2"/>
      <c r="F85" s="2"/>
      <c r="G85" s="2"/>
    </row>
    <row r="86" spans="2:7" x14ac:dyDescent="0.25">
      <c r="B86" s="4">
        <v>46011</v>
      </c>
      <c r="C86" s="2"/>
      <c r="D86" s="2"/>
      <c r="E86" s="2"/>
      <c r="F86" s="2"/>
      <c r="G86" s="2"/>
    </row>
    <row r="87" spans="2:7" x14ac:dyDescent="0.25">
      <c r="B87" s="4">
        <v>46012</v>
      </c>
      <c r="C87" s="2"/>
      <c r="D87" s="2"/>
      <c r="E87" s="2"/>
      <c r="F87" s="2"/>
      <c r="G87" s="2"/>
    </row>
    <row r="88" spans="2:7" x14ac:dyDescent="0.25">
      <c r="B88" s="4">
        <v>46013</v>
      </c>
      <c r="C88" s="2"/>
      <c r="D88" s="2"/>
      <c r="E88" s="2"/>
      <c r="F88" s="2"/>
      <c r="G88" s="2"/>
    </row>
    <row r="89" spans="2:7" x14ac:dyDescent="0.25">
      <c r="B89" s="4">
        <v>46014</v>
      </c>
      <c r="C89" s="2"/>
      <c r="D89" s="2"/>
      <c r="E89" s="2"/>
      <c r="F89" s="2"/>
      <c r="G89" s="2"/>
    </row>
    <row r="90" spans="2:7" x14ac:dyDescent="0.25">
      <c r="B90" s="4">
        <v>46015</v>
      </c>
      <c r="C90" s="2" t="s">
        <v>366</v>
      </c>
      <c r="D90" s="2"/>
      <c r="E90" s="2"/>
      <c r="F90" s="2"/>
      <c r="G90" s="2"/>
    </row>
    <row r="91" spans="2:7" x14ac:dyDescent="0.25">
      <c r="B91" s="4">
        <v>46016</v>
      </c>
      <c r="C91" s="2" t="s">
        <v>6402</v>
      </c>
      <c r="D91" s="2"/>
      <c r="E91" s="2"/>
      <c r="F91" s="2"/>
      <c r="G91" s="2"/>
    </row>
    <row r="92" spans="2:7" x14ac:dyDescent="0.25">
      <c r="B92" s="4">
        <v>46017</v>
      </c>
      <c r="C92" s="2"/>
      <c r="D92" s="2"/>
      <c r="E92" s="2"/>
      <c r="F92" s="2"/>
      <c r="G92" s="2"/>
    </row>
    <row r="93" spans="2:7" x14ac:dyDescent="0.25">
      <c r="B93" s="4">
        <v>46090</v>
      </c>
      <c r="C93" s="2" t="s">
        <v>6688</v>
      </c>
      <c r="D93" s="2"/>
      <c r="E93" s="2"/>
      <c r="F93" s="2"/>
      <c r="G93" s="2"/>
    </row>
    <row r="94" spans="2:7" x14ac:dyDescent="0.25">
      <c r="B94" s="4">
        <v>46091</v>
      </c>
      <c r="C94" s="2" t="s">
        <v>3060</v>
      </c>
      <c r="D94" s="2"/>
      <c r="E94" s="2"/>
      <c r="F94" s="2"/>
      <c r="G94" s="2"/>
    </row>
    <row r="95" spans="2:7" x14ac:dyDescent="0.25">
      <c r="B95" s="4">
        <v>46092</v>
      </c>
      <c r="C95" s="2" t="s">
        <v>4597</v>
      </c>
      <c r="D95" s="2"/>
      <c r="E95" s="2"/>
      <c r="F95" s="2"/>
      <c r="G95" s="2"/>
    </row>
    <row r="96" spans="2:7" x14ac:dyDescent="0.25">
      <c r="B96" s="4">
        <v>46093</v>
      </c>
      <c r="C96" s="2"/>
      <c r="D96" s="2"/>
      <c r="E96" s="2"/>
      <c r="F96" s="2"/>
      <c r="G96" s="2"/>
    </row>
    <row r="97" spans="2:7" x14ac:dyDescent="0.25">
      <c r="B97" s="4">
        <v>46094</v>
      </c>
      <c r="C97" s="2"/>
      <c r="D97" s="2"/>
      <c r="E97" s="2"/>
      <c r="F97" s="2"/>
      <c r="G97" s="2"/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B2:G177"/>
  <sheetViews>
    <sheetView workbookViewId="0">
      <pane ySplit="3" topLeftCell="A4" activePane="bottomLeft" state="frozen"/>
      <selection activeCell="D8" sqref="D8"/>
      <selection pane="bottomLeft" activeCell="D169" sqref="D169"/>
    </sheetView>
  </sheetViews>
  <sheetFormatPr defaultRowHeight="15" x14ac:dyDescent="0.25"/>
  <cols>
    <col min="2" max="2" width="18" bestFit="1" customWidth="1"/>
    <col min="3" max="3" width="72" bestFit="1" customWidth="1"/>
    <col min="4" max="4" width="42.140625" bestFit="1" customWidth="1"/>
    <col min="5" max="5" width="11.85546875" bestFit="1" customWidth="1"/>
    <col min="7" max="7" width="11" bestFit="1" customWidth="1"/>
  </cols>
  <sheetData>
    <row r="2" spans="2:7" x14ac:dyDescent="0.25">
      <c r="B2" s="144" t="s">
        <v>6718</v>
      </c>
    </row>
    <row r="3" spans="2:7" ht="15.75" x14ac:dyDescent="0.25">
      <c r="B3" s="10" t="s">
        <v>0</v>
      </c>
      <c r="C3" s="11" t="s">
        <v>1</v>
      </c>
      <c r="D3" s="11" t="s">
        <v>2</v>
      </c>
      <c r="E3" s="11" t="s">
        <v>934</v>
      </c>
      <c r="F3" s="11" t="s">
        <v>1095</v>
      </c>
      <c r="G3" s="11" t="s">
        <v>1507</v>
      </c>
    </row>
    <row r="4" spans="2:7" x14ac:dyDescent="0.25">
      <c r="B4" s="4">
        <v>45945</v>
      </c>
      <c r="C4" s="2" t="s">
        <v>4729</v>
      </c>
      <c r="D4" s="2"/>
      <c r="E4" s="23"/>
      <c r="F4" s="2"/>
      <c r="G4" s="2"/>
    </row>
    <row r="5" spans="2:7" x14ac:dyDescent="0.25">
      <c r="B5" s="4">
        <v>45946</v>
      </c>
      <c r="C5" s="2" t="s">
        <v>5649</v>
      </c>
      <c r="D5" s="2"/>
      <c r="E5" s="23"/>
      <c r="F5" s="2"/>
      <c r="G5" s="2"/>
    </row>
    <row r="6" spans="2:7" x14ac:dyDescent="0.25">
      <c r="B6" s="4">
        <v>45947</v>
      </c>
      <c r="C6" s="2" t="s">
        <v>279</v>
      </c>
      <c r="D6" s="2"/>
      <c r="E6" s="23"/>
      <c r="F6" s="2"/>
      <c r="G6" s="2"/>
    </row>
    <row r="7" spans="2:7" x14ac:dyDescent="0.25">
      <c r="B7" s="4">
        <v>45948</v>
      </c>
      <c r="C7" s="2" t="s">
        <v>5677</v>
      </c>
      <c r="D7" s="58"/>
      <c r="E7" s="23"/>
      <c r="F7" s="2"/>
      <c r="G7" s="2"/>
    </row>
    <row r="8" spans="2:7" x14ac:dyDescent="0.25">
      <c r="B8" s="4">
        <v>45949</v>
      </c>
      <c r="C8" s="2" t="s">
        <v>5676</v>
      </c>
      <c r="D8" s="58"/>
      <c r="E8" s="23"/>
      <c r="F8" s="2"/>
      <c r="G8" s="2"/>
    </row>
    <row r="9" spans="2:7" x14ac:dyDescent="0.25">
      <c r="B9" s="4">
        <v>45950</v>
      </c>
      <c r="C9" s="2" t="s">
        <v>5679</v>
      </c>
      <c r="D9" s="58" t="s">
        <v>5680</v>
      </c>
      <c r="E9" s="23"/>
      <c r="F9" s="2"/>
      <c r="G9" s="2"/>
    </row>
    <row r="10" spans="2:7" x14ac:dyDescent="0.25">
      <c r="B10" s="4">
        <v>45951</v>
      </c>
      <c r="C10" s="2" t="s">
        <v>5692</v>
      </c>
      <c r="D10" s="2"/>
      <c r="E10" s="2"/>
      <c r="F10" s="2"/>
      <c r="G10" s="2"/>
    </row>
    <row r="11" spans="2:7" x14ac:dyDescent="0.25">
      <c r="B11" s="4">
        <v>45952</v>
      </c>
      <c r="C11" s="2" t="s">
        <v>5703</v>
      </c>
      <c r="D11" s="2" t="s">
        <v>5704</v>
      </c>
      <c r="E11" s="2"/>
      <c r="F11" s="2"/>
      <c r="G11" s="2"/>
    </row>
    <row r="12" spans="2:7" x14ac:dyDescent="0.25">
      <c r="B12" s="4">
        <v>45953</v>
      </c>
      <c r="C12" s="2" t="s">
        <v>5711</v>
      </c>
      <c r="D12" s="2" t="s">
        <v>5712</v>
      </c>
      <c r="E12" s="2"/>
      <c r="F12" s="2"/>
      <c r="G12" s="2"/>
    </row>
    <row r="13" spans="2:7" x14ac:dyDescent="0.25">
      <c r="B13" s="4">
        <v>45954</v>
      </c>
      <c r="C13" s="2" t="s">
        <v>5725</v>
      </c>
      <c r="D13" s="2"/>
      <c r="E13" s="2"/>
      <c r="F13" s="2"/>
      <c r="G13" s="2"/>
    </row>
    <row r="14" spans="2:7" x14ac:dyDescent="0.25">
      <c r="B14" s="4">
        <v>45955</v>
      </c>
      <c r="C14" s="2" t="s">
        <v>5733</v>
      </c>
      <c r="D14" s="2"/>
      <c r="E14" s="2">
        <v>7</v>
      </c>
      <c r="F14" s="2">
        <f>E14-E13</f>
        <v>7</v>
      </c>
      <c r="G14" s="2"/>
    </row>
    <row r="15" spans="2:7" x14ac:dyDescent="0.25">
      <c r="B15" s="4">
        <v>45956</v>
      </c>
      <c r="C15" s="2" t="s">
        <v>5739</v>
      </c>
      <c r="D15" s="2"/>
      <c r="E15" s="2">
        <v>9</v>
      </c>
      <c r="F15" s="2">
        <f t="shared" ref="F15:F78" si="0">E15-E14</f>
        <v>2</v>
      </c>
      <c r="G15" s="2"/>
    </row>
    <row r="16" spans="2:7" x14ac:dyDescent="0.25">
      <c r="B16" s="4">
        <v>45957</v>
      </c>
      <c r="C16" s="2" t="s">
        <v>5756</v>
      </c>
      <c r="D16" s="2" t="s">
        <v>5747</v>
      </c>
      <c r="E16" s="2">
        <v>12</v>
      </c>
      <c r="F16" s="2">
        <f t="shared" si="0"/>
        <v>3</v>
      </c>
      <c r="G16" s="2"/>
    </row>
    <row r="17" spans="2:7" x14ac:dyDescent="0.25">
      <c r="B17" s="4">
        <v>45958</v>
      </c>
      <c r="C17" s="2" t="s">
        <v>5757</v>
      </c>
      <c r="D17" s="2" t="s">
        <v>5748</v>
      </c>
      <c r="E17" s="2">
        <v>16</v>
      </c>
      <c r="F17" s="2">
        <f t="shared" si="0"/>
        <v>4</v>
      </c>
      <c r="G17" s="2"/>
    </row>
    <row r="18" spans="2:7" x14ac:dyDescent="0.25">
      <c r="B18" s="4">
        <v>45959</v>
      </c>
      <c r="C18" s="2" t="s">
        <v>5758</v>
      </c>
      <c r="D18" s="2" t="s">
        <v>5759</v>
      </c>
      <c r="E18" s="2">
        <v>18</v>
      </c>
      <c r="F18" s="2">
        <f t="shared" si="0"/>
        <v>2</v>
      </c>
      <c r="G18" s="2"/>
    </row>
    <row r="19" spans="2:7" x14ac:dyDescent="0.25">
      <c r="B19" s="4">
        <v>45960</v>
      </c>
      <c r="C19" s="2" t="s">
        <v>5764</v>
      </c>
      <c r="D19" s="2"/>
      <c r="E19" s="2">
        <v>21</v>
      </c>
      <c r="F19" s="2">
        <f t="shared" si="0"/>
        <v>3</v>
      </c>
      <c r="G19" s="2"/>
    </row>
    <row r="20" spans="2:7" x14ac:dyDescent="0.25">
      <c r="B20" s="4">
        <v>45961</v>
      </c>
      <c r="C20" s="2" t="s">
        <v>5773</v>
      </c>
      <c r="D20" s="2"/>
      <c r="E20" s="2">
        <v>22</v>
      </c>
      <c r="F20" s="2">
        <f t="shared" si="0"/>
        <v>1</v>
      </c>
      <c r="G20" s="2"/>
    </row>
    <row r="21" spans="2:7" x14ac:dyDescent="0.25">
      <c r="B21" s="4">
        <v>45962</v>
      </c>
      <c r="C21" s="2" t="s">
        <v>5782</v>
      </c>
      <c r="D21" s="2"/>
      <c r="E21" s="2">
        <v>23</v>
      </c>
      <c r="F21" s="2">
        <f t="shared" si="0"/>
        <v>1</v>
      </c>
      <c r="G21" s="2"/>
    </row>
    <row r="22" spans="2:7" x14ac:dyDescent="0.25">
      <c r="B22" s="4">
        <v>45963</v>
      </c>
      <c r="C22" s="2" t="s">
        <v>5783</v>
      </c>
      <c r="D22" s="2"/>
      <c r="E22" s="2">
        <v>24</v>
      </c>
      <c r="F22" s="2">
        <f t="shared" si="0"/>
        <v>1</v>
      </c>
      <c r="G22" s="2"/>
    </row>
    <row r="23" spans="2:7" x14ac:dyDescent="0.25">
      <c r="B23" s="4">
        <v>45964</v>
      </c>
      <c r="C23" s="2" t="s">
        <v>5792</v>
      </c>
      <c r="D23" s="2"/>
      <c r="E23" s="2">
        <v>25.5</v>
      </c>
      <c r="F23" s="2">
        <f t="shared" si="0"/>
        <v>1.5</v>
      </c>
      <c r="G23" s="2"/>
    </row>
    <row r="24" spans="2:7" x14ac:dyDescent="0.25">
      <c r="B24" s="4">
        <v>45965</v>
      </c>
      <c r="C24" s="2" t="s">
        <v>5794</v>
      </c>
      <c r="D24" s="2"/>
      <c r="E24" s="2">
        <v>28</v>
      </c>
      <c r="F24" s="2">
        <f t="shared" si="0"/>
        <v>2.5</v>
      </c>
      <c r="G24" s="2"/>
    </row>
    <row r="25" spans="2:7" x14ac:dyDescent="0.25">
      <c r="B25" s="4">
        <v>45966</v>
      </c>
      <c r="C25" s="2" t="s">
        <v>5808</v>
      </c>
      <c r="D25" s="2" t="s">
        <v>5809</v>
      </c>
      <c r="E25" s="2">
        <v>30.5</v>
      </c>
      <c r="F25" s="2">
        <f t="shared" si="0"/>
        <v>2.5</v>
      </c>
      <c r="G25" s="2"/>
    </row>
    <row r="26" spans="2:7" x14ac:dyDescent="0.25">
      <c r="B26" s="4">
        <v>45967</v>
      </c>
      <c r="C26" s="2" t="s">
        <v>5812</v>
      </c>
      <c r="D26" s="2" t="s">
        <v>5814</v>
      </c>
      <c r="E26" s="2">
        <v>31</v>
      </c>
      <c r="F26" s="2">
        <f t="shared" si="0"/>
        <v>0.5</v>
      </c>
      <c r="G26" s="2"/>
    </row>
    <row r="27" spans="2:7" x14ac:dyDescent="0.25">
      <c r="B27" s="4">
        <v>45968</v>
      </c>
      <c r="C27" s="2" t="s">
        <v>5822</v>
      </c>
      <c r="D27" s="2" t="s">
        <v>5817</v>
      </c>
      <c r="E27" s="2">
        <v>31</v>
      </c>
      <c r="F27" s="2">
        <f t="shared" si="0"/>
        <v>0</v>
      </c>
      <c r="G27" s="2"/>
    </row>
    <row r="28" spans="2:7" x14ac:dyDescent="0.25">
      <c r="B28" s="4">
        <v>45969</v>
      </c>
      <c r="C28" s="2" t="s">
        <v>5825</v>
      </c>
      <c r="D28" s="2"/>
      <c r="E28" s="2">
        <v>34</v>
      </c>
      <c r="F28" s="2">
        <f t="shared" si="0"/>
        <v>3</v>
      </c>
      <c r="G28" s="2"/>
    </row>
    <row r="29" spans="2:7" x14ac:dyDescent="0.25">
      <c r="B29" s="4">
        <v>45970</v>
      </c>
      <c r="C29" s="2" t="s">
        <v>5890</v>
      </c>
      <c r="D29" s="2"/>
      <c r="E29" s="2">
        <v>37</v>
      </c>
      <c r="F29" s="2">
        <f t="shared" si="0"/>
        <v>3</v>
      </c>
      <c r="G29" s="2"/>
    </row>
    <row r="30" spans="2:7" x14ac:dyDescent="0.25">
      <c r="B30" s="4">
        <v>45971</v>
      </c>
      <c r="C30" s="2" t="s">
        <v>5891</v>
      </c>
      <c r="D30" s="2" t="s">
        <v>5839</v>
      </c>
      <c r="E30" s="2">
        <v>39</v>
      </c>
      <c r="F30" s="2">
        <f t="shared" si="0"/>
        <v>2</v>
      </c>
      <c r="G30" s="2"/>
    </row>
    <row r="31" spans="2:7" x14ac:dyDescent="0.25">
      <c r="B31" s="4">
        <v>45972</v>
      </c>
      <c r="C31" s="2" t="s">
        <v>5840</v>
      </c>
      <c r="D31" s="2"/>
      <c r="E31" s="2"/>
      <c r="F31" s="2">
        <f t="shared" si="0"/>
        <v>-39</v>
      </c>
      <c r="G31" s="2"/>
    </row>
    <row r="32" spans="2:7" x14ac:dyDescent="0.25">
      <c r="B32" s="4">
        <v>45973</v>
      </c>
      <c r="C32" s="2" t="s">
        <v>5848</v>
      </c>
      <c r="D32" s="2"/>
      <c r="E32" s="2"/>
      <c r="F32" s="2">
        <f t="shared" si="0"/>
        <v>0</v>
      </c>
      <c r="G32" s="2"/>
    </row>
    <row r="33" spans="2:7" x14ac:dyDescent="0.25">
      <c r="B33" s="4">
        <v>45974</v>
      </c>
      <c r="C33" s="2" t="s">
        <v>5848</v>
      </c>
      <c r="D33" s="2" t="s">
        <v>5854</v>
      </c>
      <c r="E33" s="2"/>
      <c r="F33" s="2">
        <f t="shared" si="0"/>
        <v>0</v>
      </c>
      <c r="G33" s="2"/>
    </row>
    <row r="34" spans="2:7" x14ac:dyDescent="0.25">
      <c r="B34" s="4">
        <v>45975</v>
      </c>
      <c r="C34" s="2" t="s">
        <v>5866</v>
      </c>
      <c r="D34" s="2"/>
      <c r="E34" s="2">
        <v>39</v>
      </c>
      <c r="F34" s="2">
        <f t="shared" si="0"/>
        <v>39</v>
      </c>
      <c r="G34" s="2"/>
    </row>
    <row r="35" spans="2:7" x14ac:dyDescent="0.25">
      <c r="B35" s="4">
        <v>45976</v>
      </c>
      <c r="C35" s="2" t="s">
        <v>5892</v>
      </c>
      <c r="D35" s="2" t="s">
        <v>5881</v>
      </c>
      <c r="E35" s="2">
        <v>39.5</v>
      </c>
      <c r="F35" s="2">
        <f t="shared" si="0"/>
        <v>0.5</v>
      </c>
      <c r="G35" s="2"/>
    </row>
    <row r="36" spans="2:7" x14ac:dyDescent="0.25">
      <c r="B36" s="4">
        <v>45977</v>
      </c>
      <c r="C36" s="2" t="s">
        <v>5893</v>
      </c>
      <c r="D36" s="2" t="s">
        <v>5894</v>
      </c>
      <c r="E36" s="2">
        <v>40</v>
      </c>
      <c r="F36" s="2">
        <f t="shared" si="0"/>
        <v>0.5</v>
      </c>
      <c r="G36" s="2"/>
    </row>
    <row r="37" spans="2:7" x14ac:dyDescent="0.25">
      <c r="B37" s="4">
        <v>45978</v>
      </c>
      <c r="C37" s="2" t="s">
        <v>5895</v>
      </c>
      <c r="D37" s="2"/>
      <c r="E37" s="2">
        <v>40.700000000000003</v>
      </c>
      <c r="F37" s="2">
        <f t="shared" si="0"/>
        <v>0.70000000000000284</v>
      </c>
      <c r="G37" s="2"/>
    </row>
    <row r="38" spans="2:7" x14ac:dyDescent="0.25">
      <c r="B38" s="4">
        <v>45979</v>
      </c>
      <c r="C38" s="2" t="s">
        <v>5908</v>
      </c>
      <c r="D38" s="2" t="s">
        <v>5910</v>
      </c>
      <c r="E38" s="2">
        <v>41</v>
      </c>
      <c r="F38" s="2">
        <f t="shared" si="0"/>
        <v>0.29999999999999716</v>
      </c>
      <c r="G38" s="2"/>
    </row>
    <row r="39" spans="2:7" x14ac:dyDescent="0.25">
      <c r="B39" s="4">
        <v>45980</v>
      </c>
      <c r="C39" s="2" t="s">
        <v>5918</v>
      </c>
      <c r="D39" s="2"/>
      <c r="E39" s="2"/>
      <c r="F39" s="2">
        <f t="shared" si="0"/>
        <v>-41</v>
      </c>
      <c r="G39" s="2"/>
    </row>
    <row r="40" spans="2:7" x14ac:dyDescent="0.25">
      <c r="B40" s="4">
        <v>45981</v>
      </c>
      <c r="C40" s="2" t="s">
        <v>5932</v>
      </c>
      <c r="D40" s="2"/>
      <c r="E40" s="2"/>
      <c r="F40" s="2">
        <f t="shared" si="0"/>
        <v>0</v>
      </c>
      <c r="G40" s="2"/>
    </row>
    <row r="41" spans="2:7" x14ac:dyDescent="0.25">
      <c r="B41" s="4">
        <v>45982</v>
      </c>
      <c r="C41" s="2" t="s">
        <v>5932</v>
      </c>
      <c r="D41" s="2" t="s">
        <v>5938</v>
      </c>
      <c r="E41" s="2"/>
      <c r="F41" s="2">
        <f t="shared" si="0"/>
        <v>0</v>
      </c>
      <c r="G41" s="2"/>
    </row>
    <row r="42" spans="2:7" x14ac:dyDescent="0.25">
      <c r="B42" s="4">
        <v>45983</v>
      </c>
      <c r="C42" s="2" t="s">
        <v>5942</v>
      </c>
      <c r="D42" s="2"/>
      <c r="E42" s="2"/>
      <c r="F42" s="2">
        <f t="shared" si="0"/>
        <v>0</v>
      </c>
      <c r="G42" s="2"/>
    </row>
    <row r="43" spans="2:7" x14ac:dyDescent="0.25">
      <c r="B43" s="4">
        <v>45984</v>
      </c>
      <c r="C43" s="2" t="s">
        <v>5954</v>
      </c>
      <c r="D43" s="2"/>
      <c r="E43" s="2">
        <v>41.6</v>
      </c>
      <c r="F43" s="2">
        <f t="shared" si="0"/>
        <v>41.6</v>
      </c>
      <c r="G43" s="2"/>
    </row>
    <row r="44" spans="2:7" x14ac:dyDescent="0.25">
      <c r="B44" s="4">
        <v>45985</v>
      </c>
      <c r="C44" s="2" t="s">
        <v>5961</v>
      </c>
      <c r="D44" s="2"/>
      <c r="E44" s="2">
        <v>42.1</v>
      </c>
      <c r="F44" s="2">
        <f t="shared" si="0"/>
        <v>0.5</v>
      </c>
      <c r="G44" s="2"/>
    </row>
    <row r="45" spans="2:7" x14ac:dyDescent="0.25">
      <c r="B45" s="4">
        <v>45986</v>
      </c>
      <c r="C45" s="2" t="s">
        <v>5972</v>
      </c>
      <c r="D45" s="2"/>
      <c r="E45" s="2">
        <v>43.1</v>
      </c>
      <c r="F45" s="2">
        <f t="shared" si="0"/>
        <v>1</v>
      </c>
      <c r="G45" s="2"/>
    </row>
    <row r="46" spans="2:7" x14ac:dyDescent="0.25">
      <c r="B46" s="4">
        <v>45987</v>
      </c>
      <c r="C46" s="2" t="s">
        <v>5983</v>
      </c>
      <c r="D46" s="2"/>
      <c r="E46" s="2">
        <v>43.1</v>
      </c>
      <c r="F46" s="2">
        <f t="shared" si="0"/>
        <v>0</v>
      </c>
      <c r="G46" s="2"/>
    </row>
    <row r="47" spans="2:7" x14ac:dyDescent="0.25">
      <c r="B47" s="4">
        <v>45988</v>
      </c>
      <c r="C47" s="2" t="s">
        <v>5989</v>
      </c>
      <c r="D47" s="2"/>
      <c r="E47" s="2">
        <v>44.1</v>
      </c>
      <c r="F47" s="2">
        <f t="shared" si="0"/>
        <v>1</v>
      </c>
      <c r="G47" s="2"/>
    </row>
    <row r="48" spans="2:7" x14ac:dyDescent="0.25">
      <c r="B48" s="4">
        <v>45989</v>
      </c>
      <c r="C48" s="2" t="s">
        <v>5992</v>
      </c>
      <c r="D48" s="2"/>
      <c r="E48" s="2"/>
      <c r="F48" s="2">
        <f t="shared" si="0"/>
        <v>-44.1</v>
      </c>
      <c r="G48" s="2"/>
    </row>
    <row r="49" spans="2:7" x14ac:dyDescent="0.25">
      <c r="B49" s="4">
        <v>45990</v>
      </c>
      <c r="C49" s="2" t="s">
        <v>6009</v>
      </c>
      <c r="D49" s="2"/>
      <c r="E49" s="2"/>
      <c r="F49" s="2">
        <f t="shared" si="0"/>
        <v>0</v>
      </c>
      <c r="G49" s="2"/>
    </row>
    <row r="50" spans="2:7" x14ac:dyDescent="0.25">
      <c r="B50" s="4">
        <v>45991</v>
      </c>
      <c r="C50" s="2" t="s">
        <v>6010</v>
      </c>
      <c r="D50" s="2"/>
      <c r="E50" s="2"/>
      <c r="F50" s="2">
        <f t="shared" si="0"/>
        <v>0</v>
      </c>
      <c r="G50" s="2"/>
    </row>
    <row r="51" spans="2:7" x14ac:dyDescent="0.25">
      <c r="B51" s="4">
        <v>45992</v>
      </c>
      <c r="C51" s="2" t="s">
        <v>6022</v>
      </c>
      <c r="D51" s="2"/>
      <c r="E51" s="2"/>
      <c r="F51" s="2">
        <f t="shared" si="0"/>
        <v>0</v>
      </c>
      <c r="G51" s="2"/>
    </row>
    <row r="52" spans="2:7" x14ac:dyDescent="0.25">
      <c r="B52" s="4">
        <v>45993</v>
      </c>
      <c r="C52" s="2" t="s">
        <v>6035</v>
      </c>
      <c r="D52" s="2"/>
      <c r="E52" s="2">
        <v>30</v>
      </c>
      <c r="F52" s="2">
        <f t="shared" si="0"/>
        <v>30</v>
      </c>
      <c r="G52" s="2"/>
    </row>
    <row r="53" spans="2:7" x14ac:dyDescent="0.25">
      <c r="B53" s="4">
        <v>45994</v>
      </c>
      <c r="C53" s="2" t="s">
        <v>6038</v>
      </c>
      <c r="D53" s="2"/>
      <c r="E53" s="2">
        <v>35</v>
      </c>
      <c r="F53" s="2">
        <f t="shared" si="0"/>
        <v>5</v>
      </c>
      <c r="G53" s="2"/>
    </row>
    <row r="54" spans="2:7" x14ac:dyDescent="0.25">
      <c r="B54" s="4">
        <v>45995</v>
      </c>
      <c r="C54" s="2" t="s">
        <v>6051</v>
      </c>
      <c r="D54" s="2"/>
      <c r="E54" s="2">
        <v>39</v>
      </c>
      <c r="F54" s="2">
        <f t="shared" si="0"/>
        <v>4</v>
      </c>
      <c r="G54" s="2"/>
    </row>
    <row r="55" spans="2:7" x14ac:dyDescent="0.25">
      <c r="B55" s="4">
        <v>45996</v>
      </c>
      <c r="C55" s="2" t="s">
        <v>6055</v>
      </c>
      <c r="D55" s="2"/>
      <c r="E55" s="2">
        <v>60</v>
      </c>
      <c r="F55" s="2">
        <f t="shared" si="0"/>
        <v>21</v>
      </c>
      <c r="G55" s="2"/>
    </row>
    <row r="56" spans="2:7" x14ac:dyDescent="0.25">
      <c r="B56" s="4">
        <v>45997</v>
      </c>
      <c r="C56" s="2" t="s">
        <v>6062</v>
      </c>
      <c r="D56" s="2"/>
      <c r="E56" s="2">
        <v>61</v>
      </c>
      <c r="F56" s="2">
        <f t="shared" si="0"/>
        <v>1</v>
      </c>
      <c r="G56" s="2"/>
    </row>
    <row r="57" spans="2:7" x14ac:dyDescent="0.25">
      <c r="B57" s="4">
        <v>45998</v>
      </c>
      <c r="C57" s="2" t="s">
        <v>6067</v>
      </c>
      <c r="D57" s="2" t="s">
        <v>6068</v>
      </c>
      <c r="E57" s="2">
        <v>61.2</v>
      </c>
      <c r="F57" s="2">
        <f t="shared" si="0"/>
        <v>0.20000000000000284</v>
      </c>
      <c r="G57" s="2"/>
    </row>
    <row r="58" spans="2:7" x14ac:dyDescent="0.25">
      <c r="B58" s="4">
        <v>45999</v>
      </c>
      <c r="C58" s="2" t="s">
        <v>6073</v>
      </c>
      <c r="D58" s="2"/>
      <c r="E58" s="2">
        <v>61.7</v>
      </c>
      <c r="F58" s="2">
        <f t="shared" si="0"/>
        <v>0.5</v>
      </c>
      <c r="G58" s="2"/>
    </row>
    <row r="59" spans="2:7" x14ac:dyDescent="0.25">
      <c r="B59" s="4">
        <v>46000</v>
      </c>
      <c r="C59" s="2" t="s">
        <v>6087</v>
      </c>
      <c r="D59" s="2"/>
      <c r="E59" s="2">
        <v>62.2</v>
      </c>
      <c r="F59" s="2">
        <f t="shared" si="0"/>
        <v>0.5</v>
      </c>
      <c r="G59" s="2"/>
    </row>
    <row r="60" spans="2:7" x14ac:dyDescent="0.25">
      <c r="B60" s="4">
        <v>46001</v>
      </c>
      <c r="C60" s="2" t="s">
        <v>6095</v>
      </c>
      <c r="D60" s="2"/>
      <c r="E60" s="2">
        <v>62.7</v>
      </c>
      <c r="F60" s="2">
        <f t="shared" si="0"/>
        <v>0.5</v>
      </c>
      <c r="G60" s="2"/>
    </row>
    <row r="61" spans="2:7" x14ac:dyDescent="0.25">
      <c r="B61" s="4">
        <v>46002</v>
      </c>
      <c r="C61" s="2" t="s">
        <v>6100</v>
      </c>
      <c r="D61" s="2" t="s">
        <v>6102</v>
      </c>
      <c r="E61" s="2">
        <v>63</v>
      </c>
      <c r="F61" s="2">
        <f t="shared" si="0"/>
        <v>0.29999999999999716</v>
      </c>
      <c r="G61" s="2"/>
    </row>
    <row r="62" spans="2:7" x14ac:dyDescent="0.25">
      <c r="B62" s="4">
        <v>46003</v>
      </c>
      <c r="C62" s="2" t="s">
        <v>6108</v>
      </c>
      <c r="D62" s="2"/>
      <c r="E62" s="2">
        <v>63</v>
      </c>
      <c r="F62" s="2">
        <f t="shared" si="0"/>
        <v>0</v>
      </c>
      <c r="G62" s="2"/>
    </row>
    <row r="63" spans="2:7" x14ac:dyDescent="0.25">
      <c r="B63" s="4">
        <v>46004</v>
      </c>
      <c r="C63" s="2" t="s">
        <v>6110</v>
      </c>
      <c r="D63" s="2"/>
      <c r="E63" s="2">
        <v>63</v>
      </c>
      <c r="F63" s="2">
        <f t="shared" si="0"/>
        <v>0</v>
      </c>
      <c r="G63" s="2"/>
    </row>
    <row r="64" spans="2:7" x14ac:dyDescent="0.25">
      <c r="B64" s="4">
        <v>46005</v>
      </c>
      <c r="C64" s="2" t="s">
        <v>6117</v>
      </c>
      <c r="D64" s="2"/>
      <c r="E64" s="2">
        <v>63</v>
      </c>
      <c r="F64" s="2">
        <f t="shared" si="0"/>
        <v>0</v>
      </c>
      <c r="G64" s="2"/>
    </row>
    <row r="65" spans="2:7" x14ac:dyDescent="0.25">
      <c r="B65" s="4">
        <v>46006</v>
      </c>
      <c r="C65" s="2" t="s">
        <v>6117</v>
      </c>
      <c r="D65" s="2"/>
      <c r="E65" s="2">
        <v>63</v>
      </c>
      <c r="F65" s="2">
        <f t="shared" si="0"/>
        <v>0</v>
      </c>
      <c r="G65" s="2"/>
    </row>
    <row r="66" spans="2:7" x14ac:dyDescent="0.25">
      <c r="B66" s="4">
        <v>46007</v>
      </c>
      <c r="C66" s="2" t="s">
        <v>6133</v>
      </c>
      <c r="D66" s="2" t="s">
        <v>6134</v>
      </c>
      <c r="E66" s="2">
        <v>63</v>
      </c>
      <c r="F66" s="2">
        <f t="shared" si="0"/>
        <v>0</v>
      </c>
      <c r="G66" s="2"/>
    </row>
    <row r="67" spans="2:7" x14ac:dyDescent="0.25">
      <c r="B67" s="4">
        <v>46008</v>
      </c>
      <c r="C67" s="2" t="s">
        <v>6145</v>
      </c>
      <c r="D67" s="2" t="s">
        <v>6158</v>
      </c>
      <c r="E67" s="2">
        <v>63</v>
      </c>
      <c r="F67" s="2">
        <f t="shared" si="0"/>
        <v>0</v>
      </c>
      <c r="G67" s="2"/>
    </row>
    <row r="68" spans="2:7" x14ac:dyDescent="0.25">
      <c r="B68" s="4">
        <v>46009</v>
      </c>
      <c r="C68" s="2" t="s">
        <v>6151</v>
      </c>
      <c r="D68" s="2"/>
      <c r="E68" s="2">
        <v>63</v>
      </c>
      <c r="F68" s="2">
        <f t="shared" si="0"/>
        <v>0</v>
      </c>
      <c r="G68" s="2"/>
    </row>
    <row r="69" spans="2:7" x14ac:dyDescent="0.25">
      <c r="B69" s="4">
        <v>46010</v>
      </c>
      <c r="C69" s="2" t="s">
        <v>6163</v>
      </c>
      <c r="D69" s="2"/>
      <c r="E69" s="2">
        <v>63</v>
      </c>
      <c r="F69" s="2">
        <f t="shared" si="0"/>
        <v>0</v>
      </c>
      <c r="G69" s="2"/>
    </row>
    <row r="70" spans="2:7" x14ac:dyDescent="0.25">
      <c r="B70" s="4">
        <v>46011</v>
      </c>
      <c r="C70" s="2" t="s">
        <v>6185</v>
      </c>
      <c r="D70" s="2"/>
      <c r="E70" s="2">
        <v>63</v>
      </c>
      <c r="F70" s="2">
        <f t="shared" si="0"/>
        <v>0</v>
      </c>
      <c r="G70" s="2"/>
    </row>
    <row r="71" spans="2:7" x14ac:dyDescent="0.25">
      <c r="B71" s="4">
        <v>46012</v>
      </c>
      <c r="C71" s="2" t="s">
        <v>6176</v>
      </c>
      <c r="D71" s="2" t="s">
        <v>6177</v>
      </c>
      <c r="E71" s="2">
        <v>63</v>
      </c>
      <c r="F71" s="2">
        <f t="shared" si="0"/>
        <v>0</v>
      </c>
      <c r="G71" s="2"/>
    </row>
    <row r="72" spans="2:7" x14ac:dyDescent="0.25">
      <c r="B72" s="4">
        <v>46013</v>
      </c>
      <c r="C72" s="2" t="s">
        <v>6186</v>
      </c>
      <c r="D72" s="2"/>
      <c r="E72" s="2">
        <v>63.3</v>
      </c>
      <c r="F72" s="2">
        <f t="shared" si="0"/>
        <v>0.29999999999999716</v>
      </c>
      <c r="G72" s="2"/>
    </row>
    <row r="73" spans="2:7" x14ac:dyDescent="0.25">
      <c r="B73" s="4">
        <v>46014</v>
      </c>
      <c r="C73" s="2" t="s">
        <v>6194</v>
      </c>
      <c r="D73" s="2" t="s">
        <v>6195</v>
      </c>
      <c r="E73" s="2">
        <v>63.5</v>
      </c>
      <c r="F73" s="2">
        <f t="shared" si="0"/>
        <v>0.20000000000000284</v>
      </c>
      <c r="G73" s="2"/>
    </row>
    <row r="74" spans="2:7" x14ac:dyDescent="0.25">
      <c r="B74" s="4">
        <v>46015</v>
      </c>
      <c r="C74" s="2" t="s">
        <v>6201</v>
      </c>
      <c r="D74" s="2"/>
      <c r="E74" s="2">
        <v>63.8</v>
      </c>
      <c r="F74" s="2">
        <f t="shared" si="0"/>
        <v>0.29999999999999716</v>
      </c>
      <c r="G74" s="2"/>
    </row>
    <row r="75" spans="2:7" x14ac:dyDescent="0.25">
      <c r="B75" s="4">
        <v>46016</v>
      </c>
      <c r="C75" s="2" t="s">
        <v>6214</v>
      </c>
      <c r="D75" s="2"/>
      <c r="E75" s="2">
        <v>64.099999999999994</v>
      </c>
      <c r="F75" s="2">
        <f t="shared" si="0"/>
        <v>0.29999999999999716</v>
      </c>
      <c r="G75" s="2"/>
    </row>
    <row r="76" spans="2:7" x14ac:dyDescent="0.25">
      <c r="B76" s="4">
        <v>46017</v>
      </c>
      <c r="C76" s="2" t="s">
        <v>6218</v>
      </c>
      <c r="D76" s="2"/>
      <c r="E76" s="2">
        <v>66</v>
      </c>
      <c r="F76" s="2">
        <f t="shared" si="0"/>
        <v>1.9000000000000057</v>
      </c>
      <c r="G76" s="2"/>
    </row>
    <row r="77" spans="2:7" x14ac:dyDescent="0.25">
      <c r="B77" s="4">
        <v>46018</v>
      </c>
      <c r="C77" s="2" t="s">
        <v>6224</v>
      </c>
      <c r="D77" s="2"/>
      <c r="E77" s="2">
        <v>66.3</v>
      </c>
      <c r="F77" s="2">
        <f t="shared" si="0"/>
        <v>0.29999999999999716</v>
      </c>
      <c r="G77" s="2"/>
    </row>
    <row r="78" spans="2:7" x14ac:dyDescent="0.25">
      <c r="B78" s="4">
        <v>46019</v>
      </c>
      <c r="C78" s="2" t="s">
        <v>6225</v>
      </c>
      <c r="D78" s="2"/>
      <c r="E78" s="2">
        <v>66.599999999999994</v>
      </c>
      <c r="F78" s="2">
        <f t="shared" si="0"/>
        <v>0.29999999999999716</v>
      </c>
      <c r="G78" s="2"/>
    </row>
    <row r="79" spans="2:7" x14ac:dyDescent="0.25">
      <c r="B79" s="4">
        <v>46020</v>
      </c>
      <c r="C79" s="2" t="s">
        <v>6236</v>
      </c>
      <c r="D79" s="2"/>
      <c r="E79" s="2">
        <v>66.900000000000006</v>
      </c>
      <c r="F79" s="2">
        <f t="shared" ref="F79:F142" si="1">E79-E78</f>
        <v>0.30000000000001137</v>
      </c>
      <c r="G79" s="2"/>
    </row>
    <row r="80" spans="2:7" x14ac:dyDescent="0.25">
      <c r="B80" s="4">
        <v>46021</v>
      </c>
      <c r="C80" s="2" t="s">
        <v>6237</v>
      </c>
      <c r="D80" s="2"/>
      <c r="E80" s="2">
        <v>67.2</v>
      </c>
      <c r="F80" s="2">
        <f t="shared" si="1"/>
        <v>0.29999999999999716</v>
      </c>
      <c r="G80" s="2"/>
    </row>
    <row r="81" spans="2:7" x14ac:dyDescent="0.25">
      <c r="B81" s="4">
        <v>46022</v>
      </c>
      <c r="C81" s="2" t="s">
        <v>6246</v>
      </c>
      <c r="D81" s="2"/>
      <c r="E81" s="2">
        <v>67.7</v>
      </c>
      <c r="F81" s="2">
        <f t="shared" si="1"/>
        <v>0.5</v>
      </c>
      <c r="G81" s="2"/>
    </row>
    <row r="82" spans="2:7" x14ac:dyDescent="0.25">
      <c r="B82" s="4">
        <v>46023</v>
      </c>
      <c r="C82" s="2" t="s">
        <v>480</v>
      </c>
      <c r="D82" s="2"/>
      <c r="E82" s="2">
        <v>67.7</v>
      </c>
      <c r="F82" s="2">
        <f t="shared" si="1"/>
        <v>0</v>
      </c>
      <c r="G82" s="2"/>
    </row>
    <row r="83" spans="2:7" x14ac:dyDescent="0.25">
      <c r="B83" s="4">
        <v>46024</v>
      </c>
      <c r="C83" s="2" t="s">
        <v>6287</v>
      </c>
      <c r="D83" s="2"/>
      <c r="E83" s="2">
        <v>68.2</v>
      </c>
      <c r="F83" s="2">
        <f t="shared" si="1"/>
        <v>0.5</v>
      </c>
      <c r="G83" s="2"/>
    </row>
    <row r="84" spans="2:7" x14ac:dyDescent="0.25">
      <c r="B84" s="4">
        <v>46025</v>
      </c>
      <c r="C84" s="2" t="s">
        <v>6288</v>
      </c>
      <c r="D84" s="2"/>
      <c r="E84" s="2">
        <v>68.599999999999994</v>
      </c>
      <c r="F84" s="2">
        <f t="shared" si="1"/>
        <v>0.39999999999999147</v>
      </c>
      <c r="G84" s="2"/>
    </row>
    <row r="85" spans="2:7" x14ac:dyDescent="0.25">
      <c r="B85" s="4">
        <v>46026</v>
      </c>
      <c r="C85" s="2" t="s">
        <v>6289</v>
      </c>
      <c r="D85" s="2"/>
      <c r="E85" s="2">
        <v>69</v>
      </c>
      <c r="F85" s="2">
        <f t="shared" si="1"/>
        <v>0.40000000000000568</v>
      </c>
      <c r="G85" s="2"/>
    </row>
    <row r="86" spans="2:7" x14ac:dyDescent="0.25">
      <c r="B86" s="4">
        <v>46027</v>
      </c>
      <c r="C86" s="2" t="s">
        <v>6290</v>
      </c>
      <c r="D86" s="2"/>
      <c r="E86" s="2">
        <v>69.400000000000006</v>
      </c>
      <c r="F86" s="2">
        <f t="shared" si="1"/>
        <v>0.40000000000000568</v>
      </c>
      <c r="G86" s="2"/>
    </row>
    <row r="87" spans="2:7" x14ac:dyDescent="0.25">
      <c r="B87" s="4">
        <v>46028</v>
      </c>
      <c r="C87" s="2" t="s">
        <v>6291</v>
      </c>
      <c r="D87" s="2"/>
      <c r="E87" s="2">
        <v>69.7</v>
      </c>
      <c r="F87" s="2">
        <f t="shared" si="1"/>
        <v>0.29999999999999716</v>
      </c>
      <c r="G87" s="2"/>
    </row>
    <row r="88" spans="2:7" x14ac:dyDescent="0.25">
      <c r="B88" s="4">
        <v>46029</v>
      </c>
      <c r="C88" s="2" t="s">
        <v>6292</v>
      </c>
      <c r="D88" s="2"/>
      <c r="E88" s="2">
        <v>71.3</v>
      </c>
      <c r="F88" s="2">
        <f t="shared" si="1"/>
        <v>1.5999999999999943</v>
      </c>
      <c r="G88" s="2"/>
    </row>
    <row r="89" spans="2:7" x14ac:dyDescent="0.25">
      <c r="B89" s="4">
        <v>46030</v>
      </c>
      <c r="C89" s="2" t="s">
        <v>6283</v>
      </c>
      <c r="D89" s="2"/>
      <c r="E89" s="2">
        <v>71.3</v>
      </c>
      <c r="F89" s="2">
        <f t="shared" si="1"/>
        <v>0</v>
      </c>
      <c r="G89" s="2"/>
    </row>
    <row r="90" spans="2:7" x14ac:dyDescent="0.25">
      <c r="B90" s="4">
        <v>46031</v>
      </c>
      <c r="C90" s="2" t="s">
        <v>6293</v>
      </c>
      <c r="D90" s="2"/>
      <c r="E90" s="2">
        <v>71.7</v>
      </c>
      <c r="F90" s="2">
        <f t="shared" si="1"/>
        <v>0.40000000000000568</v>
      </c>
      <c r="G90" s="2"/>
    </row>
    <row r="91" spans="2:7" x14ac:dyDescent="0.25">
      <c r="B91" s="4">
        <v>46032</v>
      </c>
      <c r="C91" s="2" t="s">
        <v>6304</v>
      </c>
      <c r="D91" s="2"/>
      <c r="E91" s="2">
        <v>72.099999999999994</v>
      </c>
      <c r="F91" s="2">
        <f t="shared" si="1"/>
        <v>0.39999999999999147</v>
      </c>
      <c r="G91" s="2"/>
    </row>
    <row r="92" spans="2:7" x14ac:dyDescent="0.25">
      <c r="B92" s="4">
        <v>46033</v>
      </c>
      <c r="C92" s="2" t="s">
        <v>6311</v>
      </c>
      <c r="D92" s="2" t="s">
        <v>5073</v>
      </c>
      <c r="E92" s="2">
        <v>72.400000000000006</v>
      </c>
      <c r="F92" s="2">
        <f t="shared" si="1"/>
        <v>0.30000000000001137</v>
      </c>
      <c r="G92" s="2"/>
    </row>
    <row r="93" spans="2:7" x14ac:dyDescent="0.25">
      <c r="B93" s="4">
        <v>46034</v>
      </c>
      <c r="C93" s="2" t="s">
        <v>6316</v>
      </c>
      <c r="D93" s="2"/>
      <c r="E93" s="2">
        <v>72.900000000000006</v>
      </c>
      <c r="F93" s="2">
        <f t="shared" si="1"/>
        <v>0.5</v>
      </c>
      <c r="G93" s="2"/>
    </row>
    <row r="94" spans="2:7" x14ac:dyDescent="0.25">
      <c r="B94" s="4">
        <v>46035</v>
      </c>
      <c r="C94" s="2" t="s">
        <v>6325</v>
      </c>
      <c r="D94" s="2"/>
      <c r="E94" s="2">
        <v>73.3</v>
      </c>
      <c r="F94" s="2">
        <f t="shared" si="1"/>
        <v>0.39999999999999147</v>
      </c>
      <c r="G94" s="2"/>
    </row>
    <row r="95" spans="2:7" x14ac:dyDescent="0.25">
      <c r="B95" s="4">
        <v>46036</v>
      </c>
      <c r="C95" s="2" t="s">
        <v>6331</v>
      </c>
      <c r="D95" s="2"/>
      <c r="E95" s="2">
        <v>73.7</v>
      </c>
      <c r="F95" s="2">
        <f t="shared" si="1"/>
        <v>0.40000000000000568</v>
      </c>
      <c r="G95" s="2"/>
    </row>
    <row r="96" spans="2:7" x14ac:dyDescent="0.25">
      <c r="B96" s="4">
        <v>46037</v>
      </c>
      <c r="C96" s="2" t="s">
        <v>6335</v>
      </c>
      <c r="D96" s="2"/>
      <c r="E96" s="2">
        <v>73.8</v>
      </c>
      <c r="F96" s="2">
        <f t="shared" si="1"/>
        <v>9.9999999999994316E-2</v>
      </c>
      <c r="G96" s="2"/>
    </row>
    <row r="97" spans="2:7" x14ac:dyDescent="0.25">
      <c r="B97" s="4">
        <v>46038</v>
      </c>
      <c r="C97" s="2" t="s">
        <v>6343</v>
      </c>
      <c r="D97" s="2"/>
      <c r="E97" s="2">
        <v>73.8</v>
      </c>
      <c r="F97" s="2">
        <f t="shared" si="1"/>
        <v>0</v>
      </c>
      <c r="G97" s="2"/>
    </row>
    <row r="98" spans="2:7" x14ac:dyDescent="0.25">
      <c r="B98" s="4">
        <v>46039</v>
      </c>
      <c r="C98" s="2" t="s">
        <v>6354</v>
      </c>
      <c r="D98" s="2"/>
      <c r="E98" s="2">
        <v>74.099999999999994</v>
      </c>
      <c r="F98" s="2">
        <f t="shared" si="1"/>
        <v>0.29999999999999716</v>
      </c>
      <c r="G98" s="2"/>
    </row>
    <row r="99" spans="2:7" x14ac:dyDescent="0.25">
      <c r="B99" s="4">
        <v>46040</v>
      </c>
      <c r="C99" s="2" t="s">
        <v>6355</v>
      </c>
      <c r="D99" s="2"/>
      <c r="E99" s="2">
        <v>74.400000000000006</v>
      </c>
      <c r="F99" s="2">
        <f t="shared" si="1"/>
        <v>0.30000000000001137</v>
      </c>
      <c r="G99" s="2"/>
    </row>
    <row r="100" spans="2:7" x14ac:dyDescent="0.25">
      <c r="B100" s="4">
        <v>46041</v>
      </c>
      <c r="C100" s="2" t="s">
        <v>6361</v>
      </c>
      <c r="D100" s="2" t="s">
        <v>6365</v>
      </c>
      <c r="E100" s="2">
        <v>74.599999999999994</v>
      </c>
      <c r="F100" s="2">
        <f t="shared" si="1"/>
        <v>0.19999999999998863</v>
      </c>
      <c r="G100" s="2"/>
    </row>
    <row r="101" spans="2:7" x14ac:dyDescent="0.25">
      <c r="B101" s="4">
        <v>46042</v>
      </c>
      <c r="C101" s="2" t="s">
        <v>6366</v>
      </c>
      <c r="D101" s="2" t="s">
        <v>5817</v>
      </c>
      <c r="E101" s="2">
        <v>74.599999999999994</v>
      </c>
      <c r="F101" s="2">
        <f t="shared" si="1"/>
        <v>0</v>
      </c>
      <c r="G101" s="2"/>
    </row>
    <row r="102" spans="2:7" x14ac:dyDescent="0.25">
      <c r="B102" s="4">
        <v>46043</v>
      </c>
      <c r="C102" s="2" t="s">
        <v>6374</v>
      </c>
      <c r="D102" s="2"/>
      <c r="E102" s="2">
        <v>74.599999999999994</v>
      </c>
      <c r="F102" s="2">
        <f t="shared" si="1"/>
        <v>0</v>
      </c>
      <c r="G102" s="2"/>
    </row>
    <row r="103" spans="2:7" x14ac:dyDescent="0.25">
      <c r="B103" s="4">
        <v>46044</v>
      </c>
      <c r="C103" s="2" t="s">
        <v>6378</v>
      </c>
      <c r="D103" s="2"/>
      <c r="E103" s="2">
        <v>74.599999999999994</v>
      </c>
      <c r="F103" s="2">
        <f t="shared" si="1"/>
        <v>0</v>
      </c>
      <c r="G103" s="2"/>
    </row>
    <row r="104" spans="2:7" x14ac:dyDescent="0.25">
      <c r="B104" s="4">
        <v>46045</v>
      </c>
      <c r="C104" s="2" t="s">
        <v>6385</v>
      </c>
      <c r="D104" s="2" t="s">
        <v>6386</v>
      </c>
      <c r="E104" s="2">
        <v>74.599999999999994</v>
      </c>
      <c r="F104" s="2">
        <f t="shared" si="1"/>
        <v>0</v>
      </c>
      <c r="G104" s="2"/>
    </row>
    <row r="105" spans="2:7" x14ac:dyDescent="0.25">
      <c r="B105" s="4">
        <v>46046</v>
      </c>
      <c r="C105" s="2" t="s">
        <v>6053</v>
      </c>
      <c r="D105" s="2"/>
      <c r="E105" s="2">
        <v>74.599999999999994</v>
      </c>
      <c r="F105" s="2">
        <f t="shared" si="1"/>
        <v>0</v>
      </c>
      <c r="G105" s="2"/>
    </row>
    <row r="106" spans="2:7" x14ac:dyDescent="0.25">
      <c r="B106" s="4">
        <v>46047</v>
      </c>
      <c r="C106" s="2" t="s">
        <v>6394</v>
      </c>
      <c r="D106" s="2"/>
      <c r="E106" s="2">
        <v>74.599999999999994</v>
      </c>
      <c r="F106" s="2">
        <f t="shared" si="1"/>
        <v>0</v>
      </c>
      <c r="G106" s="2"/>
    </row>
    <row r="107" spans="2:7" x14ac:dyDescent="0.25">
      <c r="B107" s="4">
        <v>46048</v>
      </c>
      <c r="C107" s="2" t="s">
        <v>6396</v>
      </c>
      <c r="D107" s="2" t="s">
        <v>6406</v>
      </c>
      <c r="E107" s="2">
        <v>74.8</v>
      </c>
      <c r="F107" s="2">
        <f t="shared" si="1"/>
        <v>0.20000000000000284</v>
      </c>
      <c r="G107" s="2"/>
    </row>
    <row r="108" spans="2:7" x14ac:dyDescent="0.25">
      <c r="B108" s="4">
        <v>46049</v>
      </c>
      <c r="C108" s="2" t="s">
        <v>6404</v>
      </c>
      <c r="D108" s="2" t="s">
        <v>6405</v>
      </c>
      <c r="E108" s="2">
        <v>74.8</v>
      </c>
      <c r="F108" s="2">
        <f t="shared" si="1"/>
        <v>0</v>
      </c>
      <c r="G108" s="2"/>
    </row>
    <row r="109" spans="2:7" x14ac:dyDescent="0.25">
      <c r="B109" s="4">
        <v>46050</v>
      </c>
      <c r="C109" s="2" t="s">
        <v>6410</v>
      </c>
      <c r="D109" s="2"/>
      <c r="E109" s="2">
        <v>75</v>
      </c>
      <c r="F109" s="2">
        <f t="shared" si="1"/>
        <v>0.20000000000000284</v>
      </c>
      <c r="G109" s="2"/>
    </row>
    <row r="110" spans="2:7" x14ac:dyDescent="0.25">
      <c r="B110" s="4">
        <v>46051</v>
      </c>
      <c r="C110" s="2" t="s">
        <v>6417</v>
      </c>
      <c r="D110" s="2" t="s">
        <v>6418</v>
      </c>
      <c r="E110" s="2">
        <v>75</v>
      </c>
      <c r="F110" s="2">
        <f t="shared" si="1"/>
        <v>0</v>
      </c>
      <c r="G110" s="2"/>
    </row>
    <row r="111" spans="2:7" x14ac:dyDescent="0.25">
      <c r="B111" s="4">
        <v>46052</v>
      </c>
      <c r="C111" s="2" t="s">
        <v>6420</v>
      </c>
      <c r="D111" s="2"/>
      <c r="E111" s="2">
        <v>75.3</v>
      </c>
      <c r="F111" s="2">
        <f t="shared" si="1"/>
        <v>0.29999999999999716</v>
      </c>
      <c r="G111" s="2"/>
    </row>
    <row r="112" spans="2:7" x14ac:dyDescent="0.25">
      <c r="B112" s="4">
        <v>46053</v>
      </c>
      <c r="C112" s="2" t="s">
        <v>6436</v>
      </c>
      <c r="D112" s="2"/>
      <c r="E112" s="2">
        <v>75.5</v>
      </c>
      <c r="F112" s="2">
        <f t="shared" si="1"/>
        <v>0.20000000000000284</v>
      </c>
      <c r="G112" s="2"/>
    </row>
    <row r="113" spans="2:7" x14ac:dyDescent="0.25">
      <c r="B113" s="4">
        <v>46054</v>
      </c>
      <c r="C113" s="2" t="s">
        <v>6426</v>
      </c>
      <c r="D113" s="2" t="s">
        <v>6427</v>
      </c>
      <c r="E113" s="2">
        <v>50</v>
      </c>
      <c r="F113" s="2">
        <f t="shared" si="1"/>
        <v>-25.5</v>
      </c>
      <c r="G113" s="2"/>
    </row>
    <row r="114" spans="2:7" x14ac:dyDescent="0.25">
      <c r="B114" s="4">
        <v>46055</v>
      </c>
      <c r="C114" s="2" t="s">
        <v>6431</v>
      </c>
      <c r="D114" s="2" t="s">
        <v>6437</v>
      </c>
      <c r="E114" s="2">
        <v>59</v>
      </c>
      <c r="F114" s="2">
        <f t="shared" si="1"/>
        <v>9</v>
      </c>
      <c r="G114" s="2"/>
    </row>
    <row r="115" spans="2:7" x14ac:dyDescent="0.25">
      <c r="B115" s="4">
        <v>46056</v>
      </c>
      <c r="C115" s="2" t="s">
        <v>6440</v>
      </c>
      <c r="D115" s="2"/>
      <c r="E115" s="2">
        <v>76</v>
      </c>
      <c r="F115" s="2">
        <f t="shared" si="1"/>
        <v>17</v>
      </c>
      <c r="G115" s="2"/>
    </row>
    <row r="116" spans="2:7" x14ac:dyDescent="0.25">
      <c r="B116" s="4">
        <v>46057</v>
      </c>
      <c r="C116" s="2" t="s">
        <v>6444</v>
      </c>
      <c r="D116" s="2" t="s">
        <v>6445</v>
      </c>
      <c r="E116" s="2">
        <v>76.099999999999994</v>
      </c>
      <c r="F116" s="2">
        <f t="shared" si="1"/>
        <v>9.9999999999994316E-2</v>
      </c>
      <c r="G116" s="2"/>
    </row>
    <row r="117" spans="2:7" x14ac:dyDescent="0.25">
      <c r="B117" s="4">
        <v>46058</v>
      </c>
      <c r="C117" s="2" t="s">
        <v>6461</v>
      </c>
      <c r="D117" s="2"/>
      <c r="E117" s="2">
        <v>76.3</v>
      </c>
      <c r="F117" s="2">
        <f t="shared" si="1"/>
        <v>0.20000000000000284</v>
      </c>
      <c r="G117" s="2"/>
    </row>
    <row r="118" spans="2:7" x14ac:dyDescent="0.25">
      <c r="B118" s="4">
        <v>46059</v>
      </c>
      <c r="C118" s="2" t="s">
        <v>6465</v>
      </c>
      <c r="D118" s="2"/>
      <c r="E118" s="2">
        <v>76.5</v>
      </c>
      <c r="F118" s="2">
        <f t="shared" si="1"/>
        <v>0.20000000000000284</v>
      </c>
      <c r="G118" s="2"/>
    </row>
    <row r="119" spans="2:7" x14ac:dyDescent="0.25">
      <c r="B119" s="4">
        <v>46060</v>
      </c>
      <c r="C119" s="2" t="s">
        <v>6468</v>
      </c>
      <c r="D119" s="2"/>
      <c r="E119" s="2">
        <v>76.7</v>
      </c>
      <c r="F119" s="2">
        <f t="shared" si="1"/>
        <v>0.20000000000000284</v>
      </c>
      <c r="G119" s="2"/>
    </row>
    <row r="120" spans="2:7" x14ac:dyDescent="0.25">
      <c r="B120" s="4">
        <v>46061</v>
      </c>
      <c r="C120" s="2" t="s">
        <v>6469</v>
      </c>
      <c r="D120" s="2"/>
      <c r="E120" s="2">
        <v>77</v>
      </c>
      <c r="F120" s="2">
        <f t="shared" si="1"/>
        <v>0.29999999999999716</v>
      </c>
      <c r="G120" s="2"/>
    </row>
    <row r="121" spans="2:7" x14ac:dyDescent="0.25">
      <c r="B121" s="4">
        <v>46062</v>
      </c>
      <c r="C121" s="2" t="s">
        <v>6475</v>
      </c>
      <c r="D121" s="2" t="s">
        <v>5881</v>
      </c>
      <c r="E121" s="2">
        <v>77.150000000000006</v>
      </c>
      <c r="F121" s="2">
        <f t="shared" si="1"/>
        <v>0.15000000000000568</v>
      </c>
      <c r="G121" s="2"/>
    </row>
    <row r="122" spans="2:7" x14ac:dyDescent="0.25">
      <c r="B122" s="4">
        <v>46063</v>
      </c>
      <c r="C122" s="2" t="s">
        <v>6487</v>
      </c>
      <c r="D122" s="2"/>
      <c r="E122" s="2">
        <v>77.400000000000006</v>
      </c>
      <c r="F122" s="2">
        <f t="shared" si="1"/>
        <v>0.25</v>
      </c>
      <c r="G122" s="2"/>
    </row>
    <row r="123" spans="2:7" x14ac:dyDescent="0.25">
      <c r="B123" s="4">
        <v>46064</v>
      </c>
      <c r="C123" s="2" t="s">
        <v>6493</v>
      </c>
      <c r="D123" s="2"/>
      <c r="E123" s="2">
        <v>77.599999999999994</v>
      </c>
      <c r="F123" s="2">
        <f t="shared" si="1"/>
        <v>0.19999999999998863</v>
      </c>
      <c r="G123" s="2"/>
    </row>
    <row r="124" spans="2:7" x14ac:dyDescent="0.25">
      <c r="B124" s="4">
        <v>46065</v>
      </c>
      <c r="C124" s="2" t="s">
        <v>6498</v>
      </c>
      <c r="D124" s="2" t="s">
        <v>5817</v>
      </c>
      <c r="E124" s="2">
        <v>77.599999999999994</v>
      </c>
      <c r="F124" s="2">
        <f t="shared" si="1"/>
        <v>0</v>
      </c>
      <c r="G124" s="2"/>
    </row>
    <row r="125" spans="2:7" x14ac:dyDescent="0.25">
      <c r="B125" s="4">
        <v>46066</v>
      </c>
      <c r="C125" s="2" t="s">
        <v>6519</v>
      </c>
      <c r="D125" s="2"/>
      <c r="E125" s="2">
        <v>77.8</v>
      </c>
      <c r="F125" s="2">
        <f t="shared" si="1"/>
        <v>0.20000000000000284</v>
      </c>
      <c r="G125" s="2"/>
    </row>
    <row r="126" spans="2:7" x14ac:dyDescent="0.25">
      <c r="B126" s="4">
        <v>46067</v>
      </c>
      <c r="C126" s="2" t="s">
        <v>6520</v>
      </c>
      <c r="D126" s="2"/>
      <c r="E126" s="2">
        <v>80</v>
      </c>
      <c r="F126" s="2">
        <f t="shared" si="1"/>
        <v>2.2000000000000028</v>
      </c>
      <c r="G126" s="2"/>
    </row>
    <row r="127" spans="2:7" x14ac:dyDescent="0.25">
      <c r="B127" s="4">
        <v>46068</v>
      </c>
      <c r="C127" s="2" t="s">
        <v>6521</v>
      </c>
      <c r="D127" s="2"/>
      <c r="E127" s="2">
        <v>80.2</v>
      </c>
      <c r="F127" s="2">
        <f t="shared" si="1"/>
        <v>0.20000000000000284</v>
      </c>
      <c r="G127" s="2"/>
    </row>
    <row r="128" spans="2:7" x14ac:dyDescent="0.25">
      <c r="B128" s="4">
        <v>46069</v>
      </c>
      <c r="C128" s="2" t="s">
        <v>6530</v>
      </c>
      <c r="D128" s="2"/>
      <c r="E128" s="2">
        <v>80.349999999999994</v>
      </c>
      <c r="F128" s="2">
        <f t="shared" si="1"/>
        <v>0.14999999999999147</v>
      </c>
      <c r="G128" s="2"/>
    </row>
    <row r="129" spans="2:7" x14ac:dyDescent="0.25">
      <c r="B129" s="4">
        <v>46070</v>
      </c>
      <c r="C129" s="2" t="s">
        <v>6537</v>
      </c>
      <c r="D129" s="2"/>
      <c r="E129" s="2">
        <v>80.349999999999994</v>
      </c>
      <c r="F129" s="2">
        <f t="shared" si="1"/>
        <v>0</v>
      </c>
      <c r="G129" s="2"/>
    </row>
    <row r="130" spans="2:7" x14ac:dyDescent="0.25">
      <c r="B130" s="4">
        <v>46071</v>
      </c>
      <c r="C130" s="2" t="s">
        <v>6394</v>
      </c>
      <c r="D130" s="2"/>
      <c r="E130" s="2">
        <v>80.349999999999994</v>
      </c>
      <c r="F130" s="2">
        <f t="shared" si="1"/>
        <v>0</v>
      </c>
      <c r="G130" s="2"/>
    </row>
    <row r="131" spans="2:7" x14ac:dyDescent="0.25">
      <c r="B131" s="4">
        <v>46072</v>
      </c>
      <c r="C131" s="2" t="s">
        <v>6544</v>
      </c>
      <c r="D131" s="2"/>
      <c r="E131" s="2">
        <v>80.349999999999994</v>
      </c>
      <c r="F131" s="2">
        <f t="shared" si="1"/>
        <v>0</v>
      </c>
      <c r="G131" s="2"/>
    </row>
    <row r="132" spans="2:7" x14ac:dyDescent="0.25">
      <c r="B132" s="4">
        <v>46073</v>
      </c>
      <c r="C132" s="2" t="s">
        <v>6560</v>
      </c>
      <c r="D132" s="2"/>
      <c r="E132" s="2">
        <v>80.5</v>
      </c>
      <c r="F132" s="2">
        <f t="shared" si="1"/>
        <v>0.15000000000000568</v>
      </c>
      <c r="G132" s="2"/>
    </row>
    <row r="133" spans="2:7" x14ac:dyDescent="0.25">
      <c r="B133" s="4">
        <v>46074</v>
      </c>
      <c r="C133" s="2" t="s">
        <v>6561</v>
      </c>
      <c r="D133" s="2"/>
      <c r="E133" s="2">
        <v>80.650000000000006</v>
      </c>
      <c r="F133" s="2">
        <f t="shared" si="1"/>
        <v>0.15000000000000568</v>
      </c>
      <c r="G133" s="2"/>
    </row>
    <row r="134" spans="2:7" x14ac:dyDescent="0.25">
      <c r="B134" s="4">
        <v>46075</v>
      </c>
      <c r="C134" s="2" t="s">
        <v>6562</v>
      </c>
      <c r="D134" s="2"/>
      <c r="E134" s="2">
        <v>80.8</v>
      </c>
      <c r="F134" s="2">
        <f t="shared" si="1"/>
        <v>0.14999999999999147</v>
      </c>
      <c r="G134" s="2"/>
    </row>
    <row r="135" spans="2:7" x14ac:dyDescent="0.25">
      <c r="B135" s="4">
        <v>46076</v>
      </c>
      <c r="C135" s="2" t="s">
        <v>6576</v>
      </c>
      <c r="D135" s="2"/>
      <c r="E135" s="2">
        <v>80.8</v>
      </c>
      <c r="F135" s="2">
        <f t="shared" si="1"/>
        <v>0</v>
      </c>
      <c r="G135" s="2"/>
    </row>
    <row r="136" spans="2:7" x14ac:dyDescent="0.25">
      <c r="B136" s="4">
        <v>46077</v>
      </c>
      <c r="C136" s="2" t="s">
        <v>6585</v>
      </c>
      <c r="D136" s="2"/>
      <c r="E136" s="2">
        <v>80.95</v>
      </c>
      <c r="F136" s="2">
        <f t="shared" si="1"/>
        <v>0.15000000000000568</v>
      </c>
      <c r="G136" s="2"/>
    </row>
    <row r="137" spans="2:7" x14ac:dyDescent="0.25">
      <c r="B137" s="4">
        <v>46078</v>
      </c>
      <c r="C137" s="2" t="s">
        <v>6592</v>
      </c>
      <c r="D137" s="2" t="s">
        <v>6593</v>
      </c>
      <c r="E137" s="2">
        <v>81.05</v>
      </c>
      <c r="F137" s="2">
        <f t="shared" si="1"/>
        <v>9.9999999999994316E-2</v>
      </c>
      <c r="G137" s="2"/>
    </row>
    <row r="138" spans="2:7" x14ac:dyDescent="0.25">
      <c r="B138" s="4">
        <v>46079</v>
      </c>
      <c r="C138" s="2" t="s">
        <v>6600</v>
      </c>
      <c r="D138" s="2" t="s">
        <v>6601</v>
      </c>
      <c r="E138" s="2">
        <v>81.05</v>
      </c>
      <c r="F138" s="2">
        <f t="shared" si="1"/>
        <v>0</v>
      </c>
      <c r="G138" s="2"/>
    </row>
    <row r="139" spans="2:7" x14ac:dyDescent="0.25">
      <c r="B139" s="4">
        <v>46080</v>
      </c>
      <c r="C139" s="2" t="s">
        <v>6607</v>
      </c>
      <c r="D139" s="2"/>
      <c r="E139" s="2"/>
      <c r="F139" s="2">
        <f t="shared" si="1"/>
        <v>-81.05</v>
      </c>
      <c r="G139" s="2"/>
    </row>
    <row r="140" spans="2:7" x14ac:dyDescent="0.25">
      <c r="B140" s="4">
        <v>46081</v>
      </c>
      <c r="C140" s="2" t="s">
        <v>6642</v>
      </c>
      <c r="D140" s="2"/>
      <c r="E140" s="2"/>
      <c r="F140" s="2">
        <f t="shared" si="1"/>
        <v>0</v>
      </c>
      <c r="G140" s="2"/>
    </row>
    <row r="141" spans="2:7" x14ac:dyDescent="0.25">
      <c r="B141" s="4">
        <v>46082</v>
      </c>
      <c r="C141" s="2" t="s">
        <v>6643</v>
      </c>
      <c r="D141" s="2" t="s">
        <v>6644</v>
      </c>
      <c r="E141" s="2"/>
      <c r="F141" s="2">
        <f t="shared" si="1"/>
        <v>0</v>
      </c>
      <c r="G141" s="2"/>
    </row>
    <row r="142" spans="2:7" x14ac:dyDescent="0.25">
      <c r="B142" s="4">
        <v>46083</v>
      </c>
      <c r="C142" s="2" t="s">
        <v>6655</v>
      </c>
      <c r="D142" s="2" t="s">
        <v>6656</v>
      </c>
      <c r="E142" s="2"/>
      <c r="F142" s="2">
        <f t="shared" si="1"/>
        <v>0</v>
      </c>
      <c r="G142" s="2"/>
    </row>
    <row r="143" spans="2:7" x14ac:dyDescent="0.25">
      <c r="B143" s="4">
        <v>46084</v>
      </c>
      <c r="C143" s="2" t="s">
        <v>6657</v>
      </c>
      <c r="D143" s="2"/>
      <c r="E143" s="2"/>
      <c r="F143" s="2">
        <f t="shared" ref="F143:F145" si="2">E143-E142</f>
        <v>0</v>
      </c>
      <c r="G143" s="2"/>
    </row>
    <row r="144" spans="2:7" x14ac:dyDescent="0.25">
      <c r="B144" s="4">
        <v>46085</v>
      </c>
      <c r="C144" s="2" t="s">
        <v>6658</v>
      </c>
      <c r="D144" s="2"/>
      <c r="E144" s="2"/>
      <c r="F144" s="2">
        <f t="shared" si="2"/>
        <v>0</v>
      </c>
      <c r="G144" s="2"/>
    </row>
    <row r="145" spans="2:7" x14ac:dyDescent="0.25">
      <c r="B145" s="4">
        <v>46086</v>
      </c>
      <c r="C145" s="2" t="s">
        <v>6666</v>
      </c>
      <c r="D145" s="2"/>
      <c r="E145" s="2"/>
      <c r="F145" s="2">
        <f t="shared" si="2"/>
        <v>0</v>
      </c>
      <c r="G145" s="2"/>
    </row>
    <row r="146" spans="2:7" x14ac:dyDescent="0.25">
      <c r="B146" s="4">
        <v>46087</v>
      </c>
      <c r="C146" s="2" t="s">
        <v>6671</v>
      </c>
      <c r="D146" s="2"/>
      <c r="E146" s="2"/>
      <c r="F146" s="2"/>
      <c r="G146" s="2"/>
    </row>
    <row r="147" spans="2:7" x14ac:dyDescent="0.25">
      <c r="B147" s="4">
        <v>46088</v>
      </c>
      <c r="C147" s="2" t="s">
        <v>6678</v>
      </c>
      <c r="D147" s="2"/>
      <c r="E147" s="2"/>
      <c r="F147" s="2"/>
      <c r="G147" s="2"/>
    </row>
    <row r="148" spans="2:7" x14ac:dyDescent="0.25">
      <c r="B148" s="4">
        <v>46089</v>
      </c>
      <c r="C148" s="2" t="s">
        <v>1693</v>
      </c>
      <c r="D148" s="2"/>
      <c r="E148" s="2"/>
      <c r="F148" s="2"/>
      <c r="G148" s="2"/>
    </row>
    <row r="149" spans="2:7" x14ac:dyDescent="0.25">
      <c r="B149" s="4">
        <v>46090</v>
      </c>
      <c r="C149" s="2" t="s">
        <v>6687</v>
      </c>
      <c r="D149" s="2"/>
      <c r="E149" s="2"/>
      <c r="F149" s="2">
        <v>16</v>
      </c>
      <c r="G149" s="2">
        <f>F149-F148</f>
        <v>16</v>
      </c>
    </row>
    <row r="150" spans="2:7" x14ac:dyDescent="0.25">
      <c r="B150" s="4">
        <v>46091</v>
      </c>
      <c r="C150" s="2" t="s">
        <v>6691</v>
      </c>
      <c r="D150" s="2"/>
      <c r="E150" s="2"/>
      <c r="F150" s="2">
        <v>30</v>
      </c>
      <c r="G150" s="2">
        <f t="shared" ref="G150:G155" si="3">F150-F149</f>
        <v>14</v>
      </c>
    </row>
    <row r="151" spans="2:7" x14ac:dyDescent="0.25">
      <c r="B151" s="4">
        <v>46092</v>
      </c>
      <c r="C151" s="2" t="s">
        <v>6694</v>
      </c>
      <c r="D151" s="2"/>
      <c r="E151" s="2"/>
      <c r="F151" s="2">
        <v>32</v>
      </c>
      <c r="G151" s="2">
        <f t="shared" si="3"/>
        <v>2</v>
      </c>
    </row>
    <row r="152" spans="2:7" x14ac:dyDescent="0.25">
      <c r="B152" s="4">
        <v>46093</v>
      </c>
      <c r="C152" s="2" t="s">
        <v>1693</v>
      </c>
      <c r="D152" s="2"/>
      <c r="E152" s="2"/>
      <c r="F152" s="2"/>
      <c r="G152" s="2">
        <f t="shared" si="3"/>
        <v>-32</v>
      </c>
    </row>
    <row r="153" spans="2:7" x14ac:dyDescent="0.25">
      <c r="B153" s="4">
        <v>46094</v>
      </c>
      <c r="C153" s="2" t="s">
        <v>6698</v>
      </c>
      <c r="D153" s="2"/>
      <c r="E153" s="2"/>
      <c r="F153" s="2"/>
      <c r="G153" s="2">
        <f t="shared" si="3"/>
        <v>0</v>
      </c>
    </row>
    <row r="154" spans="2:7" x14ac:dyDescent="0.25">
      <c r="B154" s="4">
        <v>46095</v>
      </c>
      <c r="C154" s="2" t="s">
        <v>6703</v>
      </c>
      <c r="D154" s="2"/>
      <c r="E154" s="2"/>
      <c r="F154" s="2"/>
      <c r="G154" s="2">
        <f t="shared" si="3"/>
        <v>0</v>
      </c>
    </row>
    <row r="155" spans="2:7" x14ac:dyDescent="0.25">
      <c r="B155" s="4">
        <v>46096</v>
      </c>
      <c r="C155" s="2" t="s">
        <v>6704</v>
      </c>
      <c r="D155" s="2"/>
      <c r="E155" s="2"/>
      <c r="F155" s="2"/>
      <c r="G155" s="2">
        <f t="shared" si="3"/>
        <v>0</v>
      </c>
    </row>
    <row r="156" spans="2:7" x14ac:dyDescent="0.25">
      <c r="B156" s="4">
        <v>46097</v>
      </c>
      <c r="C156" s="2" t="s">
        <v>5054</v>
      </c>
      <c r="D156" s="2"/>
      <c r="E156" s="2"/>
      <c r="F156" s="2"/>
      <c r="G156" s="2"/>
    </row>
    <row r="157" spans="2:7" x14ac:dyDescent="0.25">
      <c r="B157" s="4">
        <v>46098</v>
      </c>
      <c r="C157" s="2" t="s">
        <v>5054</v>
      </c>
      <c r="D157" s="2"/>
      <c r="E157" s="2"/>
      <c r="F157" s="2"/>
      <c r="G157" s="2"/>
    </row>
    <row r="158" spans="2:7" x14ac:dyDescent="0.25">
      <c r="B158" s="4">
        <v>46099</v>
      </c>
      <c r="C158" s="2" t="s">
        <v>5054</v>
      </c>
      <c r="D158" s="2"/>
      <c r="E158" s="2"/>
      <c r="F158" s="2"/>
      <c r="G158" s="2"/>
    </row>
    <row r="159" spans="2:7" x14ac:dyDescent="0.25">
      <c r="B159" s="4">
        <v>46100</v>
      </c>
      <c r="C159" s="2" t="s">
        <v>5054</v>
      </c>
      <c r="D159" s="2"/>
      <c r="E159" s="2"/>
      <c r="F159" s="2"/>
      <c r="G159" s="2"/>
    </row>
    <row r="160" spans="2:7" x14ac:dyDescent="0.25">
      <c r="B160" s="4">
        <v>46101</v>
      </c>
      <c r="C160" s="2" t="s">
        <v>5054</v>
      </c>
      <c r="D160" s="2"/>
      <c r="E160" s="2"/>
      <c r="F160" s="2"/>
      <c r="G160" s="2"/>
    </row>
    <row r="161" spans="2:7" x14ac:dyDescent="0.25">
      <c r="B161" s="4">
        <v>46102</v>
      </c>
      <c r="C161" s="2" t="s">
        <v>5054</v>
      </c>
      <c r="D161" s="2"/>
      <c r="E161" s="2"/>
      <c r="F161" s="2"/>
      <c r="G161" s="2"/>
    </row>
    <row r="162" spans="2:7" x14ac:dyDescent="0.25">
      <c r="B162" s="4">
        <v>46103</v>
      </c>
      <c r="C162" s="2" t="s">
        <v>5054</v>
      </c>
      <c r="D162" s="2"/>
      <c r="E162" s="2"/>
      <c r="F162" s="2"/>
      <c r="G162" s="2"/>
    </row>
    <row r="163" spans="2:7" x14ac:dyDescent="0.25">
      <c r="B163" s="4">
        <v>46104</v>
      </c>
      <c r="C163" s="2" t="s">
        <v>5054</v>
      </c>
      <c r="D163" s="2"/>
      <c r="E163" s="2"/>
      <c r="F163" s="2"/>
      <c r="G163" s="2"/>
    </row>
    <row r="164" spans="2:7" x14ac:dyDescent="0.25">
      <c r="B164" s="4">
        <v>46105</v>
      </c>
      <c r="C164" s="2" t="s">
        <v>5054</v>
      </c>
      <c r="D164" s="2"/>
      <c r="E164" s="2"/>
      <c r="F164" s="2"/>
      <c r="G164" s="2"/>
    </row>
    <row r="165" spans="2:7" x14ac:dyDescent="0.25">
      <c r="B165" s="4">
        <v>46106</v>
      </c>
      <c r="C165" s="2" t="s">
        <v>5054</v>
      </c>
      <c r="D165" s="2"/>
      <c r="E165" s="2"/>
      <c r="F165" s="2"/>
      <c r="G165" s="2"/>
    </row>
    <row r="166" spans="2:7" x14ac:dyDescent="0.25">
      <c r="B166" s="4">
        <v>46107</v>
      </c>
      <c r="C166" s="2" t="s">
        <v>5054</v>
      </c>
      <c r="D166" s="2"/>
      <c r="E166" s="2"/>
      <c r="F166" s="2"/>
      <c r="G166" s="2"/>
    </row>
    <row r="167" spans="2:7" x14ac:dyDescent="0.25">
      <c r="B167" s="4">
        <v>46108</v>
      </c>
      <c r="C167" s="2" t="s">
        <v>5054</v>
      </c>
      <c r="D167" s="2"/>
      <c r="E167" s="2"/>
      <c r="F167" s="2"/>
      <c r="G167" s="2"/>
    </row>
    <row r="168" spans="2:7" x14ac:dyDescent="0.25">
      <c r="B168" s="4">
        <v>46109</v>
      </c>
      <c r="C168" s="2" t="s">
        <v>5054</v>
      </c>
      <c r="D168" s="2"/>
      <c r="E168" s="2"/>
      <c r="F168" s="2"/>
      <c r="G168" s="2"/>
    </row>
    <row r="169" spans="2:7" x14ac:dyDescent="0.25">
      <c r="B169" s="4">
        <v>46110</v>
      </c>
      <c r="C169" s="2" t="s">
        <v>5054</v>
      </c>
      <c r="D169" s="2"/>
      <c r="E169" s="2"/>
      <c r="F169" s="2"/>
      <c r="G169" s="2"/>
    </row>
    <row r="170" spans="2:7" x14ac:dyDescent="0.25">
      <c r="B170" s="4">
        <v>46111</v>
      </c>
      <c r="C170" s="2" t="s">
        <v>5054</v>
      </c>
      <c r="D170" s="2"/>
      <c r="E170" s="2"/>
      <c r="F170" s="2"/>
      <c r="G170" s="2"/>
    </row>
    <row r="171" spans="2:7" x14ac:dyDescent="0.25">
      <c r="B171" s="4">
        <v>46112</v>
      </c>
      <c r="C171" s="2" t="s">
        <v>5054</v>
      </c>
      <c r="D171" s="2"/>
      <c r="E171" s="2"/>
      <c r="F171" s="2"/>
      <c r="G171" s="2"/>
    </row>
    <row r="172" spans="2:7" x14ac:dyDescent="0.25">
      <c r="B172" s="4">
        <v>46113</v>
      </c>
      <c r="C172" s="2" t="s">
        <v>5054</v>
      </c>
      <c r="D172" s="2"/>
      <c r="E172" s="2"/>
      <c r="F172" s="2"/>
      <c r="G172" s="2"/>
    </row>
    <row r="173" spans="2:7" x14ac:dyDescent="0.25">
      <c r="B173" s="4">
        <v>46114</v>
      </c>
      <c r="C173" s="2"/>
      <c r="D173" s="2"/>
      <c r="E173" s="2"/>
      <c r="F173" s="2"/>
      <c r="G173" s="2"/>
    </row>
    <row r="174" spans="2:7" x14ac:dyDescent="0.25">
      <c r="B174" s="4">
        <v>46115</v>
      </c>
      <c r="C174" s="2"/>
      <c r="D174" s="2"/>
      <c r="E174" s="2"/>
      <c r="F174" s="2"/>
      <c r="G174" s="2"/>
    </row>
    <row r="175" spans="2:7" x14ac:dyDescent="0.25">
      <c r="B175" s="4">
        <v>46116</v>
      </c>
      <c r="C175" s="2"/>
      <c r="D175" s="2"/>
      <c r="E175" s="2"/>
      <c r="F175" s="2"/>
      <c r="G175" s="2"/>
    </row>
    <row r="176" spans="2:7" x14ac:dyDescent="0.25">
      <c r="B176" s="4">
        <v>46117</v>
      </c>
      <c r="C176" s="2"/>
      <c r="D176" s="2"/>
      <c r="E176" s="2"/>
      <c r="F176" s="2"/>
      <c r="G176" s="2"/>
    </row>
    <row r="177" spans="2:7" x14ac:dyDescent="0.25">
      <c r="B177" s="4">
        <v>46118</v>
      </c>
      <c r="C177" s="2"/>
      <c r="D177" s="2"/>
      <c r="E177" s="2"/>
      <c r="F177" s="2"/>
      <c r="G177" s="2"/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B2:G139"/>
  <sheetViews>
    <sheetView topLeftCell="B1" zoomScale="90" zoomScaleNormal="90" workbookViewId="0">
      <pane ySplit="3" topLeftCell="A91" activePane="bottomLeft" state="frozen"/>
      <selection activeCell="D8" sqref="D8"/>
      <selection pane="bottomLeft" activeCell="C137" sqref="C137"/>
    </sheetView>
  </sheetViews>
  <sheetFormatPr defaultRowHeight="15" x14ac:dyDescent="0.25"/>
  <cols>
    <col min="2" max="2" width="18" bestFit="1" customWidth="1"/>
    <col min="3" max="3" width="72" bestFit="1" customWidth="1"/>
    <col min="4" max="4" width="42.140625" bestFit="1" customWidth="1"/>
    <col min="5" max="5" width="11.85546875" bestFit="1" customWidth="1"/>
    <col min="7" max="7" width="11" bestFit="1" customWidth="1"/>
  </cols>
  <sheetData>
    <row r="2" spans="2:7" x14ac:dyDescent="0.25">
      <c r="B2" s="144" t="s">
        <v>6719</v>
      </c>
    </row>
    <row r="3" spans="2:7" ht="15.75" x14ac:dyDescent="0.25">
      <c r="B3" s="10" t="s">
        <v>0</v>
      </c>
      <c r="C3" s="11" t="s">
        <v>1</v>
      </c>
      <c r="D3" s="11" t="s">
        <v>2</v>
      </c>
      <c r="E3" s="11" t="s">
        <v>934</v>
      </c>
      <c r="F3" s="11" t="s">
        <v>1095</v>
      </c>
      <c r="G3" s="11" t="s">
        <v>1507</v>
      </c>
    </row>
    <row r="4" spans="2:7" x14ac:dyDescent="0.25">
      <c r="B4" s="4">
        <v>45964</v>
      </c>
      <c r="C4" s="2" t="s">
        <v>5793</v>
      </c>
      <c r="D4" s="2"/>
      <c r="E4" s="23"/>
      <c r="F4" s="2"/>
      <c r="G4" s="2"/>
    </row>
    <row r="5" spans="2:7" x14ac:dyDescent="0.25">
      <c r="B5" s="4">
        <v>45965</v>
      </c>
      <c r="C5" s="2" t="s">
        <v>279</v>
      </c>
      <c r="D5" s="2" t="s">
        <v>5801</v>
      </c>
      <c r="E5" s="23"/>
      <c r="F5" s="2">
        <f>E5-E4</f>
        <v>0</v>
      </c>
      <c r="G5" s="2"/>
    </row>
    <row r="6" spans="2:7" x14ac:dyDescent="0.25">
      <c r="B6" s="4">
        <v>45966</v>
      </c>
      <c r="C6" s="2" t="s">
        <v>5807</v>
      </c>
      <c r="D6" s="2"/>
      <c r="E6" s="23"/>
      <c r="F6" s="2">
        <f t="shared" ref="F6:F56" si="0">E6-E5</f>
        <v>0</v>
      </c>
      <c r="G6" s="2"/>
    </row>
    <row r="7" spans="2:7" x14ac:dyDescent="0.25">
      <c r="B7" s="4">
        <v>45967</v>
      </c>
      <c r="C7" s="2" t="s">
        <v>5824</v>
      </c>
      <c r="D7" s="58"/>
      <c r="E7" s="23">
        <v>11</v>
      </c>
      <c r="F7" s="2">
        <f t="shared" si="0"/>
        <v>11</v>
      </c>
      <c r="G7" s="2"/>
    </row>
    <row r="8" spans="2:7" x14ac:dyDescent="0.25">
      <c r="B8" s="4">
        <v>45968</v>
      </c>
      <c r="C8" s="2" t="s">
        <v>5823</v>
      </c>
      <c r="D8" s="58"/>
      <c r="E8" s="23">
        <v>33</v>
      </c>
      <c r="F8" s="2">
        <f t="shared" si="0"/>
        <v>22</v>
      </c>
      <c r="G8" s="2"/>
    </row>
    <row r="9" spans="2:7" x14ac:dyDescent="0.25">
      <c r="B9" s="4">
        <v>45969</v>
      </c>
      <c r="C9" s="2" t="s">
        <v>5834</v>
      </c>
      <c r="D9" s="58"/>
      <c r="E9" s="23">
        <v>42</v>
      </c>
      <c r="F9" s="2">
        <f t="shared" si="0"/>
        <v>9</v>
      </c>
      <c r="G9" s="2"/>
    </row>
    <row r="10" spans="2:7" x14ac:dyDescent="0.25">
      <c r="B10" s="4">
        <v>45970</v>
      </c>
      <c r="C10" s="2" t="s">
        <v>5835</v>
      </c>
      <c r="D10" s="2"/>
      <c r="E10" s="23">
        <v>72</v>
      </c>
      <c r="F10" s="2">
        <f t="shared" si="0"/>
        <v>30</v>
      </c>
      <c r="G10" s="2"/>
    </row>
    <row r="11" spans="2:7" x14ac:dyDescent="0.25">
      <c r="B11" s="4">
        <v>45971</v>
      </c>
      <c r="C11" s="2" t="s">
        <v>5836</v>
      </c>
      <c r="D11" s="2"/>
      <c r="E11" s="23">
        <v>93</v>
      </c>
      <c r="F11" s="2">
        <f t="shared" si="0"/>
        <v>21</v>
      </c>
      <c r="G11" s="2"/>
    </row>
    <row r="12" spans="2:7" x14ac:dyDescent="0.25">
      <c r="B12" s="4">
        <v>45972</v>
      </c>
      <c r="C12" s="2" t="s">
        <v>5846</v>
      </c>
      <c r="D12" s="2"/>
      <c r="E12" s="23">
        <v>114</v>
      </c>
      <c r="F12" s="2">
        <f t="shared" si="0"/>
        <v>21</v>
      </c>
      <c r="G12" s="2"/>
    </row>
    <row r="13" spans="2:7" x14ac:dyDescent="0.25">
      <c r="B13" s="4">
        <v>45973</v>
      </c>
      <c r="C13" s="2" t="s">
        <v>5849</v>
      </c>
      <c r="D13" s="2"/>
      <c r="E13" s="23">
        <v>114</v>
      </c>
      <c r="F13" s="2">
        <f t="shared" si="0"/>
        <v>0</v>
      </c>
      <c r="G13" s="2"/>
    </row>
    <row r="14" spans="2:7" x14ac:dyDescent="0.25">
      <c r="B14" s="4">
        <v>45974</v>
      </c>
      <c r="C14" s="2" t="s">
        <v>5858</v>
      </c>
      <c r="D14" s="2"/>
      <c r="E14" s="23">
        <v>114</v>
      </c>
      <c r="F14" s="2">
        <f t="shared" si="0"/>
        <v>0</v>
      </c>
      <c r="G14" s="2"/>
    </row>
    <row r="15" spans="2:7" x14ac:dyDescent="0.25">
      <c r="B15" s="4">
        <v>45975</v>
      </c>
      <c r="C15" s="2" t="s">
        <v>5867</v>
      </c>
      <c r="D15" s="2"/>
      <c r="E15" s="23"/>
      <c r="F15" s="2">
        <f t="shared" si="0"/>
        <v>-114</v>
      </c>
      <c r="G15" s="2"/>
    </row>
    <row r="16" spans="2:7" x14ac:dyDescent="0.25">
      <c r="B16" s="4">
        <v>45976</v>
      </c>
      <c r="C16" s="2" t="s">
        <v>5897</v>
      </c>
      <c r="D16" s="2" t="s">
        <v>5882</v>
      </c>
      <c r="E16" s="23">
        <v>30</v>
      </c>
      <c r="F16" s="2">
        <f t="shared" si="0"/>
        <v>30</v>
      </c>
      <c r="G16" s="2"/>
    </row>
    <row r="17" spans="2:7" x14ac:dyDescent="0.25">
      <c r="B17" s="4">
        <v>45977</v>
      </c>
      <c r="C17" s="2" t="s">
        <v>5885</v>
      </c>
      <c r="D17" s="2" t="s">
        <v>5886</v>
      </c>
      <c r="E17" s="23">
        <v>60</v>
      </c>
      <c r="F17" s="2">
        <f t="shared" si="0"/>
        <v>30</v>
      </c>
      <c r="G17" s="2"/>
    </row>
    <row r="18" spans="2:7" x14ac:dyDescent="0.25">
      <c r="B18" s="4">
        <v>45978</v>
      </c>
      <c r="C18" s="2" t="s">
        <v>5896</v>
      </c>
      <c r="D18" s="2"/>
      <c r="E18" s="23">
        <v>96</v>
      </c>
      <c r="F18" s="2">
        <f t="shared" si="0"/>
        <v>36</v>
      </c>
      <c r="G18" s="2"/>
    </row>
    <row r="19" spans="2:7" x14ac:dyDescent="0.25">
      <c r="B19" s="4">
        <v>45979</v>
      </c>
      <c r="C19" s="2" t="s">
        <v>5906</v>
      </c>
      <c r="D19" s="2"/>
      <c r="E19" s="23">
        <v>96</v>
      </c>
      <c r="F19" s="2">
        <f t="shared" si="0"/>
        <v>0</v>
      </c>
      <c r="G19" s="2"/>
    </row>
    <row r="20" spans="2:7" x14ac:dyDescent="0.25">
      <c r="B20" s="4">
        <v>45980</v>
      </c>
      <c r="C20" s="2" t="s">
        <v>5916</v>
      </c>
      <c r="D20" s="2" t="s">
        <v>5917</v>
      </c>
      <c r="E20" s="23"/>
      <c r="F20" s="2">
        <f t="shared" si="0"/>
        <v>-96</v>
      </c>
      <c r="G20" s="2"/>
    </row>
    <row r="21" spans="2:7" x14ac:dyDescent="0.25">
      <c r="B21" s="4">
        <v>45981</v>
      </c>
      <c r="C21" s="2" t="s">
        <v>5922</v>
      </c>
      <c r="D21" s="2" t="s">
        <v>5923</v>
      </c>
      <c r="E21" s="23"/>
      <c r="F21" s="2">
        <f t="shared" si="0"/>
        <v>0</v>
      </c>
      <c r="G21" s="2"/>
    </row>
    <row r="22" spans="2:7" x14ac:dyDescent="0.25">
      <c r="B22" s="4">
        <v>45982</v>
      </c>
      <c r="C22" s="2" t="s">
        <v>5955</v>
      </c>
      <c r="D22" s="2"/>
      <c r="E22" s="23"/>
      <c r="F22" s="2">
        <f t="shared" si="0"/>
        <v>0</v>
      </c>
      <c r="G22" s="2"/>
    </row>
    <row r="23" spans="2:7" x14ac:dyDescent="0.25">
      <c r="B23" s="4">
        <v>45983</v>
      </c>
      <c r="C23" s="2" t="s">
        <v>5956</v>
      </c>
      <c r="D23" s="2"/>
      <c r="E23" s="23"/>
      <c r="F23" s="2">
        <f t="shared" si="0"/>
        <v>0</v>
      </c>
      <c r="G23" s="2"/>
    </row>
    <row r="24" spans="2:7" x14ac:dyDescent="0.25">
      <c r="B24" s="4">
        <v>45984</v>
      </c>
      <c r="C24" s="2" t="s">
        <v>5957</v>
      </c>
      <c r="D24" s="2"/>
      <c r="E24" s="23"/>
      <c r="F24" s="2">
        <f t="shared" si="0"/>
        <v>0</v>
      </c>
      <c r="G24" s="2"/>
    </row>
    <row r="25" spans="2:7" x14ac:dyDescent="0.25">
      <c r="B25" s="4">
        <v>45985</v>
      </c>
      <c r="C25" s="2" t="s">
        <v>5960</v>
      </c>
      <c r="D25" s="2"/>
      <c r="E25" s="23">
        <v>81</v>
      </c>
      <c r="F25" s="2">
        <f t="shared" si="0"/>
        <v>81</v>
      </c>
      <c r="G25" s="2"/>
    </row>
    <row r="26" spans="2:7" x14ac:dyDescent="0.25">
      <c r="B26" s="4">
        <v>45986</v>
      </c>
      <c r="C26" s="2" t="s">
        <v>5973</v>
      </c>
      <c r="D26" s="2"/>
      <c r="E26" s="23">
        <v>111</v>
      </c>
      <c r="F26" s="2">
        <f t="shared" si="0"/>
        <v>30</v>
      </c>
      <c r="G26" s="2"/>
    </row>
    <row r="27" spans="2:7" x14ac:dyDescent="0.25">
      <c r="B27" s="4">
        <v>45987</v>
      </c>
      <c r="C27" s="2" t="s">
        <v>5981</v>
      </c>
      <c r="D27" s="2" t="s">
        <v>1919</v>
      </c>
      <c r="E27" s="23">
        <v>120</v>
      </c>
      <c r="F27" s="2">
        <f t="shared" si="0"/>
        <v>9</v>
      </c>
      <c r="G27" s="2"/>
    </row>
    <row r="28" spans="2:7" x14ac:dyDescent="0.25">
      <c r="B28" s="4">
        <v>45988</v>
      </c>
      <c r="C28" s="2" t="s">
        <v>5991</v>
      </c>
      <c r="D28" s="2"/>
      <c r="E28" s="23">
        <v>120</v>
      </c>
      <c r="F28" s="2">
        <f t="shared" si="0"/>
        <v>0</v>
      </c>
      <c r="G28" s="2"/>
    </row>
    <row r="29" spans="2:7" x14ac:dyDescent="0.25">
      <c r="B29" s="4">
        <v>45989</v>
      </c>
      <c r="C29" s="2" t="s">
        <v>5995</v>
      </c>
      <c r="D29" s="2"/>
      <c r="E29" s="23"/>
      <c r="F29" s="2">
        <f t="shared" si="0"/>
        <v>-120</v>
      </c>
      <c r="G29" s="2"/>
    </row>
    <row r="30" spans="2:7" x14ac:dyDescent="0.25">
      <c r="B30" s="4">
        <v>45990</v>
      </c>
      <c r="C30" s="2" t="s">
        <v>6007</v>
      </c>
      <c r="D30" s="2"/>
      <c r="E30" s="23"/>
      <c r="F30" s="2">
        <f t="shared" si="0"/>
        <v>0</v>
      </c>
      <c r="G30" s="2"/>
    </row>
    <row r="31" spans="2:7" x14ac:dyDescent="0.25">
      <c r="B31" s="4">
        <v>45991</v>
      </c>
      <c r="C31" s="2" t="s">
        <v>6008</v>
      </c>
      <c r="D31" s="2"/>
      <c r="E31" s="23"/>
      <c r="F31" s="2">
        <f t="shared" si="0"/>
        <v>0</v>
      </c>
      <c r="G31" s="2"/>
    </row>
    <row r="32" spans="2:7" x14ac:dyDescent="0.25">
      <c r="B32" s="4">
        <v>45992</v>
      </c>
      <c r="C32" s="2" t="s">
        <v>6130</v>
      </c>
      <c r="D32" s="2"/>
      <c r="E32" s="23">
        <v>90</v>
      </c>
      <c r="F32" s="2">
        <f t="shared" si="0"/>
        <v>90</v>
      </c>
      <c r="G32" s="2"/>
    </row>
    <row r="33" spans="2:7" x14ac:dyDescent="0.25">
      <c r="B33" s="4">
        <v>45993</v>
      </c>
      <c r="C33" s="2" t="s">
        <v>6032</v>
      </c>
      <c r="D33" s="2"/>
      <c r="E33" s="23">
        <v>117</v>
      </c>
      <c r="F33" s="2">
        <f t="shared" si="0"/>
        <v>27</v>
      </c>
      <c r="G33" s="2"/>
    </row>
    <row r="34" spans="2:7" x14ac:dyDescent="0.25">
      <c r="B34" s="4">
        <v>45994</v>
      </c>
      <c r="C34" s="2" t="s">
        <v>5981</v>
      </c>
      <c r="D34" s="2" t="s">
        <v>6042</v>
      </c>
      <c r="E34" s="23">
        <v>120</v>
      </c>
      <c r="F34" s="2">
        <f t="shared" si="0"/>
        <v>3</v>
      </c>
      <c r="G34" s="2"/>
    </row>
    <row r="35" spans="2:7" x14ac:dyDescent="0.25">
      <c r="B35" s="4">
        <v>45995</v>
      </c>
      <c r="C35" s="2" t="s">
        <v>6052</v>
      </c>
      <c r="D35" s="2"/>
      <c r="E35" s="23">
        <v>126</v>
      </c>
      <c r="F35" s="2">
        <f t="shared" si="0"/>
        <v>6</v>
      </c>
      <c r="G35" s="2"/>
    </row>
    <row r="36" spans="2:7" x14ac:dyDescent="0.25">
      <c r="B36" s="4">
        <v>45996</v>
      </c>
      <c r="C36" s="2" t="s">
        <v>6054</v>
      </c>
      <c r="D36" s="2"/>
      <c r="E36" s="23">
        <v>135</v>
      </c>
      <c r="F36" s="2">
        <f t="shared" si="0"/>
        <v>9</v>
      </c>
      <c r="G36" s="2"/>
    </row>
    <row r="37" spans="2:7" x14ac:dyDescent="0.25">
      <c r="B37" s="4">
        <v>45997</v>
      </c>
      <c r="C37" s="2" t="s">
        <v>6131</v>
      </c>
      <c r="D37" s="2"/>
      <c r="E37" s="23">
        <v>135</v>
      </c>
      <c r="F37" s="2">
        <f t="shared" si="0"/>
        <v>0</v>
      </c>
      <c r="G37" s="2"/>
    </row>
    <row r="38" spans="2:7" x14ac:dyDescent="0.25">
      <c r="B38" s="4">
        <v>45998</v>
      </c>
      <c r="C38" s="2" t="s">
        <v>6066</v>
      </c>
      <c r="D38" s="2"/>
      <c r="E38" s="23"/>
      <c r="F38" s="2">
        <f t="shared" si="0"/>
        <v>-135</v>
      </c>
      <c r="G38" s="2"/>
    </row>
    <row r="39" spans="2:7" x14ac:dyDescent="0.25">
      <c r="B39" s="4">
        <v>45999</v>
      </c>
      <c r="C39" s="2" t="s">
        <v>6077</v>
      </c>
      <c r="D39" s="2"/>
      <c r="E39" s="23">
        <v>138</v>
      </c>
      <c r="F39" s="2">
        <f t="shared" si="0"/>
        <v>138</v>
      </c>
      <c r="G39" s="2"/>
    </row>
    <row r="40" spans="2:7" x14ac:dyDescent="0.25">
      <c r="B40" s="4">
        <v>46000</v>
      </c>
      <c r="C40" s="2" t="s">
        <v>6083</v>
      </c>
      <c r="D40" s="2"/>
      <c r="E40" s="23">
        <v>147</v>
      </c>
      <c r="F40" s="2">
        <f t="shared" si="0"/>
        <v>9</v>
      </c>
      <c r="G40" s="2"/>
    </row>
    <row r="41" spans="2:7" x14ac:dyDescent="0.25">
      <c r="B41" s="4">
        <v>46001</v>
      </c>
      <c r="C41" s="2" t="s">
        <v>6083</v>
      </c>
      <c r="D41" s="2" t="s">
        <v>1919</v>
      </c>
      <c r="E41" s="23">
        <v>147</v>
      </c>
      <c r="F41" s="2">
        <f t="shared" si="0"/>
        <v>0</v>
      </c>
      <c r="G41" s="2"/>
    </row>
    <row r="42" spans="2:7" x14ac:dyDescent="0.25">
      <c r="B42" s="4">
        <v>46002</v>
      </c>
      <c r="C42" s="2" t="s">
        <v>6104</v>
      </c>
      <c r="D42" s="2"/>
      <c r="E42" s="23"/>
      <c r="F42" s="2">
        <f t="shared" si="0"/>
        <v>-147</v>
      </c>
      <c r="G42" s="2"/>
    </row>
    <row r="43" spans="2:7" x14ac:dyDescent="0.25">
      <c r="B43" s="4">
        <v>46003</v>
      </c>
      <c r="C43" s="2" t="s">
        <v>6109</v>
      </c>
      <c r="D43" s="2"/>
      <c r="E43" s="23">
        <v>80</v>
      </c>
      <c r="F43" s="2">
        <f t="shared" si="0"/>
        <v>80</v>
      </c>
      <c r="G43" s="2"/>
    </row>
    <row r="44" spans="2:7" x14ac:dyDescent="0.25">
      <c r="B44" s="4">
        <v>46004</v>
      </c>
      <c r="C44" s="2" t="s">
        <v>6007</v>
      </c>
      <c r="D44" s="2"/>
      <c r="E44" s="23">
        <v>80</v>
      </c>
      <c r="F44" s="2">
        <f t="shared" si="0"/>
        <v>0</v>
      </c>
      <c r="G44" s="2"/>
    </row>
    <row r="45" spans="2:7" x14ac:dyDescent="0.25">
      <c r="B45" s="4">
        <v>46005</v>
      </c>
      <c r="C45" s="2" t="s">
        <v>6115</v>
      </c>
      <c r="D45" s="2"/>
      <c r="E45" s="23">
        <v>80</v>
      </c>
      <c r="F45" s="2">
        <f t="shared" si="0"/>
        <v>0</v>
      </c>
      <c r="G45" s="2"/>
    </row>
    <row r="46" spans="2:7" x14ac:dyDescent="0.25">
      <c r="B46" s="4">
        <v>46006</v>
      </c>
      <c r="C46" s="2" t="s">
        <v>6205</v>
      </c>
      <c r="D46" s="2"/>
      <c r="E46" s="23">
        <v>80</v>
      </c>
      <c r="F46" s="2">
        <f t="shared" si="0"/>
        <v>0</v>
      </c>
      <c r="G46" s="2"/>
    </row>
    <row r="47" spans="2:7" x14ac:dyDescent="0.25">
      <c r="B47" s="4">
        <v>46007</v>
      </c>
      <c r="C47" s="2" t="s">
        <v>6206</v>
      </c>
      <c r="D47" s="2"/>
      <c r="E47" s="23">
        <v>84</v>
      </c>
      <c r="F47" s="2">
        <f t="shared" si="0"/>
        <v>4</v>
      </c>
      <c r="G47" s="2"/>
    </row>
    <row r="48" spans="2:7" x14ac:dyDescent="0.25">
      <c r="B48" s="4">
        <v>46008</v>
      </c>
      <c r="C48" s="2" t="s">
        <v>6207</v>
      </c>
      <c r="D48" s="2"/>
      <c r="E48" s="23">
        <v>84</v>
      </c>
      <c r="F48" s="2">
        <f t="shared" si="0"/>
        <v>0</v>
      </c>
      <c r="G48" s="2"/>
    </row>
    <row r="49" spans="2:7" x14ac:dyDescent="0.25">
      <c r="B49" s="4">
        <v>46009</v>
      </c>
      <c r="C49" s="2" t="s">
        <v>6208</v>
      </c>
      <c r="D49" s="2"/>
      <c r="E49" s="23">
        <v>84</v>
      </c>
      <c r="F49" s="2">
        <f t="shared" si="0"/>
        <v>0</v>
      </c>
      <c r="G49" s="2"/>
    </row>
    <row r="50" spans="2:7" x14ac:dyDescent="0.25">
      <c r="B50" s="4">
        <v>46010</v>
      </c>
      <c r="C50" s="2" t="s">
        <v>6164</v>
      </c>
      <c r="D50" s="2"/>
      <c r="E50" s="23">
        <v>84</v>
      </c>
      <c r="F50" s="2">
        <f t="shared" si="0"/>
        <v>0</v>
      </c>
      <c r="G50" s="2"/>
    </row>
    <row r="51" spans="2:7" x14ac:dyDescent="0.25">
      <c r="B51" s="4">
        <v>46011</v>
      </c>
      <c r="C51" s="2" t="s">
        <v>6164</v>
      </c>
      <c r="D51" s="2"/>
      <c r="E51" s="23">
        <v>84</v>
      </c>
      <c r="F51" s="2">
        <f t="shared" si="0"/>
        <v>0</v>
      </c>
      <c r="G51" s="2"/>
    </row>
    <row r="52" spans="2:7" x14ac:dyDescent="0.25">
      <c r="B52" s="4">
        <v>46012</v>
      </c>
      <c r="C52" s="2" t="s">
        <v>6178</v>
      </c>
      <c r="D52" s="2"/>
      <c r="E52" s="23"/>
      <c r="F52" s="2">
        <f t="shared" si="0"/>
        <v>-84</v>
      </c>
      <c r="G52" s="2"/>
    </row>
    <row r="53" spans="2:7" x14ac:dyDescent="0.25">
      <c r="B53" s="4">
        <v>46013</v>
      </c>
      <c r="C53" s="2" t="s">
        <v>6184</v>
      </c>
      <c r="D53" s="2"/>
      <c r="E53" s="23">
        <v>70</v>
      </c>
      <c r="F53" s="2">
        <f t="shared" si="0"/>
        <v>70</v>
      </c>
      <c r="G53" s="2"/>
    </row>
    <row r="54" spans="2:7" x14ac:dyDescent="0.25">
      <c r="B54" s="4">
        <v>46014</v>
      </c>
      <c r="C54" s="2" t="s">
        <v>6202</v>
      </c>
      <c r="D54" s="2"/>
      <c r="E54" s="23">
        <v>141</v>
      </c>
      <c r="F54" s="2">
        <f t="shared" si="0"/>
        <v>71</v>
      </c>
      <c r="G54" s="2"/>
    </row>
    <row r="55" spans="2:7" x14ac:dyDescent="0.25">
      <c r="B55" s="4">
        <v>46015</v>
      </c>
      <c r="C55" s="2" t="s">
        <v>6200</v>
      </c>
      <c r="D55" s="2"/>
      <c r="E55" s="23"/>
      <c r="F55" s="2">
        <f t="shared" si="0"/>
        <v>-141</v>
      </c>
      <c r="G55" s="2"/>
    </row>
    <row r="56" spans="2:7" x14ac:dyDescent="0.25">
      <c r="B56" s="4">
        <v>46016</v>
      </c>
      <c r="C56" s="2" t="s">
        <v>6212</v>
      </c>
      <c r="D56" s="2"/>
      <c r="E56" s="23"/>
      <c r="F56" s="2">
        <f t="shared" si="0"/>
        <v>0</v>
      </c>
      <c r="G56" s="2"/>
    </row>
    <row r="57" spans="2:7" x14ac:dyDescent="0.25">
      <c r="B57" s="4">
        <v>46017</v>
      </c>
      <c r="C57" s="2" t="s">
        <v>6219</v>
      </c>
      <c r="D57" s="2"/>
      <c r="E57" s="23"/>
      <c r="F57" s="23"/>
      <c r="G57" s="2"/>
    </row>
    <row r="58" spans="2:7" x14ac:dyDescent="0.25">
      <c r="B58" s="4">
        <v>46018</v>
      </c>
      <c r="C58" s="2" t="s">
        <v>6212</v>
      </c>
      <c r="D58" s="2"/>
      <c r="E58" s="23"/>
      <c r="F58" s="23"/>
      <c r="G58" s="2"/>
    </row>
    <row r="59" spans="2:7" x14ac:dyDescent="0.25">
      <c r="B59" s="4">
        <v>46019</v>
      </c>
      <c r="C59" s="2" t="s">
        <v>6226</v>
      </c>
      <c r="D59" s="2"/>
      <c r="E59" s="23"/>
      <c r="F59" s="23"/>
      <c r="G59" s="2"/>
    </row>
    <row r="60" spans="2:7" x14ac:dyDescent="0.25">
      <c r="B60" s="4">
        <v>46020</v>
      </c>
      <c r="C60" s="2" t="s">
        <v>6230</v>
      </c>
      <c r="D60" s="2"/>
      <c r="E60" s="23"/>
      <c r="F60" s="23"/>
      <c r="G60" s="2"/>
    </row>
    <row r="61" spans="2:7" x14ac:dyDescent="0.25">
      <c r="B61" s="4">
        <v>46021</v>
      </c>
      <c r="C61" s="2" t="s">
        <v>2181</v>
      </c>
      <c r="D61" s="2"/>
      <c r="E61" s="23"/>
      <c r="F61" s="23"/>
      <c r="G61" s="2"/>
    </row>
    <row r="62" spans="2:7" x14ac:dyDescent="0.25">
      <c r="B62" s="4">
        <v>46022</v>
      </c>
      <c r="C62" s="2" t="s">
        <v>6244</v>
      </c>
      <c r="D62" s="2"/>
      <c r="E62" s="23"/>
      <c r="F62" s="23"/>
      <c r="G62" s="2"/>
    </row>
    <row r="63" spans="2:7" x14ac:dyDescent="0.25">
      <c r="B63" s="4">
        <v>46023</v>
      </c>
      <c r="C63" s="2" t="s">
        <v>6245</v>
      </c>
      <c r="D63" s="2"/>
      <c r="E63" s="2"/>
      <c r="F63" s="2"/>
      <c r="G63" s="2"/>
    </row>
    <row r="64" spans="2:7" x14ac:dyDescent="0.25">
      <c r="B64" s="4">
        <v>46024</v>
      </c>
      <c r="C64" s="2" t="s">
        <v>6254</v>
      </c>
      <c r="D64" s="2"/>
      <c r="E64" s="2"/>
      <c r="F64" s="2"/>
      <c r="G64" s="2"/>
    </row>
    <row r="65" spans="2:7" x14ac:dyDescent="0.25">
      <c r="B65" s="4">
        <v>46025</v>
      </c>
      <c r="C65" s="2" t="s">
        <v>6260</v>
      </c>
      <c r="D65" s="2" t="s">
        <v>6261</v>
      </c>
      <c r="E65" s="2"/>
      <c r="F65" s="2"/>
      <c r="G65" s="2"/>
    </row>
    <row r="66" spans="2:7" x14ac:dyDescent="0.25">
      <c r="B66" s="4">
        <v>46026</v>
      </c>
      <c r="C66" s="2" t="s">
        <v>6262</v>
      </c>
      <c r="D66" s="2" t="s">
        <v>6263</v>
      </c>
      <c r="E66" s="2"/>
      <c r="F66" s="2"/>
      <c r="G66" s="2"/>
    </row>
    <row r="67" spans="2:7" x14ac:dyDescent="0.25">
      <c r="B67" s="4">
        <v>46027</v>
      </c>
      <c r="C67" s="2" t="s">
        <v>6268</v>
      </c>
      <c r="D67" s="2" t="s">
        <v>6264</v>
      </c>
      <c r="E67" s="2"/>
      <c r="F67" s="2"/>
      <c r="G67" s="2"/>
    </row>
    <row r="68" spans="2:7" x14ac:dyDescent="0.25">
      <c r="B68" s="4">
        <v>46028</v>
      </c>
      <c r="C68" s="2" t="s">
        <v>6272</v>
      </c>
      <c r="D68" s="2"/>
      <c r="E68" s="2"/>
      <c r="F68" s="2"/>
      <c r="G68" s="2"/>
    </row>
    <row r="69" spans="2:7" x14ac:dyDescent="0.25">
      <c r="B69" s="4">
        <v>46029</v>
      </c>
      <c r="C69" s="2" t="s">
        <v>6272</v>
      </c>
      <c r="D69" s="2"/>
      <c r="E69" s="2"/>
      <c r="F69" s="2"/>
      <c r="G69" s="2"/>
    </row>
    <row r="70" spans="2:7" x14ac:dyDescent="0.25">
      <c r="B70" s="4">
        <v>46030</v>
      </c>
      <c r="C70" s="2" t="s">
        <v>6284</v>
      </c>
      <c r="D70" s="2"/>
      <c r="E70" s="2"/>
      <c r="F70" s="2"/>
      <c r="G70" s="2"/>
    </row>
    <row r="71" spans="2:7" x14ac:dyDescent="0.25">
      <c r="B71" s="4">
        <v>46031</v>
      </c>
      <c r="C71" s="2" t="s">
        <v>6297</v>
      </c>
      <c r="D71" s="2"/>
      <c r="E71" s="2"/>
      <c r="F71" s="2"/>
      <c r="G71" s="2"/>
    </row>
    <row r="72" spans="2:7" x14ac:dyDescent="0.25">
      <c r="B72" s="4">
        <v>46032</v>
      </c>
      <c r="C72" s="2" t="s">
        <v>6305</v>
      </c>
      <c r="D72" s="2"/>
      <c r="E72" s="2"/>
      <c r="F72" s="2"/>
      <c r="G72" s="2"/>
    </row>
    <row r="73" spans="2:7" x14ac:dyDescent="0.25">
      <c r="B73" s="4">
        <v>46033</v>
      </c>
      <c r="C73" s="2" t="s">
        <v>6312</v>
      </c>
      <c r="D73" s="2"/>
      <c r="E73" s="2"/>
      <c r="F73" s="2"/>
      <c r="G73" s="2"/>
    </row>
    <row r="74" spans="2:7" x14ac:dyDescent="0.25">
      <c r="B74" s="4">
        <v>46034</v>
      </c>
      <c r="C74" s="2" t="s">
        <v>6326</v>
      </c>
      <c r="D74" s="2"/>
      <c r="E74" s="2"/>
      <c r="F74" s="2"/>
      <c r="G74" s="2"/>
    </row>
    <row r="75" spans="2:7" x14ac:dyDescent="0.25">
      <c r="B75" s="4">
        <v>46035</v>
      </c>
      <c r="C75" s="2" t="s">
        <v>6334</v>
      </c>
      <c r="D75" s="2"/>
      <c r="E75" s="2"/>
      <c r="F75" s="2"/>
      <c r="G75" s="2"/>
    </row>
    <row r="76" spans="2:7" x14ac:dyDescent="0.25">
      <c r="B76" s="4">
        <v>46036</v>
      </c>
      <c r="C76" s="2" t="s">
        <v>6333</v>
      </c>
      <c r="D76" s="2"/>
      <c r="E76" s="2"/>
      <c r="F76" s="2"/>
      <c r="G76" s="2"/>
    </row>
    <row r="77" spans="2:7" x14ac:dyDescent="0.25">
      <c r="B77" s="4">
        <v>46037</v>
      </c>
      <c r="C77" s="2" t="s">
        <v>6346</v>
      </c>
      <c r="D77" s="2"/>
      <c r="E77" s="2">
        <v>12</v>
      </c>
      <c r="F77" s="2">
        <f>E77-E76</f>
        <v>12</v>
      </c>
      <c r="G77" s="2"/>
    </row>
    <row r="78" spans="2:7" x14ac:dyDescent="0.25">
      <c r="B78" s="4">
        <v>46038</v>
      </c>
      <c r="C78" s="2" t="s">
        <v>6347</v>
      </c>
      <c r="D78" s="2"/>
      <c r="E78" s="2">
        <v>22</v>
      </c>
      <c r="F78" s="2">
        <f t="shared" ref="F78:F103" si="1">E78-E77</f>
        <v>10</v>
      </c>
      <c r="G78" s="2"/>
    </row>
    <row r="79" spans="2:7" x14ac:dyDescent="0.25">
      <c r="B79" s="4">
        <v>46039</v>
      </c>
      <c r="C79" s="2" t="s">
        <v>6356</v>
      </c>
      <c r="D79" s="2" t="s">
        <v>6348</v>
      </c>
      <c r="E79" s="2">
        <v>24</v>
      </c>
      <c r="F79" s="2">
        <f t="shared" si="1"/>
        <v>2</v>
      </c>
      <c r="G79" s="2"/>
    </row>
    <row r="80" spans="2:7" x14ac:dyDescent="0.25">
      <c r="B80" s="4">
        <v>46040</v>
      </c>
      <c r="C80" s="2" t="s">
        <v>6357</v>
      </c>
      <c r="D80" s="2"/>
      <c r="E80" s="2">
        <v>30</v>
      </c>
      <c r="F80" s="2">
        <f t="shared" si="1"/>
        <v>6</v>
      </c>
      <c r="G80" s="2"/>
    </row>
    <row r="81" spans="2:7" x14ac:dyDescent="0.25">
      <c r="B81" s="4">
        <v>46041</v>
      </c>
      <c r="C81" s="2" t="s">
        <v>6362</v>
      </c>
      <c r="D81" s="2"/>
      <c r="E81" s="2">
        <v>35</v>
      </c>
      <c r="F81" s="2">
        <f t="shared" si="1"/>
        <v>5</v>
      </c>
      <c r="G81" s="2"/>
    </row>
    <row r="82" spans="2:7" x14ac:dyDescent="0.25">
      <c r="B82" s="4">
        <v>46042</v>
      </c>
      <c r="C82" s="2" t="s">
        <v>6369</v>
      </c>
      <c r="D82" s="2"/>
      <c r="E82" s="2">
        <v>39</v>
      </c>
      <c r="F82" s="2">
        <f t="shared" si="1"/>
        <v>4</v>
      </c>
      <c r="G82" s="2"/>
    </row>
    <row r="83" spans="2:7" x14ac:dyDescent="0.25">
      <c r="B83" s="4">
        <v>46043</v>
      </c>
      <c r="C83" s="2" t="s">
        <v>6375</v>
      </c>
      <c r="D83" s="2" t="s">
        <v>6376</v>
      </c>
      <c r="E83" s="2">
        <v>43</v>
      </c>
      <c r="F83" s="2">
        <f t="shared" si="1"/>
        <v>4</v>
      </c>
      <c r="G83" s="2"/>
    </row>
    <row r="84" spans="2:7" x14ac:dyDescent="0.25">
      <c r="B84" s="4">
        <v>46044</v>
      </c>
      <c r="C84" s="2" t="s">
        <v>6380</v>
      </c>
      <c r="D84" s="2" t="s">
        <v>6381</v>
      </c>
      <c r="E84" s="2">
        <v>48</v>
      </c>
      <c r="F84" s="2">
        <f t="shared" si="1"/>
        <v>5</v>
      </c>
      <c r="G84" s="2"/>
    </row>
    <row r="85" spans="2:7" x14ac:dyDescent="0.25">
      <c r="B85" s="4">
        <v>46045</v>
      </c>
      <c r="C85" s="2" t="s">
        <v>6384</v>
      </c>
      <c r="D85" s="2"/>
      <c r="E85" s="2">
        <v>53</v>
      </c>
      <c r="F85" s="2">
        <f t="shared" si="1"/>
        <v>5</v>
      </c>
      <c r="G85" s="2"/>
    </row>
    <row r="86" spans="2:7" x14ac:dyDescent="0.25">
      <c r="B86" s="4">
        <v>46046</v>
      </c>
      <c r="C86" s="2" t="s">
        <v>6391</v>
      </c>
      <c r="D86" s="2"/>
      <c r="E86" s="2">
        <v>60</v>
      </c>
      <c r="F86" s="2">
        <f t="shared" si="1"/>
        <v>7</v>
      </c>
      <c r="G86" s="2"/>
    </row>
    <row r="87" spans="2:7" x14ac:dyDescent="0.25">
      <c r="B87" s="4">
        <v>46047</v>
      </c>
      <c r="C87" s="2" t="s">
        <v>6395</v>
      </c>
      <c r="D87" s="2"/>
      <c r="E87" s="2">
        <v>60</v>
      </c>
      <c r="F87" s="2">
        <f t="shared" si="1"/>
        <v>0</v>
      </c>
      <c r="G87" s="2"/>
    </row>
    <row r="88" spans="2:7" x14ac:dyDescent="0.25">
      <c r="B88" s="4">
        <v>46048</v>
      </c>
      <c r="C88" s="2" t="s">
        <v>6397</v>
      </c>
      <c r="D88" s="2"/>
      <c r="E88" s="2">
        <v>70</v>
      </c>
      <c r="F88" s="2">
        <f t="shared" si="1"/>
        <v>10</v>
      </c>
      <c r="G88" s="2"/>
    </row>
    <row r="89" spans="2:7" x14ac:dyDescent="0.25">
      <c r="B89" s="4">
        <v>46049</v>
      </c>
      <c r="C89" s="2" t="s">
        <v>6407</v>
      </c>
      <c r="D89" s="2"/>
      <c r="E89" s="2">
        <v>87</v>
      </c>
      <c r="F89" s="2">
        <f t="shared" si="1"/>
        <v>17</v>
      </c>
      <c r="G89" s="2"/>
    </row>
    <row r="90" spans="2:7" x14ac:dyDescent="0.25">
      <c r="B90" s="4">
        <v>46050</v>
      </c>
      <c r="C90" s="2" t="s">
        <v>6411</v>
      </c>
      <c r="D90" s="2"/>
      <c r="E90" s="2">
        <v>96</v>
      </c>
      <c r="F90" s="2">
        <f t="shared" si="1"/>
        <v>9</v>
      </c>
      <c r="G90" s="2"/>
    </row>
    <row r="91" spans="2:7" x14ac:dyDescent="0.25">
      <c r="B91" s="4">
        <v>46051</v>
      </c>
      <c r="C91" s="2" t="s">
        <v>6415</v>
      </c>
      <c r="D91" s="2" t="s">
        <v>6416</v>
      </c>
      <c r="E91" s="2">
        <v>114</v>
      </c>
      <c r="F91" s="2">
        <f t="shared" si="1"/>
        <v>18</v>
      </c>
      <c r="G91" s="2"/>
    </row>
    <row r="92" spans="2:7" x14ac:dyDescent="0.25">
      <c r="B92" s="4">
        <v>46052</v>
      </c>
      <c r="C92" s="2" t="s">
        <v>6421</v>
      </c>
      <c r="D92" s="2"/>
      <c r="E92" s="2">
        <v>126</v>
      </c>
      <c r="F92" s="2">
        <f t="shared" si="1"/>
        <v>12</v>
      </c>
      <c r="G92" s="2"/>
    </row>
    <row r="93" spans="2:7" x14ac:dyDescent="0.25">
      <c r="B93" s="4">
        <v>46053</v>
      </c>
      <c r="C93" s="2" t="s">
        <v>6429</v>
      </c>
      <c r="D93" s="2" t="s">
        <v>6430</v>
      </c>
      <c r="E93" s="2">
        <v>129</v>
      </c>
      <c r="F93" s="2">
        <f t="shared" si="1"/>
        <v>3</v>
      </c>
      <c r="G93" s="2"/>
    </row>
    <row r="94" spans="2:7" x14ac:dyDescent="0.25">
      <c r="B94" s="4">
        <v>46054</v>
      </c>
      <c r="C94" s="2" t="s">
        <v>6428</v>
      </c>
      <c r="D94" s="2"/>
      <c r="E94" s="2">
        <v>135</v>
      </c>
      <c r="F94" s="2">
        <f t="shared" si="1"/>
        <v>6</v>
      </c>
      <c r="G94" s="2"/>
    </row>
    <row r="95" spans="2:7" x14ac:dyDescent="0.25">
      <c r="B95" s="4">
        <v>46055</v>
      </c>
      <c r="C95" s="2" t="s">
        <v>6438</v>
      </c>
      <c r="D95" s="2"/>
      <c r="E95" s="2">
        <v>144</v>
      </c>
      <c r="F95" s="2">
        <f t="shared" si="1"/>
        <v>9</v>
      </c>
      <c r="G95" s="2"/>
    </row>
    <row r="96" spans="2:7" x14ac:dyDescent="0.25">
      <c r="B96" s="4">
        <v>46056</v>
      </c>
      <c r="C96" s="2" t="s">
        <v>6439</v>
      </c>
      <c r="D96" s="2"/>
      <c r="E96" s="2">
        <v>159</v>
      </c>
      <c r="F96" s="2">
        <f t="shared" si="1"/>
        <v>15</v>
      </c>
      <c r="G96" s="2"/>
    </row>
    <row r="97" spans="2:7" x14ac:dyDescent="0.25">
      <c r="B97" s="4">
        <v>46057</v>
      </c>
      <c r="C97" s="2" t="s">
        <v>6446</v>
      </c>
      <c r="D97" s="2" t="s">
        <v>6447</v>
      </c>
      <c r="E97" s="2">
        <v>153</v>
      </c>
      <c r="F97" s="2">
        <f t="shared" si="1"/>
        <v>-6</v>
      </c>
      <c r="G97" s="2"/>
    </row>
    <row r="98" spans="2:7" x14ac:dyDescent="0.25">
      <c r="B98" s="4">
        <v>46058</v>
      </c>
      <c r="C98" s="2" t="s">
        <v>6457</v>
      </c>
      <c r="D98" s="2"/>
      <c r="E98" s="2">
        <v>153</v>
      </c>
      <c r="F98" s="2">
        <f t="shared" si="1"/>
        <v>0</v>
      </c>
      <c r="G98" s="2"/>
    </row>
    <row r="99" spans="2:7" x14ac:dyDescent="0.25">
      <c r="B99" s="4">
        <v>46059</v>
      </c>
      <c r="C99" s="2" t="s">
        <v>6466</v>
      </c>
      <c r="D99" s="2"/>
      <c r="E99" s="2">
        <v>156</v>
      </c>
      <c r="F99" s="2">
        <f t="shared" si="1"/>
        <v>3</v>
      </c>
      <c r="G99" s="2"/>
    </row>
    <row r="100" spans="2:7" x14ac:dyDescent="0.25">
      <c r="B100" s="4">
        <v>46060</v>
      </c>
      <c r="C100" s="2" t="s">
        <v>1178</v>
      </c>
      <c r="D100" s="2"/>
      <c r="E100" s="2"/>
      <c r="F100" s="2">
        <f t="shared" si="1"/>
        <v>-156</v>
      </c>
      <c r="G100" s="2"/>
    </row>
    <row r="101" spans="2:7" x14ac:dyDescent="0.25">
      <c r="B101" s="4">
        <v>46061</v>
      </c>
      <c r="C101" s="2" t="s">
        <v>6467</v>
      </c>
      <c r="D101" s="2"/>
      <c r="E101" s="2"/>
      <c r="F101" s="2">
        <f t="shared" si="1"/>
        <v>0</v>
      </c>
      <c r="G101" s="2"/>
    </row>
    <row r="102" spans="2:7" x14ac:dyDescent="0.25">
      <c r="B102" s="4">
        <v>46062</v>
      </c>
      <c r="C102" s="2" t="s">
        <v>6476</v>
      </c>
      <c r="D102" s="2"/>
      <c r="E102" s="2"/>
      <c r="F102" s="2">
        <f t="shared" si="1"/>
        <v>0</v>
      </c>
      <c r="G102" s="2"/>
    </row>
    <row r="103" spans="2:7" x14ac:dyDescent="0.25">
      <c r="B103" s="4">
        <v>46063</v>
      </c>
      <c r="C103" s="2" t="s">
        <v>6488</v>
      </c>
      <c r="D103" s="2" t="s">
        <v>6489</v>
      </c>
      <c r="E103" s="2"/>
      <c r="F103" s="2">
        <f t="shared" si="1"/>
        <v>0</v>
      </c>
      <c r="G103" s="2"/>
    </row>
    <row r="104" spans="2:7" x14ac:dyDescent="0.25">
      <c r="B104" s="4">
        <v>46064</v>
      </c>
      <c r="C104" s="2" t="s">
        <v>6494</v>
      </c>
      <c r="D104" s="2" t="s">
        <v>6495</v>
      </c>
      <c r="E104" s="2"/>
      <c r="F104" s="2"/>
      <c r="G104" s="2"/>
    </row>
    <row r="105" spans="2:7" x14ac:dyDescent="0.25">
      <c r="B105" s="4">
        <v>46065</v>
      </c>
      <c r="C105" s="2" t="s">
        <v>6499</v>
      </c>
      <c r="D105" s="2"/>
      <c r="E105" s="2"/>
      <c r="F105" s="2"/>
      <c r="G105" s="2"/>
    </row>
    <row r="106" spans="2:7" x14ac:dyDescent="0.25">
      <c r="B106" s="4">
        <v>46066</v>
      </c>
      <c r="C106" s="2" t="s">
        <v>6507</v>
      </c>
      <c r="D106" s="2"/>
      <c r="E106" s="2"/>
      <c r="F106" s="2"/>
      <c r="G106" s="2"/>
    </row>
    <row r="107" spans="2:7" x14ac:dyDescent="0.25">
      <c r="B107" s="4">
        <v>46067</v>
      </c>
      <c r="C107" s="2" t="s">
        <v>6522</v>
      </c>
      <c r="D107" s="2"/>
      <c r="E107" s="2"/>
      <c r="F107" s="2"/>
      <c r="G107" s="2"/>
    </row>
    <row r="108" spans="2:7" x14ac:dyDescent="0.25">
      <c r="B108" s="4">
        <v>46068</v>
      </c>
      <c r="C108" s="2" t="s">
        <v>6523</v>
      </c>
      <c r="D108" s="2"/>
      <c r="E108" s="2"/>
      <c r="F108" s="2"/>
      <c r="G108" s="2"/>
    </row>
    <row r="109" spans="2:7" x14ac:dyDescent="0.25">
      <c r="B109" s="4">
        <v>46069</v>
      </c>
      <c r="C109" s="2" t="s">
        <v>6531</v>
      </c>
      <c r="D109" s="2"/>
      <c r="E109" s="2"/>
      <c r="F109" s="2"/>
      <c r="G109" s="2"/>
    </row>
    <row r="110" spans="2:7" x14ac:dyDescent="0.25">
      <c r="B110" s="4">
        <v>46070</v>
      </c>
      <c r="C110" s="2" t="s">
        <v>6536</v>
      </c>
      <c r="D110" s="2"/>
      <c r="E110" s="2"/>
      <c r="F110" s="2"/>
      <c r="G110" s="2"/>
    </row>
    <row r="111" spans="2:7" x14ac:dyDescent="0.25">
      <c r="B111" s="4">
        <v>46071</v>
      </c>
      <c r="C111" s="2" t="s">
        <v>6542</v>
      </c>
      <c r="D111" s="2"/>
      <c r="E111" s="2"/>
      <c r="F111" s="2"/>
      <c r="G111" s="2"/>
    </row>
    <row r="112" spans="2:7" x14ac:dyDescent="0.25">
      <c r="B112" s="4">
        <v>46072</v>
      </c>
      <c r="C112" s="2" t="s">
        <v>6543</v>
      </c>
      <c r="D112" s="2" t="s">
        <v>3793</v>
      </c>
      <c r="E112" s="2"/>
      <c r="F112" s="2"/>
      <c r="G112" s="2"/>
    </row>
    <row r="113" spans="2:7" x14ac:dyDescent="0.25">
      <c r="B113" s="4">
        <v>46073</v>
      </c>
      <c r="C113" s="2" t="s">
        <v>6553</v>
      </c>
      <c r="D113" s="2" t="s">
        <v>6552</v>
      </c>
      <c r="E113" s="2"/>
      <c r="F113" s="2"/>
      <c r="G113" s="2"/>
    </row>
    <row r="114" spans="2:7" x14ac:dyDescent="0.25">
      <c r="B114" s="4">
        <v>46074</v>
      </c>
      <c r="C114" s="2" t="s">
        <v>6564</v>
      </c>
      <c r="D114" s="2"/>
      <c r="E114" s="2"/>
      <c r="F114" s="2"/>
      <c r="G114" s="2"/>
    </row>
    <row r="115" spans="2:7" x14ac:dyDescent="0.25">
      <c r="B115" s="4">
        <v>46075</v>
      </c>
      <c r="C115" s="2" t="s">
        <v>6563</v>
      </c>
      <c r="D115" s="2"/>
      <c r="E115" s="2"/>
      <c r="F115" s="2"/>
      <c r="G115" s="2"/>
    </row>
    <row r="116" spans="2:7" x14ac:dyDescent="0.25">
      <c r="B116" s="4">
        <v>46076</v>
      </c>
      <c r="C116" s="2" t="s">
        <v>6577</v>
      </c>
      <c r="D116" s="2" t="s">
        <v>6578</v>
      </c>
      <c r="E116" s="2"/>
      <c r="F116" s="2"/>
      <c r="G116" s="2"/>
    </row>
    <row r="117" spans="2:7" x14ac:dyDescent="0.25">
      <c r="B117" s="4">
        <v>46077</v>
      </c>
      <c r="C117" s="2" t="s">
        <v>6586</v>
      </c>
      <c r="D117" s="2"/>
      <c r="E117" s="2"/>
      <c r="F117" s="2"/>
      <c r="G117" s="2"/>
    </row>
    <row r="118" spans="2:7" x14ac:dyDescent="0.25">
      <c r="B118" s="4">
        <v>46078</v>
      </c>
      <c r="C118" s="2" t="s">
        <v>6594</v>
      </c>
      <c r="D118" s="2"/>
      <c r="E118" s="2"/>
      <c r="F118" s="2"/>
      <c r="G118" s="2"/>
    </row>
    <row r="119" spans="2:7" x14ac:dyDescent="0.25">
      <c r="B119" s="4">
        <v>46079</v>
      </c>
      <c r="C119" s="2" t="s">
        <v>6599</v>
      </c>
      <c r="D119" s="2"/>
      <c r="E119" s="2">
        <v>12</v>
      </c>
      <c r="F119" s="2">
        <f>E119-E118</f>
        <v>12</v>
      </c>
      <c r="G119" s="2"/>
    </row>
    <row r="120" spans="2:7" x14ac:dyDescent="0.25">
      <c r="B120" s="4">
        <v>46080</v>
      </c>
      <c r="C120" s="2" t="s">
        <v>6608</v>
      </c>
      <c r="D120" s="2" t="s">
        <v>6609</v>
      </c>
      <c r="E120" s="2">
        <v>24</v>
      </c>
      <c r="F120" s="2">
        <f t="shared" ref="F120:F132" si="2">E120-E119</f>
        <v>12</v>
      </c>
      <c r="G120" s="2"/>
    </row>
    <row r="121" spans="2:7" x14ac:dyDescent="0.25">
      <c r="B121" s="4">
        <v>46081</v>
      </c>
      <c r="C121" s="2" t="s">
        <v>6645</v>
      </c>
      <c r="D121" s="2"/>
      <c r="E121" s="2">
        <v>24</v>
      </c>
      <c r="F121" s="2">
        <f t="shared" si="2"/>
        <v>0</v>
      </c>
      <c r="G121" s="2"/>
    </row>
    <row r="122" spans="2:7" x14ac:dyDescent="0.25">
      <c r="B122" s="4">
        <v>46082</v>
      </c>
      <c r="C122" s="2" t="s">
        <v>6646</v>
      </c>
      <c r="D122" s="2"/>
      <c r="E122" s="2">
        <v>27</v>
      </c>
      <c r="F122" s="2">
        <f t="shared" si="2"/>
        <v>3</v>
      </c>
      <c r="G122" s="2"/>
    </row>
    <row r="123" spans="2:7" x14ac:dyDescent="0.25">
      <c r="B123" s="4">
        <v>46083</v>
      </c>
      <c r="C123" s="2" t="s">
        <v>6659</v>
      </c>
      <c r="D123" s="2"/>
      <c r="E123" s="2">
        <v>30</v>
      </c>
      <c r="F123" s="2">
        <f t="shared" si="2"/>
        <v>3</v>
      </c>
      <c r="G123" s="2"/>
    </row>
    <row r="124" spans="2:7" x14ac:dyDescent="0.25">
      <c r="B124" s="4">
        <v>46084</v>
      </c>
      <c r="C124" s="2" t="s">
        <v>6660</v>
      </c>
      <c r="D124" s="2" t="s">
        <v>6661</v>
      </c>
      <c r="E124" s="2">
        <v>33</v>
      </c>
      <c r="F124" s="2">
        <f t="shared" si="2"/>
        <v>3</v>
      </c>
      <c r="G124" s="2"/>
    </row>
    <row r="125" spans="2:7" x14ac:dyDescent="0.25">
      <c r="B125" s="4">
        <v>46085</v>
      </c>
      <c r="C125" s="2" t="s">
        <v>6662</v>
      </c>
      <c r="D125" s="2" t="s">
        <v>6663</v>
      </c>
      <c r="E125" s="2">
        <v>45</v>
      </c>
      <c r="F125" s="2">
        <f t="shared" si="2"/>
        <v>12</v>
      </c>
      <c r="G125" s="2"/>
    </row>
    <row r="126" spans="2:7" x14ac:dyDescent="0.25">
      <c r="B126" s="4">
        <v>46086</v>
      </c>
      <c r="C126" s="2" t="s">
        <v>6667</v>
      </c>
      <c r="D126" s="2"/>
      <c r="E126" s="2">
        <v>48</v>
      </c>
      <c r="F126" s="2">
        <f t="shared" si="2"/>
        <v>3</v>
      </c>
      <c r="G126" s="2"/>
    </row>
    <row r="127" spans="2:7" x14ac:dyDescent="0.25">
      <c r="B127" s="4">
        <v>46087</v>
      </c>
      <c r="C127" s="2" t="s">
        <v>6672</v>
      </c>
      <c r="D127" s="2"/>
      <c r="E127" s="2">
        <v>51</v>
      </c>
      <c r="F127" s="2">
        <f t="shared" si="2"/>
        <v>3</v>
      </c>
      <c r="G127" s="2"/>
    </row>
    <row r="128" spans="2:7" x14ac:dyDescent="0.25">
      <c r="B128" s="4">
        <v>46088</v>
      </c>
      <c r="C128" s="2" t="s">
        <v>6679</v>
      </c>
      <c r="D128" s="2"/>
      <c r="E128" s="2">
        <v>51</v>
      </c>
      <c r="F128" s="2">
        <f t="shared" si="2"/>
        <v>0</v>
      </c>
      <c r="G128" s="2"/>
    </row>
    <row r="129" spans="2:7" x14ac:dyDescent="0.25">
      <c r="B129" s="4">
        <v>46089</v>
      </c>
      <c r="C129" s="2" t="s">
        <v>6680</v>
      </c>
      <c r="D129" s="2" t="s">
        <v>6681</v>
      </c>
      <c r="E129" s="2">
        <v>54</v>
      </c>
      <c r="F129" s="2">
        <f t="shared" si="2"/>
        <v>3</v>
      </c>
      <c r="G129" s="2"/>
    </row>
    <row r="130" spans="2:7" x14ac:dyDescent="0.25">
      <c r="B130" s="4">
        <v>46090</v>
      </c>
      <c r="C130" s="2" t="s">
        <v>6686</v>
      </c>
      <c r="D130" s="2" t="s">
        <v>6682</v>
      </c>
      <c r="E130" s="2"/>
      <c r="F130" s="2">
        <f t="shared" si="2"/>
        <v>-54</v>
      </c>
      <c r="G130" s="2"/>
    </row>
    <row r="131" spans="2:7" x14ac:dyDescent="0.25">
      <c r="B131" s="4">
        <v>46091</v>
      </c>
      <c r="C131" s="2" t="s">
        <v>6692</v>
      </c>
      <c r="D131" s="2"/>
      <c r="E131" s="2"/>
      <c r="F131" s="2">
        <f t="shared" si="2"/>
        <v>0</v>
      </c>
      <c r="G131" s="2"/>
    </row>
    <row r="132" spans="2:7" x14ac:dyDescent="0.25">
      <c r="B132" s="126"/>
      <c r="C132" s="53"/>
      <c r="D132" s="53"/>
      <c r="E132" s="53"/>
      <c r="F132" s="53">
        <f t="shared" si="2"/>
        <v>0</v>
      </c>
      <c r="G132" s="53"/>
    </row>
    <row r="133" spans="2:7" x14ac:dyDescent="0.25">
      <c r="B133" s="4">
        <v>46111</v>
      </c>
      <c r="C133" s="2" t="s">
        <v>6707</v>
      </c>
      <c r="D133" s="2"/>
      <c r="E133" s="2">
        <v>36</v>
      </c>
      <c r="F133" s="2">
        <f>E133-E132</f>
        <v>36</v>
      </c>
      <c r="G133" s="2"/>
    </row>
    <row r="134" spans="2:7" x14ac:dyDescent="0.25">
      <c r="B134" s="4">
        <v>46112</v>
      </c>
      <c r="C134" s="2" t="s">
        <v>6720</v>
      </c>
      <c r="D134" s="2"/>
      <c r="E134" s="2">
        <v>42</v>
      </c>
      <c r="F134" s="2">
        <f t="shared" ref="F134:F139" si="3">E134-E133</f>
        <v>6</v>
      </c>
      <c r="G134" s="2"/>
    </row>
    <row r="135" spans="2:7" x14ac:dyDescent="0.25">
      <c r="B135" s="4">
        <v>46113</v>
      </c>
      <c r="C135" s="2" t="s">
        <v>6717</v>
      </c>
      <c r="D135" s="2"/>
      <c r="E135" s="2">
        <v>48</v>
      </c>
      <c r="F135" s="2">
        <f t="shared" si="3"/>
        <v>6</v>
      </c>
      <c r="G135" s="2"/>
    </row>
    <row r="136" spans="2:7" x14ac:dyDescent="0.25">
      <c r="B136" s="4">
        <v>46114</v>
      </c>
      <c r="C136" s="2" t="s">
        <v>6717</v>
      </c>
      <c r="D136" s="2"/>
      <c r="E136" s="2"/>
      <c r="F136" s="2">
        <f t="shared" si="3"/>
        <v>-48</v>
      </c>
      <c r="G136" s="2"/>
    </row>
    <row r="137" spans="2:7" x14ac:dyDescent="0.25">
      <c r="B137" s="4">
        <v>46115</v>
      </c>
      <c r="C137" s="2"/>
      <c r="D137" s="2"/>
      <c r="E137" s="2"/>
      <c r="F137" s="2">
        <f t="shared" si="3"/>
        <v>0</v>
      </c>
      <c r="G137" s="2"/>
    </row>
    <row r="138" spans="2:7" x14ac:dyDescent="0.25">
      <c r="B138" s="4">
        <v>46116</v>
      </c>
      <c r="C138" s="2"/>
      <c r="D138" s="2"/>
      <c r="E138" s="2"/>
      <c r="F138" s="2">
        <f t="shared" si="3"/>
        <v>0</v>
      </c>
      <c r="G138" s="2"/>
    </row>
    <row r="139" spans="2:7" x14ac:dyDescent="0.25">
      <c r="B139" s="4">
        <v>46117</v>
      </c>
      <c r="C139" s="2"/>
      <c r="D139" s="2"/>
      <c r="E139" s="2"/>
      <c r="F139" s="2">
        <f t="shared" si="3"/>
        <v>0</v>
      </c>
      <c r="G139" s="2"/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B2:G136"/>
  <sheetViews>
    <sheetView topLeftCell="A4" workbookViewId="0">
      <selection activeCell="C21" sqref="C21"/>
    </sheetView>
  </sheetViews>
  <sheetFormatPr defaultRowHeight="15" x14ac:dyDescent="0.25"/>
  <cols>
    <col min="2" max="2" width="18" bestFit="1" customWidth="1"/>
    <col min="3" max="3" width="72" bestFit="1" customWidth="1"/>
    <col min="4" max="4" width="42.140625" bestFit="1" customWidth="1"/>
    <col min="5" max="5" width="11.85546875" bestFit="1" customWidth="1"/>
    <col min="7" max="7" width="11" bestFit="1" customWidth="1"/>
  </cols>
  <sheetData>
    <row r="2" spans="2:7" x14ac:dyDescent="0.25">
      <c r="B2" s="144" t="s">
        <v>5887</v>
      </c>
    </row>
    <row r="3" spans="2:7" ht="15.75" x14ac:dyDescent="0.25">
      <c r="B3" s="10" t="s">
        <v>0</v>
      </c>
      <c r="C3" s="11" t="s">
        <v>1</v>
      </c>
      <c r="D3" s="11" t="s">
        <v>2</v>
      </c>
      <c r="E3" s="11" t="s">
        <v>934</v>
      </c>
      <c r="F3" s="11" t="s">
        <v>1095</v>
      </c>
      <c r="G3" s="11" t="s">
        <v>1507</v>
      </c>
    </row>
    <row r="4" spans="2:7" x14ac:dyDescent="0.25">
      <c r="B4" s="4">
        <v>46065</v>
      </c>
      <c r="C4" s="2" t="s">
        <v>279</v>
      </c>
      <c r="D4" s="2"/>
      <c r="E4" s="23"/>
      <c r="F4" s="2"/>
      <c r="G4" s="2"/>
    </row>
    <row r="5" spans="2:7" x14ac:dyDescent="0.25">
      <c r="B5" s="4">
        <v>46066</v>
      </c>
      <c r="C5" s="2" t="s">
        <v>6509</v>
      </c>
      <c r="D5" s="2"/>
      <c r="E5" s="23">
        <v>18</v>
      </c>
      <c r="F5" s="2">
        <f>E5-E4</f>
        <v>18</v>
      </c>
      <c r="G5" s="2"/>
    </row>
    <row r="6" spans="2:7" x14ac:dyDescent="0.25">
      <c r="B6" s="4">
        <v>46067</v>
      </c>
      <c r="C6" s="2" t="s">
        <v>6524</v>
      </c>
      <c r="D6" s="2"/>
      <c r="E6" s="23">
        <v>45</v>
      </c>
      <c r="F6" s="2">
        <f t="shared" ref="F6:F24" si="0">E6-E5</f>
        <v>27</v>
      </c>
      <c r="G6" s="2"/>
    </row>
    <row r="7" spans="2:7" x14ac:dyDescent="0.25">
      <c r="B7" s="4">
        <v>46068</v>
      </c>
      <c r="C7" s="2" t="s">
        <v>6525</v>
      </c>
      <c r="D7" s="58"/>
      <c r="E7" s="23">
        <v>75</v>
      </c>
      <c r="F7" s="2">
        <f t="shared" si="0"/>
        <v>30</v>
      </c>
      <c r="G7" s="2"/>
    </row>
    <row r="8" spans="2:7" x14ac:dyDescent="0.25">
      <c r="B8" s="4">
        <v>46069</v>
      </c>
      <c r="C8" s="2" t="s">
        <v>6532</v>
      </c>
      <c r="D8" s="58"/>
      <c r="E8" s="23">
        <v>93</v>
      </c>
      <c r="F8" s="2">
        <f t="shared" si="0"/>
        <v>18</v>
      </c>
      <c r="G8" s="2"/>
    </row>
    <row r="9" spans="2:7" x14ac:dyDescent="0.25">
      <c r="B9" s="4">
        <v>46070</v>
      </c>
      <c r="C9" s="2" t="s">
        <v>6538</v>
      </c>
      <c r="D9" s="58"/>
      <c r="E9" s="23">
        <v>102</v>
      </c>
      <c r="F9" s="2">
        <f t="shared" si="0"/>
        <v>9</v>
      </c>
      <c r="G9" s="2"/>
    </row>
    <row r="10" spans="2:7" x14ac:dyDescent="0.25">
      <c r="B10" s="4">
        <v>46071</v>
      </c>
      <c r="C10" s="2" t="s">
        <v>6538</v>
      </c>
      <c r="D10" s="2" t="s">
        <v>6566</v>
      </c>
      <c r="E10" s="23">
        <v>102</v>
      </c>
      <c r="F10" s="2">
        <f t="shared" si="0"/>
        <v>0</v>
      </c>
      <c r="G10" s="2"/>
    </row>
    <row r="11" spans="2:7" x14ac:dyDescent="0.25">
      <c r="B11" s="4">
        <v>46072</v>
      </c>
      <c r="C11" s="2" t="s">
        <v>6541</v>
      </c>
      <c r="D11" s="2"/>
      <c r="E11" s="23">
        <v>110</v>
      </c>
      <c r="F11" s="2">
        <f t="shared" si="0"/>
        <v>8</v>
      </c>
      <c r="G11" s="2"/>
    </row>
    <row r="12" spans="2:7" x14ac:dyDescent="0.25">
      <c r="B12" s="4">
        <v>46073</v>
      </c>
      <c r="C12" s="2" t="s">
        <v>6554</v>
      </c>
      <c r="D12" s="2"/>
      <c r="E12" s="23">
        <v>116</v>
      </c>
      <c r="F12" s="2">
        <f t="shared" si="0"/>
        <v>6</v>
      </c>
      <c r="G12" s="2"/>
    </row>
    <row r="13" spans="2:7" x14ac:dyDescent="0.25">
      <c r="B13" s="4">
        <v>46074</v>
      </c>
      <c r="C13" s="2" t="s">
        <v>6565</v>
      </c>
      <c r="D13" s="2"/>
      <c r="E13" s="23">
        <v>125</v>
      </c>
      <c r="F13" s="2">
        <f t="shared" si="0"/>
        <v>9</v>
      </c>
      <c r="G13" s="2"/>
    </row>
    <row r="14" spans="2:7" x14ac:dyDescent="0.25">
      <c r="B14" s="4">
        <v>46075</v>
      </c>
      <c r="C14" s="2" t="s">
        <v>6565</v>
      </c>
      <c r="D14" s="2" t="s">
        <v>6566</v>
      </c>
      <c r="E14" s="23">
        <v>125</v>
      </c>
      <c r="F14" s="2">
        <f t="shared" si="0"/>
        <v>0</v>
      </c>
      <c r="G14" s="2"/>
    </row>
    <row r="15" spans="2:7" x14ac:dyDescent="0.25">
      <c r="B15" s="4">
        <v>46076</v>
      </c>
      <c r="C15" s="2" t="s">
        <v>6579</v>
      </c>
      <c r="D15" s="2"/>
      <c r="E15" s="23">
        <v>133</v>
      </c>
      <c r="F15" s="2">
        <f t="shared" si="0"/>
        <v>8</v>
      </c>
      <c r="G15" s="2"/>
    </row>
    <row r="16" spans="2:7" x14ac:dyDescent="0.25">
      <c r="B16" s="4">
        <v>46077</v>
      </c>
      <c r="C16" s="2" t="s">
        <v>6587</v>
      </c>
      <c r="D16" s="2" t="s">
        <v>6588</v>
      </c>
      <c r="E16" s="23">
        <v>138</v>
      </c>
      <c r="F16" s="2">
        <f t="shared" si="0"/>
        <v>5</v>
      </c>
      <c r="G16" s="2"/>
    </row>
    <row r="17" spans="2:7" x14ac:dyDescent="0.25">
      <c r="B17" s="4">
        <v>46078</v>
      </c>
      <c r="C17" s="2" t="s">
        <v>1178</v>
      </c>
      <c r="D17" s="2"/>
      <c r="E17" s="23"/>
      <c r="F17" s="2">
        <f t="shared" si="0"/>
        <v>-138</v>
      </c>
      <c r="G17" s="2"/>
    </row>
    <row r="18" spans="2:7" x14ac:dyDescent="0.25">
      <c r="B18" s="4">
        <v>46079</v>
      </c>
      <c r="C18" s="2" t="s">
        <v>4616</v>
      </c>
      <c r="D18" s="2"/>
      <c r="E18" s="23"/>
      <c r="F18" s="2">
        <f t="shared" si="0"/>
        <v>0</v>
      </c>
      <c r="G18" s="2"/>
    </row>
    <row r="19" spans="2:7" x14ac:dyDescent="0.25">
      <c r="B19" s="4">
        <v>46080</v>
      </c>
      <c r="C19" s="2" t="s">
        <v>5646</v>
      </c>
      <c r="D19" s="2"/>
      <c r="E19" s="23"/>
      <c r="F19" s="2">
        <f t="shared" si="0"/>
        <v>0</v>
      </c>
      <c r="G19" s="2"/>
    </row>
    <row r="20" spans="2:7" x14ac:dyDescent="0.25">
      <c r="B20" s="4">
        <v>46081</v>
      </c>
      <c r="C20" s="2" t="s">
        <v>4597</v>
      </c>
      <c r="D20" s="2"/>
      <c r="E20" s="23"/>
      <c r="F20" s="2">
        <f t="shared" si="0"/>
        <v>0</v>
      </c>
      <c r="G20" s="2"/>
    </row>
    <row r="21" spans="2:7" x14ac:dyDescent="0.25">
      <c r="B21" s="4">
        <v>46082</v>
      </c>
      <c r="C21" s="2"/>
      <c r="D21" s="2"/>
      <c r="E21" s="23"/>
      <c r="F21" s="2">
        <f t="shared" si="0"/>
        <v>0</v>
      </c>
      <c r="G21" s="2"/>
    </row>
    <row r="22" spans="2:7" x14ac:dyDescent="0.25">
      <c r="B22" s="4"/>
      <c r="C22" s="2"/>
      <c r="D22" s="2"/>
      <c r="E22" s="23"/>
      <c r="F22" s="2">
        <f t="shared" si="0"/>
        <v>0</v>
      </c>
      <c r="G22" s="2"/>
    </row>
    <row r="23" spans="2:7" x14ac:dyDescent="0.25">
      <c r="B23" s="4"/>
      <c r="C23" s="2"/>
      <c r="D23" s="2"/>
      <c r="E23" s="23"/>
      <c r="F23" s="2">
        <f t="shared" si="0"/>
        <v>0</v>
      </c>
      <c r="G23" s="2"/>
    </row>
    <row r="24" spans="2:7" x14ac:dyDescent="0.25">
      <c r="B24" s="4"/>
      <c r="C24" s="2"/>
      <c r="D24" s="2"/>
      <c r="E24" s="23"/>
      <c r="F24" s="2">
        <f t="shared" si="0"/>
        <v>0</v>
      </c>
      <c r="G24" s="2"/>
    </row>
    <row r="25" spans="2:7" x14ac:dyDescent="0.25">
      <c r="B25" s="4"/>
      <c r="C25" s="2"/>
      <c r="D25" s="2"/>
      <c r="E25" s="23"/>
      <c r="F25" s="2"/>
      <c r="G25" s="2"/>
    </row>
    <row r="26" spans="2:7" x14ac:dyDescent="0.25">
      <c r="B26" s="4"/>
      <c r="C26" s="2"/>
      <c r="D26" s="2"/>
      <c r="E26" s="2"/>
      <c r="F26" s="2"/>
      <c r="G26" s="2"/>
    </row>
    <row r="27" spans="2:7" x14ac:dyDescent="0.25">
      <c r="B27" s="4"/>
      <c r="C27" s="2"/>
      <c r="D27" s="2"/>
      <c r="E27" s="2"/>
      <c r="F27" s="2"/>
      <c r="G27" s="2"/>
    </row>
    <row r="28" spans="2:7" x14ac:dyDescent="0.25">
      <c r="B28" s="4"/>
      <c r="C28" s="2"/>
      <c r="D28" s="2"/>
      <c r="E28" s="2"/>
      <c r="F28" s="2"/>
      <c r="G28" s="2"/>
    </row>
    <row r="29" spans="2:7" x14ac:dyDescent="0.25">
      <c r="B29" s="4"/>
      <c r="C29" s="2"/>
      <c r="D29" s="2"/>
      <c r="E29" s="2"/>
      <c r="F29" s="2"/>
      <c r="G29" s="2"/>
    </row>
    <row r="30" spans="2:7" x14ac:dyDescent="0.25">
      <c r="B30" s="4"/>
      <c r="C30" s="2"/>
      <c r="D30" s="2"/>
      <c r="E30" s="2"/>
      <c r="F30" s="2"/>
      <c r="G30" s="2"/>
    </row>
    <row r="31" spans="2:7" x14ac:dyDescent="0.25">
      <c r="B31" s="4"/>
      <c r="C31" s="2"/>
      <c r="D31" s="2"/>
      <c r="E31" s="2"/>
      <c r="F31" s="2"/>
      <c r="G31" s="2"/>
    </row>
    <row r="32" spans="2:7" x14ac:dyDescent="0.25">
      <c r="B32" s="4"/>
      <c r="C32" s="2"/>
      <c r="D32" s="2"/>
      <c r="E32" s="2"/>
      <c r="F32" s="2"/>
      <c r="G32" s="2"/>
    </row>
    <row r="33" spans="2:7" x14ac:dyDescent="0.25">
      <c r="B33" s="4"/>
      <c r="C33" s="2"/>
      <c r="D33" s="2"/>
      <c r="E33" s="2"/>
      <c r="F33" s="2"/>
      <c r="G33" s="2"/>
    </row>
    <row r="34" spans="2:7" x14ac:dyDescent="0.25">
      <c r="B34" s="4"/>
      <c r="C34" s="2"/>
      <c r="D34" s="2"/>
      <c r="E34" s="2"/>
      <c r="F34" s="2"/>
      <c r="G34" s="2"/>
    </row>
    <row r="35" spans="2:7" x14ac:dyDescent="0.25">
      <c r="B35" s="4"/>
      <c r="C35" s="2"/>
      <c r="D35" s="2"/>
      <c r="E35" s="2"/>
      <c r="F35" s="2"/>
      <c r="G35" s="2"/>
    </row>
    <row r="36" spans="2:7" x14ac:dyDescent="0.25">
      <c r="B36" s="4"/>
      <c r="C36" s="2"/>
      <c r="D36" s="2"/>
      <c r="E36" s="2"/>
      <c r="F36" s="2"/>
      <c r="G36" s="2"/>
    </row>
    <row r="37" spans="2:7" x14ac:dyDescent="0.25">
      <c r="B37" s="4"/>
      <c r="C37" s="2"/>
      <c r="D37" s="2"/>
      <c r="E37" s="2"/>
      <c r="F37" s="2"/>
      <c r="G37" s="2"/>
    </row>
    <row r="38" spans="2:7" x14ac:dyDescent="0.25">
      <c r="B38" s="4"/>
      <c r="C38" s="2"/>
      <c r="D38" s="2"/>
      <c r="E38" s="2"/>
      <c r="F38" s="2"/>
      <c r="G38" s="2"/>
    </row>
    <row r="39" spans="2:7" x14ac:dyDescent="0.25">
      <c r="B39" s="4"/>
      <c r="C39" s="2"/>
      <c r="D39" s="2"/>
      <c r="E39" s="2"/>
      <c r="F39" s="2"/>
      <c r="G39" s="2"/>
    </row>
    <row r="40" spans="2:7" x14ac:dyDescent="0.25">
      <c r="B40" s="4"/>
      <c r="C40" s="2"/>
      <c r="D40" s="2"/>
      <c r="E40" s="2"/>
      <c r="F40" s="2"/>
      <c r="G40" s="2"/>
    </row>
    <row r="41" spans="2:7" x14ac:dyDescent="0.25">
      <c r="B41" s="4"/>
      <c r="C41" s="2"/>
      <c r="D41" s="2"/>
      <c r="E41" s="2"/>
      <c r="F41" s="2"/>
      <c r="G41" s="2"/>
    </row>
    <row r="42" spans="2:7" x14ac:dyDescent="0.25">
      <c r="B42" s="4"/>
      <c r="C42" s="2"/>
      <c r="D42" s="2"/>
      <c r="E42" s="2"/>
      <c r="F42" s="2"/>
      <c r="G42" s="2"/>
    </row>
    <row r="43" spans="2:7" x14ac:dyDescent="0.25">
      <c r="B43" s="4"/>
      <c r="C43" s="2"/>
      <c r="D43" s="2"/>
      <c r="E43" s="2"/>
      <c r="F43" s="2"/>
      <c r="G43" s="2"/>
    </row>
    <row r="44" spans="2:7" x14ac:dyDescent="0.25">
      <c r="B44" s="4"/>
      <c r="C44" s="2"/>
      <c r="D44" s="2"/>
      <c r="E44" s="2"/>
      <c r="F44" s="2"/>
      <c r="G44" s="2"/>
    </row>
    <row r="45" spans="2:7" x14ac:dyDescent="0.25">
      <c r="B45" s="4"/>
      <c r="C45" s="2"/>
      <c r="D45" s="2"/>
      <c r="E45" s="2"/>
      <c r="F45" s="2"/>
      <c r="G45" s="2"/>
    </row>
    <row r="46" spans="2:7" x14ac:dyDescent="0.25">
      <c r="B46" s="4"/>
      <c r="C46" s="2"/>
      <c r="D46" s="2"/>
      <c r="E46" s="2"/>
      <c r="F46" s="2"/>
      <c r="G46" s="2"/>
    </row>
    <row r="47" spans="2:7" x14ac:dyDescent="0.25">
      <c r="B47" s="4"/>
      <c r="C47" s="2"/>
      <c r="D47" s="2"/>
      <c r="E47" s="2"/>
      <c r="F47" s="2"/>
      <c r="G47" s="2"/>
    </row>
    <row r="48" spans="2:7" x14ac:dyDescent="0.25">
      <c r="B48" s="4"/>
      <c r="C48" s="2"/>
      <c r="D48" s="2"/>
      <c r="E48" s="2"/>
      <c r="F48" s="2"/>
      <c r="G48" s="2"/>
    </row>
    <row r="49" spans="2:7" x14ac:dyDescent="0.25">
      <c r="B49" s="4"/>
      <c r="C49" s="2"/>
      <c r="D49" s="2"/>
      <c r="E49" s="2"/>
      <c r="F49" s="2"/>
      <c r="G49" s="2"/>
    </row>
    <row r="50" spans="2:7" x14ac:dyDescent="0.25">
      <c r="B50" s="4"/>
      <c r="C50" s="2"/>
      <c r="D50" s="2"/>
      <c r="E50" s="2"/>
      <c r="F50" s="2"/>
      <c r="G50" s="2"/>
    </row>
    <row r="51" spans="2:7" x14ac:dyDescent="0.25">
      <c r="B51" s="4"/>
      <c r="C51" s="2"/>
      <c r="D51" s="2"/>
      <c r="E51" s="2"/>
      <c r="F51" s="2"/>
      <c r="G51" s="2"/>
    </row>
    <row r="52" spans="2:7" x14ac:dyDescent="0.25">
      <c r="B52" s="4"/>
      <c r="C52" s="2"/>
      <c r="D52" s="2"/>
      <c r="E52" s="2"/>
      <c r="F52" s="2"/>
      <c r="G52" s="2"/>
    </row>
    <row r="53" spans="2:7" x14ac:dyDescent="0.25">
      <c r="B53" s="4"/>
      <c r="C53" s="2"/>
      <c r="D53" s="2"/>
      <c r="E53" s="2"/>
      <c r="F53" s="2"/>
      <c r="G53" s="2"/>
    </row>
    <row r="54" spans="2:7" x14ac:dyDescent="0.25">
      <c r="B54" s="4"/>
      <c r="C54" s="2"/>
      <c r="D54" s="2"/>
      <c r="E54" s="2"/>
      <c r="F54" s="2"/>
      <c r="G54" s="2"/>
    </row>
    <row r="55" spans="2:7" x14ac:dyDescent="0.25">
      <c r="B55" s="4"/>
      <c r="C55" s="2"/>
      <c r="D55" s="2"/>
      <c r="E55" s="2"/>
      <c r="F55" s="2"/>
      <c r="G55" s="2"/>
    </row>
    <row r="56" spans="2:7" x14ac:dyDescent="0.25">
      <c r="B56" s="4"/>
      <c r="C56" s="2"/>
      <c r="D56" s="2"/>
      <c r="E56" s="2"/>
      <c r="F56" s="2"/>
      <c r="G56" s="2"/>
    </row>
    <row r="57" spans="2:7" x14ac:dyDescent="0.25">
      <c r="B57" s="4"/>
      <c r="C57" s="2"/>
      <c r="D57" s="2"/>
      <c r="E57" s="2"/>
      <c r="F57" s="2"/>
      <c r="G57" s="2"/>
    </row>
    <row r="58" spans="2:7" x14ac:dyDescent="0.25">
      <c r="B58" s="4"/>
      <c r="C58" s="2"/>
      <c r="D58" s="2"/>
      <c r="E58" s="2"/>
      <c r="F58" s="2"/>
      <c r="G58" s="2"/>
    </row>
    <row r="59" spans="2:7" x14ac:dyDescent="0.25">
      <c r="B59" s="4"/>
      <c r="C59" s="2"/>
      <c r="D59" s="2"/>
      <c r="E59" s="2"/>
      <c r="F59" s="2"/>
      <c r="G59" s="2"/>
    </row>
    <row r="60" spans="2:7" x14ac:dyDescent="0.25">
      <c r="B60" s="4"/>
      <c r="C60" s="2"/>
      <c r="D60" s="2"/>
      <c r="E60" s="2"/>
      <c r="F60" s="2"/>
      <c r="G60" s="2"/>
    </row>
    <row r="61" spans="2:7" x14ac:dyDescent="0.25">
      <c r="B61" s="4"/>
      <c r="C61" s="2"/>
      <c r="D61" s="2"/>
      <c r="E61" s="2"/>
      <c r="F61" s="2"/>
      <c r="G61" s="2"/>
    </row>
    <row r="62" spans="2:7" x14ac:dyDescent="0.25">
      <c r="B62" s="4"/>
      <c r="C62" s="2"/>
      <c r="D62" s="2"/>
      <c r="E62" s="2"/>
      <c r="F62" s="2"/>
      <c r="G62" s="2"/>
    </row>
    <row r="63" spans="2:7" x14ac:dyDescent="0.25">
      <c r="B63" s="4"/>
      <c r="C63" s="2"/>
      <c r="D63" s="2"/>
      <c r="E63" s="2"/>
      <c r="F63" s="2"/>
      <c r="G63" s="2"/>
    </row>
    <row r="64" spans="2:7" x14ac:dyDescent="0.25">
      <c r="B64" s="4"/>
      <c r="C64" s="2"/>
      <c r="D64" s="2"/>
      <c r="E64" s="2"/>
      <c r="F64" s="2"/>
      <c r="G64" s="2"/>
    </row>
    <row r="65" spans="2:7" x14ac:dyDescent="0.25">
      <c r="B65" s="4"/>
      <c r="C65" s="2"/>
      <c r="D65" s="2"/>
      <c r="E65" s="2"/>
      <c r="F65" s="2"/>
      <c r="G65" s="2"/>
    </row>
    <row r="66" spans="2:7" x14ac:dyDescent="0.25">
      <c r="B66" s="4"/>
      <c r="C66" s="2"/>
      <c r="D66" s="2"/>
      <c r="E66" s="2"/>
      <c r="F66" s="2"/>
      <c r="G66" s="2"/>
    </row>
    <row r="67" spans="2:7" x14ac:dyDescent="0.25">
      <c r="B67" s="4"/>
      <c r="C67" s="2"/>
      <c r="D67" s="2"/>
      <c r="E67" s="2"/>
      <c r="F67" s="2"/>
      <c r="G67" s="2"/>
    </row>
    <row r="68" spans="2:7" x14ac:dyDescent="0.25">
      <c r="B68" s="4"/>
      <c r="C68" s="2"/>
      <c r="D68" s="2"/>
      <c r="E68" s="2"/>
      <c r="F68" s="2"/>
      <c r="G68" s="2"/>
    </row>
    <row r="69" spans="2:7" x14ac:dyDescent="0.25">
      <c r="B69" s="4"/>
      <c r="C69" s="2"/>
      <c r="D69" s="2"/>
      <c r="E69" s="2"/>
      <c r="F69" s="2"/>
      <c r="G69" s="2"/>
    </row>
    <row r="70" spans="2:7" x14ac:dyDescent="0.25">
      <c r="B70" s="4"/>
      <c r="C70" s="2"/>
      <c r="D70" s="2"/>
      <c r="E70" s="2"/>
      <c r="F70" s="2"/>
      <c r="G70" s="2"/>
    </row>
    <row r="71" spans="2:7" x14ac:dyDescent="0.25">
      <c r="B71" s="4"/>
      <c r="C71" s="2"/>
      <c r="D71" s="2"/>
      <c r="E71" s="2"/>
      <c r="F71" s="2"/>
      <c r="G71" s="2"/>
    </row>
    <row r="72" spans="2:7" x14ac:dyDescent="0.25">
      <c r="B72" s="4"/>
      <c r="C72" s="2"/>
      <c r="D72" s="2"/>
      <c r="E72" s="2"/>
      <c r="F72" s="2"/>
      <c r="G72" s="2"/>
    </row>
    <row r="73" spans="2:7" x14ac:dyDescent="0.25">
      <c r="B73" s="4"/>
      <c r="C73" s="2"/>
      <c r="D73" s="2"/>
      <c r="E73" s="2"/>
      <c r="F73" s="2"/>
      <c r="G73" s="2"/>
    </row>
    <row r="74" spans="2:7" x14ac:dyDescent="0.25">
      <c r="B74" s="4"/>
      <c r="C74" s="2"/>
      <c r="D74" s="2"/>
      <c r="E74" s="2"/>
      <c r="F74" s="2"/>
      <c r="G74" s="2"/>
    </row>
    <row r="75" spans="2:7" x14ac:dyDescent="0.25">
      <c r="B75" s="4"/>
      <c r="C75" s="2"/>
      <c r="D75" s="2"/>
      <c r="E75" s="2"/>
      <c r="F75" s="2"/>
      <c r="G75" s="2"/>
    </row>
    <row r="76" spans="2:7" x14ac:dyDescent="0.25">
      <c r="B76" s="4"/>
      <c r="C76" s="2"/>
      <c r="D76" s="2"/>
      <c r="E76" s="2"/>
      <c r="F76" s="2"/>
      <c r="G76" s="2"/>
    </row>
    <row r="77" spans="2:7" x14ac:dyDescent="0.25">
      <c r="B77" s="4"/>
      <c r="C77" s="2"/>
      <c r="D77" s="2"/>
      <c r="E77" s="2"/>
      <c r="F77" s="2"/>
      <c r="G77" s="2"/>
    </row>
    <row r="78" spans="2:7" x14ac:dyDescent="0.25">
      <c r="B78" s="4"/>
      <c r="C78" s="2"/>
      <c r="D78" s="2"/>
      <c r="E78" s="2"/>
      <c r="F78" s="2"/>
      <c r="G78" s="2"/>
    </row>
    <row r="79" spans="2:7" x14ac:dyDescent="0.25">
      <c r="B79" s="4"/>
      <c r="C79" s="2"/>
      <c r="D79" s="2"/>
      <c r="E79" s="2"/>
      <c r="F79" s="2"/>
      <c r="G79" s="2"/>
    </row>
    <row r="80" spans="2:7" x14ac:dyDescent="0.25">
      <c r="B80" s="4"/>
      <c r="C80" s="2"/>
      <c r="D80" s="2"/>
      <c r="E80" s="2"/>
      <c r="F80" s="2"/>
      <c r="G80" s="2"/>
    </row>
    <row r="81" spans="2:7" x14ac:dyDescent="0.25">
      <c r="B81" s="4"/>
      <c r="C81" s="2"/>
      <c r="D81" s="2"/>
      <c r="E81" s="2"/>
      <c r="F81" s="2"/>
      <c r="G81" s="2"/>
    </row>
    <row r="82" spans="2:7" x14ac:dyDescent="0.25">
      <c r="B82" s="4"/>
      <c r="C82" s="2"/>
      <c r="D82" s="2"/>
      <c r="E82" s="2"/>
      <c r="F82" s="2"/>
      <c r="G82" s="2"/>
    </row>
    <row r="83" spans="2:7" x14ac:dyDescent="0.25">
      <c r="B83" s="4"/>
      <c r="C83" s="2"/>
      <c r="D83" s="2"/>
      <c r="E83" s="2"/>
      <c r="F83" s="2"/>
      <c r="G83" s="2"/>
    </row>
    <row r="84" spans="2:7" x14ac:dyDescent="0.25">
      <c r="B84" s="4"/>
      <c r="C84" s="2"/>
      <c r="D84" s="2"/>
      <c r="E84" s="2"/>
      <c r="F84" s="2"/>
      <c r="G84" s="2"/>
    </row>
    <row r="85" spans="2:7" x14ac:dyDescent="0.25">
      <c r="B85" s="4"/>
      <c r="C85" s="2"/>
      <c r="D85" s="2"/>
      <c r="E85" s="2"/>
      <c r="F85" s="2"/>
      <c r="G85" s="2"/>
    </row>
    <row r="86" spans="2:7" x14ac:dyDescent="0.25">
      <c r="B86" s="4"/>
      <c r="C86" s="2"/>
      <c r="D86" s="2"/>
      <c r="E86" s="2"/>
      <c r="F86" s="2"/>
      <c r="G86" s="2"/>
    </row>
    <row r="87" spans="2:7" x14ac:dyDescent="0.25">
      <c r="B87" s="4"/>
      <c r="C87" s="2"/>
      <c r="D87" s="2"/>
      <c r="E87" s="2"/>
      <c r="F87" s="2"/>
      <c r="G87" s="2"/>
    </row>
    <row r="88" spans="2:7" x14ac:dyDescent="0.25">
      <c r="B88" s="4"/>
      <c r="C88" s="2"/>
      <c r="D88" s="2"/>
      <c r="E88" s="2"/>
      <c r="F88" s="2"/>
      <c r="G88" s="2"/>
    </row>
    <row r="89" spans="2:7" x14ac:dyDescent="0.25">
      <c r="B89" s="4"/>
      <c r="C89" s="2"/>
      <c r="D89" s="2"/>
      <c r="E89" s="2"/>
      <c r="F89" s="2"/>
      <c r="G89" s="2"/>
    </row>
    <row r="90" spans="2:7" x14ac:dyDescent="0.25">
      <c r="B90" s="4"/>
      <c r="C90" s="2"/>
      <c r="D90" s="2"/>
      <c r="E90" s="2"/>
      <c r="F90" s="2"/>
      <c r="G90" s="2"/>
    </row>
    <row r="91" spans="2:7" x14ac:dyDescent="0.25">
      <c r="B91" s="4"/>
      <c r="C91" s="2"/>
      <c r="D91" s="2"/>
      <c r="E91" s="2"/>
      <c r="F91" s="2"/>
      <c r="G91" s="2"/>
    </row>
    <row r="92" spans="2:7" x14ac:dyDescent="0.25">
      <c r="B92" s="4"/>
      <c r="C92" s="2"/>
      <c r="D92" s="2"/>
      <c r="E92" s="2"/>
      <c r="F92" s="2"/>
      <c r="G92" s="2"/>
    </row>
    <row r="93" spans="2:7" x14ac:dyDescent="0.25">
      <c r="B93" s="4"/>
      <c r="C93" s="2"/>
      <c r="D93" s="2"/>
      <c r="E93" s="2"/>
      <c r="F93" s="2"/>
      <c r="G93" s="2"/>
    </row>
    <row r="94" spans="2:7" x14ac:dyDescent="0.25">
      <c r="B94" s="4"/>
      <c r="C94" s="2"/>
      <c r="D94" s="2"/>
      <c r="E94" s="2"/>
      <c r="F94" s="2"/>
      <c r="G94" s="2"/>
    </row>
    <row r="95" spans="2:7" x14ac:dyDescent="0.25">
      <c r="B95" s="4"/>
      <c r="C95" s="2"/>
      <c r="D95" s="2"/>
      <c r="E95" s="2"/>
      <c r="F95" s="2"/>
      <c r="G95" s="2"/>
    </row>
    <row r="96" spans="2:7" x14ac:dyDescent="0.25">
      <c r="B96" s="4"/>
      <c r="C96" s="2"/>
      <c r="D96" s="2"/>
      <c r="E96" s="2"/>
      <c r="F96" s="2"/>
      <c r="G96" s="2"/>
    </row>
    <row r="97" spans="2:7" x14ac:dyDescent="0.25">
      <c r="B97" s="4"/>
      <c r="C97" s="2"/>
      <c r="D97" s="2"/>
      <c r="E97" s="2"/>
      <c r="F97" s="2"/>
      <c r="G97" s="2"/>
    </row>
    <row r="98" spans="2:7" x14ac:dyDescent="0.25">
      <c r="B98" s="4"/>
      <c r="C98" s="2"/>
      <c r="D98" s="2"/>
      <c r="E98" s="2"/>
      <c r="F98" s="2"/>
      <c r="G98" s="2"/>
    </row>
    <row r="99" spans="2:7" x14ac:dyDescent="0.25">
      <c r="B99" s="4"/>
      <c r="C99" s="2"/>
      <c r="D99" s="2"/>
      <c r="E99" s="2"/>
      <c r="F99" s="2"/>
      <c r="G99" s="2"/>
    </row>
    <row r="100" spans="2:7" x14ac:dyDescent="0.25">
      <c r="B100" s="4"/>
      <c r="C100" s="2"/>
      <c r="D100" s="2"/>
      <c r="E100" s="2"/>
      <c r="F100" s="2"/>
      <c r="G100" s="2"/>
    </row>
    <row r="101" spans="2:7" x14ac:dyDescent="0.25">
      <c r="B101" s="4"/>
      <c r="C101" s="2"/>
      <c r="D101" s="2"/>
      <c r="E101" s="2"/>
      <c r="F101" s="2"/>
      <c r="G101" s="2"/>
    </row>
    <row r="102" spans="2:7" x14ac:dyDescent="0.25">
      <c r="B102" s="4"/>
      <c r="C102" s="2"/>
      <c r="D102" s="2"/>
      <c r="E102" s="2"/>
      <c r="F102" s="2"/>
      <c r="G102" s="2"/>
    </row>
    <row r="103" spans="2:7" x14ac:dyDescent="0.25">
      <c r="B103" s="4"/>
      <c r="C103" s="2"/>
      <c r="D103" s="2"/>
      <c r="E103" s="2"/>
      <c r="F103" s="2"/>
      <c r="G103" s="2"/>
    </row>
    <row r="104" spans="2:7" x14ac:dyDescent="0.25">
      <c r="B104" s="4"/>
      <c r="C104" s="2"/>
      <c r="D104" s="2"/>
      <c r="E104" s="2"/>
      <c r="F104" s="2"/>
      <c r="G104" s="2"/>
    </row>
    <row r="105" spans="2:7" x14ac:dyDescent="0.25">
      <c r="B105" s="4"/>
      <c r="C105" s="2"/>
      <c r="D105" s="2"/>
      <c r="E105" s="2"/>
      <c r="F105" s="2"/>
      <c r="G105" s="2"/>
    </row>
    <row r="106" spans="2:7" x14ac:dyDescent="0.25">
      <c r="B106" s="4"/>
      <c r="C106" s="2"/>
      <c r="D106" s="2"/>
      <c r="E106" s="2"/>
      <c r="F106" s="2"/>
      <c r="G106" s="2"/>
    </row>
    <row r="107" spans="2:7" x14ac:dyDescent="0.25">
      <c r="B107" s="4"/>
      <c r="C107" s="2"/>
      <c r="D107" s="2"/>
      <c r="E107" s="2"/>
      <c r="F107" s="2"/>
      <c r="G107" s="2"/>
    </row>
    <row r="108" spans="2:7" x14ac:dyDescent="0.25">
      <c r="B108" s="4"/>
      <c r="C108" s="2"/>
      <c r="D108" s="2"/>
      <c r="E108" s="2"/>
      <c r="F108" s="2"/>
      <c r="G108" s="2"/>
    </row>
    <row r="109" spans="2:7" x14ac:dyDescent="0.25">
      <c r="B109" s="4"/>
      <c r="C109" s="2"/>
      <c r="D109" s="2"/>
      <c r="E109" s="2"/>
      <c r="F109" s="2"/>
      <c r="G109" s="2"/>
    </row>
    <row r="110" spans="2:7" x14ac:dyDescent="0.25">
      <c r="B110" s="4"/>
      <c r="C110" s="2"/>
      <c r="D110" s="2"/>
      <c r="E110" s="2"/>
      <c r="F110" s="2"/>
      <c r="G110" s="2"/>
    </row>
    <row r="111" spans="2:7" x14ac:dyDescent="0.25">
      <c r="B111" s="4"/>
      <c r="C111" s="2"/>
      <c r="D111" s="2"/>
      <c r="E111" s="2"/>
      <c r="F111" s="2"/>
      <c r="G111" s="2"/>
    </row>
    <row r="112" spans="2:7" x14ac:dyDescent="0.25">
      <c r="B112" s="4"/>
      <c r="C112" s="2"/>
      <c r="D112" s="2"/>
      <c r="E112" s="2"/>
      <c r="F112" s="2"/>
      <c r="G112" s="2"/>
    </row>
    <row r="113" spans="2:7" x14ac:dyDescent="0.25">
      <c r="B113" s="4"/>
      <c r="C113" s="2"/>
      <c r="D113" s="2"/>
      <c r="E113" s="2"/>
      <c r="F113" s="2"/>
      <c r="G113" s="2"/>
    </row>
    <row r="114" spans="2:7" x14ac:dyDescent="0.25">
      <c r="B114" s="4"/>
      <c r="C114" s="2"/>
      <c r="D114" s="2"/>
      <c r="E114" s="2"/>
      <c r="F114" s="2"/>
      <c r="G114" s="2"/>
    </row>
    <row r="115" spans="2:7" x14ac:dyDescent="0.25">
      <c r="B115" s="4"/>
      <c r="C115" s="2"/>
      <c r="D115" s="2"/>
      <c r="E115" s="2"/>
      <c r="F115" s="2"/>
      <c r="G115" s="2"/>
    </row>
    <row r="116" spans="2:7" x14ac:dyDescent="0.25">
      <c r="B116" s="4"/>
      <c r="C116" s="2"/>
      <c r="D116" s="2"/>
      <c r="E116" s="2"/>
      <c r="F116" s="2"/>
      <c r="G116" s="2"/>
    </row>
    <row r="117" spans="2:7" x14ac:dyDescent="0.25">
      <c r="B117" s="4"/>
      <c r="C117" s="2"/>
      <c r="D117" s="2"/>
      <c r="E117" s="2"/>
      <c r="F117" s="2"/>
      <c r="G117" s="2"/>
    </row>
    <row r="118" spans="2:7" x14ac:dyDescent="0.25">
      <c r="B118" s="4"/>
      <c r="C118" s="2"/>
      <c r="D118" s="2"/>
      <c r="E118" s="2"/>
      <c r="F118" s="2"/>
      <c r="G118" s="2"/>
    </row>
    <row r="119" spans="2:7" x14ac:dyDescent="0.25">
      <c r="B119" s="4"/>
      <c r="C119" s="2"/>
      <c r="D119" s="2"/>
      <c r="E119" s="2"/>
      <c r="F119" s="2"/>
      <c r="G119" s="2"/>
    </row>
    <row r="120" spans="2:7" x14ac:dyDescent="0.25">
      <c r="B120" s="4"/>
      <c r="C120" s="2"/>
      <c r="D120" s="2"/>
      <c r="E120" s="2"/>
      <c r="F120" s="2"/>
      <c r="G120" s="2"/>
    </row>
    <row r="121" spans="2:7" x14ac:dyDescent="0.25">
      <c r="B121" s="4"/>
      <c r="C121" s="2"/>
      <c r="D121" s="2"/>
      <c r="E121" s="2"/>
      <c r="F121" s="2"/>
      <c r="G121" s="2"/>
    </row>
    <row r="122" spans="2:7" x14ac:dyDescent="0.25">
      <c r="B122" s="4"/>
      <c r="C122" s="2"/>
      <c r="D122" s="2"/>
      <c r="E122" s="2"/>
      <c r="F122" s="2"/>
      <c r="G122" s="2"/>
    </row>
    <row r="123" spans="2:7" x14ac:dyDescent="0.25">
      <c r="B123" s="4"/>
      <c r="C123" s="2"/>
      <c r="D123" s="2"/>
      <c r="E123" s="2"/>
      <c r="F123" s="2"/>
      <c r="G123" s="2"/>
    </row>
    <row r="124" spans="2:7" x14ac:dyDescent="0.25">
      <c r="B124" s="4"/>
      <c r="C124" s="2"/>
      <c r="D124" s="2"/>
      <c r="E124" s="2"/>
      <c r="F124" s="2"/>
      <c r="G124" s="2"/>
    </row>
    <row r="125" spans="2:7" x14ac:dyDescent="0.25">
      <c r="B125" s="4"/>
      <c r="C125" s="2"/>
      <c r="D125" s="2"/>
      <c r="E125" s="2"/>
      <c r="F125" s="2"/>
      <c r="G125" s="2"/>
    </row>
    <row r="126" spans="2:7" x14ac:dyDescent="0.25">
      <c r="B126" s="4"/>
      <c r="C126" s="2"/>
      <c r="D126" s="2"/>
      <c r="E126" s="2"/>
      <c r="F126" s="2"/>
      <c r="G126" s="2"/>
    </row>
    <row r="127" spans="2:7" x14ac:dyDescent="0.25">
      <c r="B127" s="4"/>
      <c r="C127" s="2"/>
      <c r="D127" s="2"/>
      <c r="E127" s="2"/>
      <c r="F127" s="2"/>
      <c r="G127" s="2"/>
    </row>
    <row r="128" spans="2:7" x14ac:dyDescent="0.25">
      <c r="B128" s="4"/>
      <c r="C128" s="2"/>
      <c r="D128" s="2"/>
      <c r="E128" s="2"/>
      <c r="F128" s="2"/>
      <c r="G128" s="2"/>
    </row>
    <row r="129" spans="2:7" x14ac:dyDescent="0.25">
      <c r="B129" s="4"/>
      <c r="C129" s="2"/>
      <c r="D129" s="2"/>
      <c r="E129" s="2"/>
      <c r="F129" s="2"/>
      <c r="G129" s="2"/>
    </row>
    <row r="130" spans="2:7" x14ac:dyDescent="0.25">
      <c r="B130" s="4"/>
      <c r="C130" s="2"/>
      <c r="D130" s="2"/>
      <c r="E130" s="2"/>
      <c r="F130" s="2"/>
      <c r="G130" s="2"/>
    </row>
    <row r="131" spans="2:7" x14ac:dyDescent="0.25">
      <c r="B131" s="4"/>
      <c r="C131" s="2"/>
      <c r="D131" s="2"/>
      <c r="E131" s="2"/>
      <c r="F131" s="2"/>
      <c r="G131" s="2"/>
    </row>
    <row r="132" spans="2:7" x14ac:dyDescent="0.25">
      <c r="B132" s="4"/>
      <c r="C132" s="2"/>
      <c r="D132" s="2"/>
      <c r="E132" s="2"/>
      <c r="F132" s="2"/>
      <c r="G132" s="2"/>
    </row>
    <row r="133" spans="2:7" x14ac:dyDescent="0.25">
      <c r="B133" s="4"/>
      <c r="C133" s="2"/>
      <c r="D133" s="2"/>
      <c r="E133" s="2"/>
      <c r="F133" s="2"/>
      <c r="G133" s="2"/>
    </row>
    <row r="134" spans="2:7" x14ac:dyDescent="0.25">
      <c r="B134" s="4"/>
      <c r="C134" s="2"/>
      <c r="D134" s="2"/>
      <c r="E134" s="2"/>
      <c r="F134" s="2"/>
      <c r="G134" s="2"/>
    </row>
    <row r="135" spans="2:7" x14ac:dyDescent="0.25">
      <c r="B135" s="4"/>
      <c r="C135" s="2"/>
      <c r="D135" s="2"/>
      <c r="E135" s="2"/>
      <c r="F135" s="2"/>
      <c r="G135" s="2"/>
    </row>
    <row r="136" spans="2:7" x14ac:dyDescent="0.25">
      <c r="B136" s="4"/>
      <c r="C136" s="2"/>
      <c r="D136" s="2"/>
      <c r="E136" s="2"/>
      <c r="F136" s="2"/>
      <c r="G136" s="2"/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B2:G136"/>
  <sheetViews>
    <sheetView workbookViewId="0">
      <selection activeCell="C17" sqref="C17"/>
    </sheetView>
  </sheetViews>
  <sheetFormatPr defaultRowHeight="15" x14ac:dyDescent="0.25"/>
  <cols>
    <col min="2" max="2" width="18" bestFit="1" customWidth="1"/>
    <col min="3" max="3" width="72" bestFit="1" customWidth="1"/>
    <col min="4" max="4" width="42.140625" bestFit="1" customWidth="1"/>
    <col min="5" max="5" width="11.85546875" bestFit="1" customWidth="1"/>
    <col min="7" max="7" width="11" bestFit="1" customWidth="1"/>
  </cols>
  <sheetData>
    <row r="2" spans="2:7" x14ac:dyDescent="0.25">
      <c r="B2" s="144" t="s">
        <v>4390</v>
      </c>
    </row>
    <row r="3" spans="2:7" ht="15.75" x14ac:dyDescent="0.25">
      <c r="B3" s="10" t="s">
        <v>0</v>
      </c>
      <c r="C3" s="11" t="s">
        <v>1</v>
      </c>
      <c r="D3" s="11" t="s">
        <v>2</v>
      </c>
      <c r="E3" s="11" t="s">
        <v>934</v>
      </c>
      <c r="F3" s="11" t="s">
        <v>1095</v>
      </c>
      <c r="G3" s="11" t="s">
        <v>1507</v>
      </c>
    </row>
    <row r="4" spans="2:7" x14ac:dyDescent="0.25">
      <c r="B4" s="4">
        <v>46065</v>
      </c>
      <c r="C4" s="2" t="s">
        <v>279</v>
      </c>
      <c r="D4" s="2"/>
      <c r="E4" s="23"/>
      <c r="F4" s="2"/>
      <c r="G4" s="2"/>
    </row>
    <row r="5" spans="2:7" x14ac:dyDescent="0.25">
      <c r="B5" s="4">
        <v>46066</v>
      </c>
      <c r="C5" s="2" t="s">
        <v>6508</v>
      </c>
      <c r="D5" s="2"/>
      <c r="E5" s="23"/>
      <c r="F5" s="2"/>
      <c r="G5" s="2"/>
    </row>
    <row r="6" spans="2:7" x14ac:dyDescent="0.25">
      <c r="B6" s="4">
        <v>46067</v>
      </c>
      <c r="C6" s="2" t="s">
        <v>6526</v>
      </c>
      <c r="D6" s="2"/>
      <c r="E6" s="23"/>
      <c r="F6" s="2">
        <v>30</v>
      </c>
      <c r="G6" s="2">
        <f>F6-F5</f>
        <v>30</v>
      </c>
    </row>
    <row r="7" spans="2:7" x14ac:dyDescent="0.25">
      <c r="B7" s="4">
        <v>46068</v>
      </c>
      <c r="C7" s="2" t="s">
        <v>6524</v>
      </c>
      <c r="D7" s="58"/>
      <c r="E7" s="23"/>
      <c r="F7" s="2">
        <v>45</v>
      </c>
      <c r="G7" s="2">
        <f t="shared" ref="G7:G22" si="0">F7-F6</f>
        <v>15</v>
      </c>
    </row>
    <row r="8" spans="2:7" x14ac:dyDescent="0.25">
      <c r="B8" s="4">
        <v>46069</v>
      </c>
      <c r="C8" s="2" t="s">
        <v>6533</v>
      </c>
      <c r="D8" s="58"/>
      <c r="E8" s="23"/>
      <c r="F8" s="2">
        <v>77</v>
      </c>
      <c r="G8" s="2">
        <f t="shared" si="0"/>
        <v>32</v>
      </c>
    </row>
    <row r="9" spans="2:7" x14ac:dyDescent="0.25">
      <c r="B9" s="4">
        <v>46070</v>
      </c>
      <c r="C9" s="2" t="s">
        <v>6540</v>
      </c>
      <c r="D9" s="58"/>
      <c r="E9" s="23"/>
      <c r="F9" s="2">
        <v>86</v>
      </c>
      <c r="G9" s="2">
        <f t="shared" si="0"/>
        <v>9</v>
      </c>
    </row>
    <row r="10" spans="2:7" x14ac:dyDescent="0.25">
      <c r="B10" s="4">
        <v>46071</v>
      </c>
      <c r="C10" s="2" t="s">
        <v>6532</v>
      </c>
      <c r="D10" s="2"/>
      <c r="E10" s="2"/>
      <c r="F10" s="2">
        <v>93</v>
      </c>
      <c r="G10" s="2">
        <f t="shared" si="0"/>
        <v>7</v>
      </c>
    </row>
    <row r="11" spans="2:7" x14ac:dyDescent="0.25">
      <c r="B11" s="4">
        <v>46072</v>
      </c>
      <c r="C11" s="2" t="s">
        <v>1178</v>
      </c>
      <c r="D11" s="2"/>
      <c r="E11" s="2"/>
      <c r="F11" s="2"/>
      <c r="G11" s="2">
        <f t="shared" si="0"/>
        <v>-93</v>
      </c>
    </row>
    <row r="12" spans="2:7" x14ac:dyDescent="0.25">
      <c r="B12" s="4">
        <v>46073</v>
      </c>
      <c r="C12" s="2" t="s">
        <v>6555</v>
      </c>
      <c r="D12" s="2"/>
      <c r="E12" s="2"/>
      <c r="F12" s="2"/>
      <c r="G12" s="2">
        <f t="shared" si="0"/>
        <v>0</v>
      </c>
    </row>
    <row r="13" spans="2:7" x14ac:dyDescent="0.25">
      <c r="B13" s="4">
        <v>46074</v>
      </c>
      <c r="C13" s="2" t="s">
        <v>6567</v>
      </c>
      <c r="D13" s="2"/>
      <c r="E13" s="2"/>
      <c r="F13" s="2"/>
      <c r="G13" s="2">
        <f t="shared" si="0"/>
        <v>0</v>
      </c>
    </row>
    <row r="14" spans="2:7" x14ac:dyDescent="0.25">
      <c r="B14" s="4">
        <v>46075</v>
      </c>
      <c r="C14" s="2" t="s">
        <v>6568</v>
      </c>
      <c r="D14" s="2"/>
      <c r="E14" s="2"/>
      <c r="F14" s="2"/>
      <c r="G14" s="2">
        <f t="shared" si="0"/>
        <v>0</v>
      </c>
    </row>
    <row r="15" spans="2:7" x14ac:dyDescent="0.25">
      <c r="B15" s="4">
        <v>46076</v>
      </c>
      <c r="C15" s="2" t="s">
        <v>6580</v>
      </c>
      <c r="D15" s="2"/>
      <c r="E15" s="2"/>
      <c r="F15" s="2"/>
      <c r="G15" s="2">
        <f t="shared" si="0"/>
        <v>0</v>
      </c>
    </row>
    <row r="16" spans="2:7" x14ac:dyDescent="0.25">
      <c r="B16" s="4">
        <v>46077</v>
      </c>
      <c r="C16" s="2" t="s">
        <v>4597</v>
      </c>
      <c r="D16" s="2"/>
      <c r="E16" s="2"/>
      <c r="F16" s="2"/>
      <c r="G16" s="2">
        <f t="shared" si="0"/>
        <v>0</v>
      </c>
    </row>
    <row r="17" spans="2:7" x14ac:dyDescent="0.25">
      <c r="B17" s="4">
        <v>46078</v>
      </c>
      <c r="C17" s="2"/>
      <c r="D17" s="2"/>
      <c r="E17" s="2"/>
      <c r="F17" s="2"/>
      <c r="G17" s="2">
        <f t="shared" si="0"/>
        <v>0</v>
      </c>
    </row>
    <row r="18" spans="2:7" x14ac:dyDescent="0.25">
      <c r="B18" s="4">
        <v>46079</v>
      </c>
      <c r="C18" s="2"/>
      <c r="D18" s="2"/>
      <c r="E18" s="2"/>
      <c r="F18" s="2"/>
      <c r="G18" s="2">
        <f t="shared" si="0"/>
        <v>0</v>
      </c>
    </row>
    <row r="19" spans="2:7" x14ac:dyDescent="0.25">
      <c r="B19" s="4">
        <v>46080</v>
      </c>
      <c r="C19" s="2"/>
      <c r="D19" s="2"/>
      <c r="E19" s="2"/>
      <c r="F19" s="2"/>
      <c r="G19" s="2">
        <f t="shared" si="0"/>
        <v>0</v>
      </c>
    </row>
    <row r="20" spans="2:7" x14ac:dyDescent="0.25">
      <c r="B20" s="4">
        <v>46081</v>
      </c>
      <c r="C20" s="2"/>
      <c r="D20" s="2"/>
      <c r="E20" s="2"/>
      <c r="F20" s="2"/>
      <c r="G20" s="2">
        <f t="shared" si="0"/>
        <v>0</v>
      </c>
    </row>
    <row r="21" spans="2:7" x14ac:dyDescent="0.25">
      <c r="B21" s="4">
        <v>46082</v>
      </c>
      <c r="C21" s="2"/>
      <c r="D21" s="2"/>
      <c r="E21" s="2"/>
      <c r="F21" s="2"/>
      <c r="G21" s="2">
        <f t="shared" si="0"/>
        <v>0</v>
      </c>
    </row>
    <row r="22" spans="2:7" x14ac:dyDescent="0.25">
      <c r="B22" s="4"/>
      <c r="C22" s="2"/>
      <c r="D22" s="2"/>
      <c r="E22" s="2"/>
      <c r="F22" s="2"/>
      <c r="G22" s="2">
        <f t="shared" si="0"/>
        <v>0</v>
      </c>
    </row>
    <row r="23" spans="2:7" x14ac:dyDescent="0.25">
      <c r="B23" s="4"/>
      <c r="C23" s="2"/>
      <c r="D23" s="2"/>
      <c r="E23" s="2"/>
      <c r="F23" s="2"/>
      <c r="G23" s="2"/>
    </row>
    <row r="24" spans="2:7" x14ac:dyDescent="0.25">
      <c r="B24" s="4"/>
      <c r="C24" s="2"/>
      <c r="D24" s="2"/>
      <c r="E24" s="2"/>
      <c r="F24" s="2"/>
      <c r="G24" s="2"/>
    </row>
    <row r="25" spans="2:7" x14ac:dyDescent="0.25">
      <c r="B25" s="4"/>
      <c r="C25" s="2"/>
      <c r="D25" s="2"/>
      <c r="E25" s="2"/>
      <c r="F25" s="2"/>
      <c r="G25" s="2"/>
    </row>
    <row r="26" spans="2:7" x14ac:dyDescent="0.25">
      <c r="B26" s="4"/>
      <c r="C26" s="2"/>
      <c r="D26" s="2"/>
      <c r="E26" s="2"/>
      <c r="F26" s="2"/>
      <c r="G26" s="2"/>
    </row>
    <row r="27" spans="2:7" x14ac:dyDescent="0.25">
      <c r="B27" s="4"/>
      <c r="C27" s="2"/>
      <c r="D27" s="2"/>
      <c r="E27" s="2"/>
      <c r="F27" s="2"/>
      <c r="G27" s="2"/>
    </row>
    <row r="28" spans="2:7" x14ac:dyDescent="0.25">
      <c r="B28" s="4"/>
      <c r="C28" s="2"/>
      <c r="D28" s="2"/>
      <c r="E28" s="2"/>
      <c r="F28" s="2"/>
      <c r="G28" s="2"/>
    </row>
    <row r="29" spans="2:7" x14ac:dyDescent="0.25">
      <c r="B29" s="4"/>
      <c r="C29" s="2"/>
      <c r="D29" s="2"/>
      <c r="E29" s="2"/>
      <c r="F29" s="2"/>
      <c r="G29" s="2"/>
    </row>
    <row r="30" spans="2:7" x14ac:dyDescent="0.25">
      <c r="B30" s="4"/>
      <c r="C30" s="2"/>
      <c r="D30" s="2"/>
      <c r="E30" s="2"/>
      <c r="F30" s="2"/>
      <c r="G30" s="2"/>
    </row>
    <row r="31" spans="2:7" x14ac:dyDescent="0.25">
      <c r="B31" s="4"/>
      <c r="C31" s="2"/>
      <c r="D31" s="2"/>
      <c r="E31" s="2"/>
      <c r="F31" s="2"/>
      <c r="G31" s="2"/>
    </row>
    <row r="32" spans="2:7" x14ac:dyDescent="0.25">
      <c r="B32" s="4"/>
      <c r="C32" s="2"/>
      <c r="D32" s="2"/>
      <c r="E32" s="2"/>
      <c r="F32" s="2"/>
      <c r="G32" s="2"/>
    </row>
    <row r="33" spans="2:7" x14ac:dyDescent="0.25">
      <c r="B33" s="4"/>
      <c r="C33" s="2"/>
      <c r="D33" s="2"/>
      <c r="E33" s="2"/>
      <c r="F33" s="2"/>
      <c r="G33" s="2"/>
    </row>
    <row r="34" spans="2:7" x14ac:dyDescent="0.25">
      <c r="B34" s="4"/>
      <c r="C34" s="2"/>
      <c r="D34" s="2"/>
      <c r="E34" s="2"/>
      <c r="F34" s="2"/>
      <c r="G34" s="2"/>
    </row>
    <row r="35" spans="2:7" x14ac:dyDescent="0.25">
      <c r="B35" s="4"/>
      <c r="C35" s="2"/>
      <c r="D35" s="2"/>
      <c r="E35" s="2"/>
      <c r="F35" s="2"/>
      <c r="G35" s="2"/>
    </row>
    <row r="36" spans="2:7" x14ac:dyDescent="0.25">
      <c r="B36" s="4"/>
      <c r="C36" s="2"/>
      <c r="D36" s="2"/>
      <c r="E36" s="2"/>
      <c r="F36" s="2"/>
      <c r="G36" s="2"/>
    </row>
    <row r="37" spans="2:7" x14ac:dyDescent="0.25">
      <c r="B37" s="4"/>
      <c r="C37" s="2"/>
      <c r="D37" s="2"/>
      <c r="E37" s="2"/>
      <c r="F37" s="2"/>
      <c r="G37" s="2"/>
    </row>
    <row r="38" spans="2:7" x14ac:dyDescent="0.25">
      <c r="B38" s="4"/>
      <c r="C38" s="2"/>
      <c r="D38" s="2"/>
      <c r="E38" s="2"/>
      <c r="F38" s="2"/>
      <c r="G38" s="2"/>
    </row>
    <row r="39" spans="2:7" x14ac:dyDescent="0.25">
      <c r="B39" s="4"/>
      <c r="C39" s="2"/>
      <c r="D39" s="2"/>
      <c r="E39" s="2"/>
      <c r="F39" s="2"/>
      <c r="G39" s="2"/>
    </row>
    <row r="40" spans="2:7" x14ac:dyDescent="0.25">
      <c r="B40" s="4"/>
      <c r="C40" s="2"/>
      <c r="D40" s="2"/>
      <c r="E40" s="2"/>
      <c r="F40" s="2"/>
      <c r="G40" s="2"/>
    </row>
    <row r="41" spans="2:7" x14ac:dyDescent="0.25">
      <c r="B41" s="4"/>
      <c r="C41" s="2"/>
      <c r="D41" s="2"/>
      <c r="E41" s="2"/>
      <c r="F41" s="2"/>
      <c r="G41" s="2"/>
    </row>
    <row r="42" spans="2:7" x14ac:dyDescent="0.25">
      <c r="B42" s="4"/>
      <c r="C42" s="2"/>
      <c r="D42" s="2"/>
      <c r="E42" s="2"/>
      <c r="F42" s="2"/>
      <c r="G42" s="2"/>
    </row>
    <row r="43" spans="2:7" x14ac:dyDescent="0.25">
      <c r="B43" s="4"/>
      <c r="C43" s="2"/>
      <c r="D43" s="2"/>
      <c r="E43" s="2"/>
      <c r="F43" s="2"/>
      <c r="G43" s="2"/>
    </row>
    <row r="44" spans="2:7" x14ac:dyDescent="0.25">
      <c r="B44" s="4"/>
      <c r="C44" s="2"/>
      <c r="D44" s="2"/>
      <c r="E44" s="2"/>
      <c r="F44" s="2"/>
      <c r="G44" s="2"/>
    </row>
    <row r="45" spans="2:7" x14ac:dyDescent="0.25">
      <c r="B45" s="4"/>
      <c r="C45" s="2"/>
      <c r="D45" s="2"/>
      <c r="E45" s="2"/>
      <c r="F45" s="2"/>
      <c r="G45" s="2"/>
    </row>
    <row r="46" spans="2:7" x14ac:dyDescent="0.25">
      <c r="B46" s="4"/>
      <c r="C46" s="2"/>
      <c r="D46" s="2"/>
      <c r="E46" s="2"/>
      <c r="F46" s="2"/>
      <c r="G46" s="2"/>
    </row>
    <row r="47" spans="2:7" x14ac:dyDescent="0.25">
      <c r="B47" s="4"/>
      <c r="C47" s="2"/>
      <c r="D47" s="2"/>
      <c r="E47" s="2"/>
      <c r="F47" s="2"/>
      <c r="G47" s="2"/>
    </row>
    <row r="48" spans="2:7" x14ac:dyDescent="0.25">
      <c r="B48" s="4"/>
      <c r="C48" s="2"/>
      <c r="D48" s="2"/>
      <c r="E48" s="2"/>
      <c r="F48" s="2"/>
      <c r="G48" s="2"/>
    </row>
    <row r="49" spans="2:7" x14ac:dyDescent="0.25">
      <c r="B49" s="4"/>
      <c r="C49" s="2"/>
      <c r="D49" s="2"/>
      <c r="E49" s="2"/>
      <c r="F49" s="2"/>
      <c r="G49" s="2"/>
    </row>
    <row r="50" spans="2:7" x14ac:dyDescent="0.25">
      <c r="B50" s="4"/>
      <c r="C50" s="2"/>
      <c r="D50" s="2"/>
      <c r="E50" s="2"/>
      <c r="F50" s="2"/>
      <c r="G50" s="2"/>
    </row>
    <row r="51" spans="2:7" x14ac:dyDescent="0.25">
      <c r="B51" s="4"/>
      <c r="C51" s="2"/>
      <c r="D51" s="2"/>
      <c r="E51" s="2"/>
      <c r="F51" s="2"/>
      <c r="G51" s="2"/>
    </row>
    <row r="52" spans="2:7" x14ac:dyDescent="0.25">
      <c r="B52" s="4"/>
      <c r="C52" s="2"/>
      <c r="D52" s="2"/>
      <c r="E52" s="2"/>
      <c r="F52" s="2"/>
      <c r="G52" s="2"/>
    </row>
    <row r="53" spans="2:7" x14ac:dyDescent="0.25">
      <c r="B53" s="4"/>
      <c r="C53" s="2"/>
      <c r="D53" s="2"/>
      <c r="E53" s="2"/>
      <c r="F53" s="2"/>
      <c r="G53" s="2"/>
    </row>
    <row r="54" spans="2:7" x14ac:dyDescent="0.25">
      <c r="B54" s="4"/>
      <c r="C54" s="2"/>
      <c r="D54" s="2"/>
      <c r="E54" s="2"/>
      <c r="F54" s="2"/>
      <c r="G54" s="2"/>
    </row>
    <row r="55" spans="2:7" x14ac:dyDescent="0.25">
      <c r="B55" s="4"/>
      <c r="C55" s="2"/>
      <c r="D55" s="2"/>
      <c r="E55" s="2"/>
      <c r="F55" s="2"/>
      <c r="G55" s="2"/>
    </row>
    <row r="56" spans="2:7" x14ac:dyDescent="0.25">
      <c r="B56" s="4"/>
      <c r="C56" s="2"/>
      <c r="D56" s="2"/>
      <c r="E56" s="2"/>
      <c r="F56" s="2"/>
      <c r="G56" s="2"/>
    </row>
    <row r="57" spans="2:7" x14ac:dyDescent="0.25">
      <c r="B57" s="4"/>
      <c r="C57" s="2"/>
      <c r="D57" s="2"/>
      <c r="E57" s="2"/>
      <c r="F57" s="2"/>
      <c r="G57" s="2"/>
    </row>
    <row r="58" spans="2:7" x14ac:dyDescent="0.25">
      <c r="B58" s="4"/>
      <c r="C58" s="2"/>
      <c r="D58" s="2"/>
      <c r="E58" s="2"/>
      <c r="F58" s="2"/>
      <c r="G58" s="2"/>
    </row>
    <row r="59" spans="2:7" x14ac:dyDescent="0.25">
      <c r="B59" s="4"/>
      <c r="C59" s="2"/>
      <c r="D59" s="2"/>
      <c r="E59" s="2"/>
      <c r="F59" s="2"/>
      <c r="G59" s="2"/>
    </row>
    <row r="60" spans="2:7" x14ac:dyDescent="0.25">
      <c r="B60" s="4"/>
      <c r="C60" s="2"/>
      <c r="D60" s="2"/>
      <c r="E60" s="2"/>
      <c r="F60" s="2"/>
      <c r="G60" s="2"/>
    </row>
    <row r="61" spans="2:7" x14ac:dyDescent="0.25">
      <c r="B61" s="4"/>
      <c r="C61" s="2"/>
      <c r="D61" s="2"/>
      <c r="E61" s="2"/>
      <c r="F61" s="2"/>
      <c r="G61" s="2"/>
    </row>
    <row r="62" spans="2:7" x14ac:dyDescent="0.25">
      <c r="B62" s="4"/>
      <c r="C62" s="2"/>
      <c r="D62" s="2"/>
      <c r="E62" s="2"/>
      <c r="F62" s="2"/>
      <c r="G62" s="2"/>
    </row>
    <row r="63" spans="2:7" x14ac:dyDescent="0.25">
      <c r="B63" s="4"/>
      <c r="C63" s="2"/>
      <c r="D63" s="2"/>
      <c r="E63" s="2"/>
      <c r="F63" s="2"/>
      <c r="G63" s="2"/>
    </row>
    <row r="64" spans="2:7" x14ac:dyDescent="0.25">
      <c r="B64" s="4"/>
      <c r="C64" s="2"/>
      <c r="D64" s="2"/>
      <c r="E64" s="2"/>
      <c r="F64" s="2"/>
      <c r="G64" s="2"/>
    </row>
    <row r="65" spans="2:7" x14ac:dyDescent="0.25">
      <c r="B65" s="4"/>
      <c r="C65" s="2"/>
      <c r="D65" s="2"/>
      <c r="E65" s="2"/>
      <c r="F65" s="2"/>
      <c r="G65" s="2"/>
    </row>
    <row r="66" spans="2:7" x14ac:dyDescent="0.25">
      <c r="B66" s="4"/>
      <c r="C66" s="2"/>
      <c r="D66" s="2"/>
      <c r="E66" s="2"/>
      <c r="F66" s="2"/>
      <c r="G66" s="2"/>
    </row>
    <row r="67" spans="2:7" x14ac:dyDescent="0.25">
      <c r="B67" s="4"/>
      <c r="C67" s="2"/>
      <c r="D67" s="2"/>
      <c r="E67" s="2"/>
      <c r="F67" s="2"/>
      <c r="G67" s="2"/>
    </row>
    <row r="68" spans="2:7" x14ac:dyDescent="0.25">
      <c r="B68" s="4"/>
      <c r="C68" s="2"/>
      <c r="D68" s="2"/>
      <c r="E68" s="2"/>
      <c r="F68" s="2"/>
      <c r="G68" s="2"/>
    </row>
    <row r="69" spans="2:7" x14ac:dyDescent="0.25">
      <c r="B69" s="4"/>
      <c r="C69" s="2"/>
      <c r="D69" s="2"/>
      <c r="E69" s="2"/>
      <c r="F69" s="2"/>
      <c r="G69" s="2"/>
    </row>
    <row r="70" spans="2:7" x14ac:dyDescent="0.25">
      <c r="B70" s="4"/>
      <c r="C70" s="2"/>
      <c r="D70" s="2"/>
      <c r="E70" s="2"/>
      <c r="F70" s="2"/>
      <c r="G70" s="2"/>
    </row>
    <row r="71" spans="2:7" x14ac:dyDescent="0.25">
      <c r="B71" s="4"/>
      <c r="C71" s="2"/>
      <c r="D71" s="2"/>
      <c r="E71" s="2"/>
      <c r="F71" s="2"/>
      <c r="G71" s="2"/>
    </row>
    <row r="72" spans="2:7" x14ac:dyDescent="0.25">
      <c r="B72" s="4"/>
      <c r="C72" s="2"/>
      <c r="D72" s="2"/>
      <c r="E72" s="2"/>
      <c r="F72" s="2"/>
      <c r="G72" s="2"/>
    </row>
    <row r="73" spans="2:7" x14ac:dyDescent="0.25">
      <c r="B73" s="4"/>
      <c r="C73" s="2"/>
      <c r="D73" s="2"/>
      <c r="E73" s="2"/>
      <c r="F73" s="2"/>
      <c r="G73" s="2"/>
    </row>
    <row r="74" spans="2:7" x14ac:dyDescent="0.25">
      <c r="B74" s="4"/>
      <c r="C74" s="2"/>
      <c r="D74" s="2"/>
      <c r="E74" s="2"/>
      <c r="F74" s="2"/>
      <c r="G74" s="2"/>
    </row>
    <row r="75" spans="2:7" x14ac:dyDescent="0.25">
      <c r="B75" s="4"/>
      <c r="C75" s="2"/>
      <c r="D75" s="2"/>
      <c r="E75" s="2"/>
      <c r="F75" s="2"/>
      <c r="G75" s="2"/>
    </row>
    <row r="76" spans="2:7" x14ac:dyDescent="0.25">
      <c r="B76" s="4"/>
      <c r="C76" s="2"/>
      <c r="D76" s="2"/>
      <c r="E76" s="2"/>
      <c r="F76" s="2"/>
      <c r="G76" s="2"/>
    </row>
    <row r="77" spans="2:7" x14ac:dyDescent="0.25">
      <c r="B77" s="4"/>
      <c r="C77" s="2"/>
      <c r="D77" s="2"/>
      <c r="E77" s="2"/>
      <c r="F77" s="2"/>
      <c r="G77" s="2"/>
    </row>
    <row r="78" spans="2:7" x14ac:dyDescent="0.25">
      <c r="B78" s="4"/>
      <c r="C78" s="2"/>
      <c r="D78" s="2"/>
      <c r="E78" s="2"/>
      <c r="F78" s="2"/>
      <c r="G78" s="2"/>
    </row>
    <row r="79" spans="2:7" x14ac:dyDescent="0.25">
      <c r="B79" s="4"/>
      <c r="C79" s="2"/>
      <c r="D79" s="2"/>
      <c r="E79" s="2"/>
      <c r="F79" s="2"/>
      <c r="G79" s="2"/>
    </row>
    <row r="80" spans="2:7" x14ac:dyDescent="0.25">
      <c r="B80" s="4"/>
      <c r="C80" s="2"/>
      <c r="D80" s="2"/>
      <c r="E80" s="2"/>
      <c r="F80" s="2"/>
      <c r="G80" s="2"/>
    </row>
    <row r="81" spans="2:7" x14ac:dyDescent="0.25">
      <c r="B81" s="4"/>
      <c r="C81" s="2"/>
      <c r="D81" s="2"/>
      <c r="E81" s="2"/>
      <c r="F81" s="2"/>
      <c r="G81" s="2"/>
    </row>
    <row r="82" spans="2:7" x14ac:dyDescent="0.25">
      <c r="B82" s="4"/>
      <c r="C82" s="2"/>
      <c r="D82" s="2"/>
      <c r="E82" s="2"/>
      <c r="F82" s="2"/>
      <c r="G82" s="2"/>
    </row>
    <row r="83" spans="2:7" x14ac:dyDescent="0.25">
      <c r="B83" s="4"/>
      <c r="C83" s="2"/>
      <c r="D83" s="2"/>
      <c r="E83" s="2"/>
      <c r="F83" s="2"/>
      <c r="G83" s="2"/>
    </row>
    <row r="84" spans="2:7" x14ac:dyDescent="0.25">
      <c r="B84" s="4"/>
      <c r="C84" s="2"/>
      <c r="D84" s="2"/>
      <c r="E84" s="2"/>
      <c r="F84" s="2"/>
      <c r="G84" s="2"/>
    </row>
    <row r="85" spans="2:7" x14ac:dyDescent="0.25">
      <c r="B85" s="4"/>
      <c r="C85" s="2"/>
      <c r="D85" s="2"/>
      <c r="E85" s="2"/>
      <c r="F85" s="2"/>
      <c r="G85" s="2"/>
    </row>
    <row r="86" spans="2:7" x14ac:dyDescent="0.25">
      <c r="B86" s="4"/>
      <c r="C86" s="2"/>
      <c r="D86" s="2"/>
      <c r="E86" s="2"/>
      <c r="F86" s="2"/>
      <c r="G86" s="2"/>
    </row>
    <row r="87" spans="2:7" x14ac:dyDescent="0.25">
      <c r="B87" s="4"/>
      <c r="C87" s="2"/>
      <c r="D87" s="2"/>
      <c r="E87" s="2"/>
      <c r="F87" s="2"/>
      <c r="G87" s="2"/>
    </row>
    <row r="88" spans="2:7" x14ac:dyDescent="0.25">
      <c r="B88" s="4"/>
      <c r="C88" s="2"/>
      <c r="D88" s="2"/>
      <c r="E88" s="2"/>
      <c r="F88" s="2"/>
      <c r="G88" s="2"/>
    </row>
    <row r="89" spans="2:7" x14ac:dyDescent="0.25">
      <c r="B89" s="4"/>
      <c r="C89" s="2"/>
      <c r="D89" s="2"/>
      <c r="E89" s="2"/>
      <c r="F89" s="2"/>
      <c r="G89" s="2"/>
    </row>
    <row r="90" spans="2:7" x14ac:dyDescent="0.25">
      <c r="B90" s="4"/>
      <c r="C90" s="2"/>
      <c r="D90" s="2"/>
      <c r="E90" s="2"/>
      <c r="F90" s="2"/>
      <c r="G90" s="2"/>
    </row>
    <row r="91" spans="2:7" x14ac:dyDescent="0.25">
      <c r="B91" s="4"/>
      <c r="C91" s="2"/>
      <c r="D91" s="2"/>
      <c r="E91" s="2"/>
      <c r="F91" s="2"/>
      <c r="G91" s="2"/>
    </row>
    <row r="92" spans="2:7" x14ac:dyDescent="0.25">
      <c r="B92" s="4"/>
      <c r="C92" s="2"/>
      <c r="D92" s="2"/>
      <c r="E92" s="2"/>
      <c r="F92" s="2"/>
      <c r="G92" s="2"/>
    </row>
    <row r="93" spans="2:7" x14ac:dyDescent="0.25">
      <c r="B93" s="4"/>
      <c r="C93" s="2"/>
      <c r="D93" s="2"/>
      <c r="E93" s="2"/>
      <c r="F93" s="2"/>
      <c r="G93" s="2"/>
    </row>
    <row r="94" spans="2:7" x14ac:dyDescent="0.25">
      <c r="B94" s="4"/>
      <c r="C94" s="2"/>
      <c r="D94" s="2"/>
      <c r="E94" s="2"/>
      <c r="F94" s="2"/>
      <c r="G94" s="2"/>
    </row>
    <row r="95" spans="2:7" x14ac:dyDescent="0.25">
      <c r="B95" s="4"/>
      <c r="C95" s="2"/>
      <c r="D95" s="2"/>
      <c r="E95" s="2"/>
      <c r="F95" s="2"/>
      <c r="G95" s="2"/>
    </row>
    <row r="96" spans="2:7" x14ac:dyDescent="0.25">
      <c r="B96" s="4"/>
      <c r="C96" s="2"/>
      <c r="D96" s="2"/>
      <c r="E96" s="2"/>
      <c r="F96" s="2"/>
      <c r="G96" s="2"/>
    </row>
    <row r="97" spans="2:7" x14ac:dyDescent="0.25">
      <c r="B97" s="4"/>
      <c r="C97" s="2"/>
      <c r="D97" s="2"/>
      <c r="E97" s="2"/>
      <c r="F97" s="2"/>
      <c r="G97" s="2"/>
    </row>
    <row r="98" spans="2:7" x14ac:dyDescent="0.25">
      <c r="B98" s="4"/>
      <c r="C98" s="2"/>
      <c r="D98" s="2"/>
      <c r="E98" s="2"/>
      <c r="F98" s="2"/>
      <c r="G98" s="2"/>
    </row>
    <row r="99" spans="2:7" x14ac:dyDescent="0.25">
      <c r="B99" s="4"/>
      <c r="C99" s="2"/>
      <c r="D99" s="2"/>
      <c r="E99" s="2"/>
      <c r="F99" s="2"/>
      <c r="G99" s="2"/>
    </row>
    <row r="100" spans="2:7" x14ac:dyDescent="0.25">
      <c r="B100" s="4"/>
      <c r="C100" s="2"/>
      <c r="D100" s="2"/>
      <c r="E100" s="2"/>
      <c r="F100" s="2"/>
      <c r="G100" s="2"/>
    </row>
    <row r="101" spans="2:7" x14ac:dyDescent="0.25">
      <c r="B101" s="4"/>
      <c r="C101" s="2"/>
      <c r="D101" s="2"/>
      <c r="E101" s="2"/>
      <c r="F101" s="2"/>
      <c r="G101" s="2"/>
    </row>
    <row r="102" spans="2:7" x14ac:dyDescent="0.25">
      <c r="B102" s="4"/>
      <c r="C102" s="2"/>
      <c r="D102" s="2"/>
      <c r="E102" s="2"/>
      <c r="F102" s="2"/>
      <c r="G102" s="2"/>
    </row>
    <row r="103" spans="2:7" x14ac:dyDescent="0.25">
      <c r="B103" s="4"/>
      <c r="C103" s="2"/>
      <c r="D103" s="2"/>
      <c r="E103" s="2"/>
      <c r="F103" s="2"/>
      <c r="G103" s="2"/>
    </row>
    <row r="104" spans="2:7" x14ac:dyDescent="0.25">
      <c r="B104" s="4"/>
      <c r="C104" s="2"/>
      <c r="D104" s="2"/>
      <c r="E104" s="2"/>
      <c r="F104" s="2"/>
      <c r="G104" s="2"/>
    </row>
    <row r="105" spans="2:7" x14ac:dyDescent="0.25">
      <c r="B105" s="4"/>
      <c r="C105" s="2"/>
      <c r="D105" s="2"/>
      <c r="E105" s="2"/>
      <c r="F105" s="2"/>
      <c r="G105" s="2"/>
    </row>
    <row r="106" spans="2:7" x14ac:dyDescent="0.25">
      <c r="B106" s="4"/>
      <c r="C106" s="2"/>
      <c r="D106" s="2"/>
      <c r="E106" s="2"/>
      <c r="F106" s="2"/>
      <c r="G106" s="2"/>
    </row>
    <row r="107" spans="2:7" x14ac:dyDescent="0.25">
      <c r="B107" s="4"/>
      <c r="C107" s="2"/>
      <c r="D107" s="2"/>
      <c r="E107" s="2"/>
      <c r="F107" s="2"/>
      <c r="G107" s="2"/>
    </row>
    <row r="108" spans="2:7" x14ac:dyDescent="0.25">
      <c r="B108" s="4"/>
      <c r="C108" s="2"/>
      <c r="D108" s="2"/>
      <c r="E108" s="2"/>
      <c r="F108" s="2"/>
      <c r="G108" s="2"/>
    </row>
    <row r="109" spans="2:7" x14ac:dyDescent="0.25">
      <c r="B109" s="4"/>
      <c r="C109" s="2"/>
      <c r="D109" s="2"/>
      <c r="E109" s="2"/>
      <c r="F109" s="2"/>
      <c r="G109" s="2"/>
    </row>
    <row r="110" spans="2:7" x14ac:dyDescent="0.25">
      <c r="B110" s="4"/>
      <c r="C110" s="2"/>
      <c r="D110" s="2"/>
      <c r="E110" s="2"/>
      <c r="F110" s="2"/>
      <c r="G110" s="2"/>
    </row>
    <row r="111" spans="2:7" x14ac:dyDescent="0.25">
      <c r="B111" s="4"/>
      <c r="C111" s="2"/>
      <c r="D111" s="2"/>
      <c r="E111" s="2"/>
      <c r="F111" s="2"/>
      <c r="G111" s="2"/>
    </row>
    <row r="112" spans="2:7" x14ac:dyDescent="0.25">
      <c r="B112" s="4"/>
      <c r="C112" s="2"/>
      <c r="D112" s="2"/>
      <c r="E112" s="2"/>
      <c r="F112" s="2"/>
      <c r="G112" s="2"/>
    </row>
    <row r="113" spans="2:7" x14ac:dyDescent="0.25">
      <c r="B113" s="4"/>
      <c r="C113" s="2"/>
      <c r="D113" s="2"/>
      <c r="E113" s="2"/>
      <c r="F113" s="2"/>
      <c r="G113" s="2"/>
    </row>
    <row r="114" spans="2:7" x14ac:dyDescent="0.25">
      <c r="B114" s="4"/>
      <c r="C114" s="2"/>
      <c r="D114" s="2"/>
      <c r="E114" s="2"/>
      <c r="F114" s="2"/>
      <c r="G114" s="2"/>
    </row>
    <row r="115" spans="2:7" x14ac:dyDescent="0.25">
      <c r="B115" s="4"/>
      <c r="C115" s="2"/>
      <c r="D115" s="2"/>
      <c r="E115" s="2"/>
      <c r="F115" s="2"/>
      <c r="G115" s="2"/>
    </row>
    <row r="116" spans="2:7" x14ac:dyDescent="0.25">
      <c r="B116" s="4"/>
      <c r="C116" s="2"/>
      <c r="D116" s="2"/>
      <c r="E116" s="2"/>
      <c r="F116" s="2"/>
      <c r="G116" s="2"/>
    </row>
    <row r="117" spans="2:7" x14ac:dyDescent="0.25">
      <c r="B117" s="4"/>
      <c r="C117" s="2"/>
      <c r="D117" s="2"/>
      <c r="E117" s="2"/>
      <c r="F117" s="2"/>
      <c r="G117" s="2"/>
    </row>
    <row r="118" spans="2:7" x14ac:dyDescent="0.25">
      <c r="B118" s="4"/>
      <c r="C118" s="2"/>
      <c r="D118" s="2"/>
      <c r="E118" s="2"/>
      <c r="F118" s="2"/>
      <c r="G118" s="2"/>
    </row>
    <row r="119" spans="2:7" x14ac:dyDescent="0.25">
      <c r="B119" s="4"/>
      <c r="C119" s="2"/>
      <c r="D119" s="2"/>
      <c r="E119" s="2"/>
      <c r="F119" s="2"/>
      <c r="G119" s="2"/>
    </row>
    <row r="120" spans="2:7" x14ac:dyDescent="0.25">
      <c r="B120" s="4"/>
      <c r="C120" s="2"/>
      <c r="D120" s="2"/>
      <c r="E120" s="2"/>
      <c r="F120" s="2"/>
      <c r="G120" s="2"/>
    </row>
    <row r="121" spans="2:7" x14ac:dyDescent="0.25">
      <c r="B121" s="4"/>
      <c r="C121" s="2"/>
      <c r="D121" s="2"/>
      <c r="E121" s="2"/>
      <c r="F121" s="2"/>
      <c r="G121" s="2"/>
    </row>
    <row r="122" spans="2:7" x14ac:dyDescent="0.25">
      <c r="B122" s="4"/>
      <c r="C122" s="2"/>
      <c r="D122" s="2"/>
      <c r="E122" s="2"/>
      <c r="F122" s="2"/>
      <c r="G122" s="2"/>
    </row>
    <row r="123" spans="2:7" x14ac:dyDescent="0.25">
      <c r="B123" s="4"/>
      <c r="C123" s="2"/>
      <c r="D123" s="2"/>
      <c r="E123" s="2"/>
      <c r="F123" s="2"/>
      <c r="G123" s="2"/>
    </row>
    <row r="124" spans="2:7" x14ac:dyDescent="0.25">
      <c r="B124" s="4"/>
      <c r="C124" s="2"/>
      <c r="D124" s="2"/>
      <c r="E124" s="2"/>
      <c r="F124" s="2"/>
      <c r="G124" s="2"/>
    </row>
    <row r="125" spans="2:7" x14ac:dyDescent="0.25">
      <c r="B125" s="4"/>
      <c r="C125" s="2"/>
      <c r="D125" s="2"/>
      <c r="E125" s="2"/>
      <c r="F125" s="2"/>
      <c r="G125" s="2"/>
    </row>
    <row r="126" spans="2:7" x14ac:dyDescent="0.25">
      <c r="B126" s="4"/>
      <c r="C126" s="2"/>
      <c r="D126" s="2"/>
      <c r="E126" s="2"/>
      <c r="F126" s="2"/>
      <c r="G126" s="2"/>
    </row>
    <row r="127" spans="2:7" x14ac:dyDescent="0.25">
      <c r="B127" s="4"/>
      <c r="C127" s="2"/>
      <c r="D127" s="2"/>
      <c r="E127" s="2"/>
      <c r="F127" s="2"/>
      <c r="G127" s="2"/>
    </row>
    <row r="128" spans="2:7" x14ac:dyDescent="0.25">
      <c r="B128" s="4"/>
      <c r="C128" s="2"/>
      <c r="D128" s="2"/>
      <c r="E128" s="2"/>
      <c r="F128" s="2"/>
      <c r="G128" s="2"/>
    </row>
    <row r="129" spans="2:7" x14ac:dyDescent="0.25">
      <c r="B129" s="4"/>
      <c r="C129" s="2"/>
      <c r="D129" s="2"/>
      <c r="E129" s="2"/>
      <c r="F129" s="2"/>
      <c r="G129" s="2"/>
    </row>
    <row r="130" spans="2:7" x14ac:dyDescent="0.25">
      <c r="B130" s="4"/>
      <c r="C130" s="2"/>
      <c r="D130" s="2"/>
      <c r="E130" s="2"/>
      <c r="F130" s="2"/>
      <c r="G130" s="2"/>
    </row>
    <row r="131" spans="2:7" x14ac:dyDescent="0.25">
      <c r="B131" s="4"/>
      <c r="C131" s="2"/>
      <c r="D131" s="2"/>
      <c r="E131" s="2"/>
      <c r="F131" s="2"/>
      <c r="G131" s="2"/>
    </row>
    <row r="132" spans="2:7" x14ac:dyDescent="0.25">
      <c r="B132" s="4"/>
      <c r="C132" s="2"/>
      <c r="D132" s="2"/>
      <c r="E132" s="2"/>
      <c r="F132" s="2"/>
      <c r="G132" s="2"/>
    </row>
    <row r="133" spans="2:7" x14ac:dyDescent="0.25">
      <c r="B133" s="4"/>
      <c r="C133" s="2"/>
      <c r="D133" s="2"/>
      <c r="E133" s="2"/>
      <c r="F133" s="2"/>
      <c r="G133" s="2"/>
    </row>
    <row r="134" spans="2:7" x14ac:dyDescent="0.25">
      <c r="B134" s="4"/>
      <c r="C134" s="2"/>
      <c r="D134" s="2"/>
      <c r="E134" s="2"/>
      <c r="F134" s="2"/>
      <c r="G134" s="2"/>
    </row>
    <row r="135" spans="2:7" x14ac:dyDescent="0.25">
      <c r="B135" s="4"/>
      <c r="C135" s="2"/>
      <c r="D135" s="2"/>
      <c r="E135" s="2"/>
      <c r="F135" s="2"/>
      <c r="G135" s="2"/>
    </row>
    <row r="136" spans="2:7" x14ac:dyDescent="0.25">
      <c r="B136" s="4"/>
      <c r="C136" s="2"/>
      <c r="D136" s="2"/>
      <c r="E136" s="2"/>
      <c r="F136" s="2"/>
      <c r="G136" s="2"/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B2:J136"/>
  <sheetViews>
    <sheetView topLeftCell="B43" workbookViewId="0">
      <selection activeCell="C21" sqref="C21"/>
    </sheetView>
  </sheetViews>
  <sheetFormatPr defaultRowHeight="15" x14ac:dyDescent="0.25"/>
  <cols>
    <col min="1" max="1" width="0" hidden="1" customWidth="1"/>
    <col min="2" max="2" width="18" style="24" bestFit="1" customWidth="1"/>
    <col min="3" max="3" width="54" customWidth="1"/>
    <col min="4" max="4" width="42.140625" bestFit="1" customWidth="1"/>
    <col min="5" max="5" width="11.85546875" style="24" bestFit="1" customWidth="1"/>
    <col min="6" max="6" width="9.140625" style="24"/>
    <col min="7" max="7" width="11" bestFit="1" customWidth="1"/>
  </cols>
  <sheetData>
    <row r="2" spans="2:7" x14ac:dyDescent="0.25">
      <c r="B2" s="152" t="s">
        <v>6728</v>
      </c>
    </row>
    <row r="3" spans="2:7" ht="15.75" x14ac:dyDescent="0.25">
      <c r="B3" s="10" t="s">
        <v>0</v>
      </c>
      <c r="C3" s="11" t="s">
        <v>1</v>
      </c>
      <c r="D3" s="11" t="s">
        <v>2</v>
      </c>
      <c r="E3" s="11" t="s">
        <v>934</v>
      </c>
      <c r="F3" s="11" t="s">
        <v>1095</v>
      </c>
      <c r="G3" s="11" t="s">
        <v>1507</v>
      </c>
    </row>
    <row r="4" spans="2:7" x14ac:dyDescent="0.25">
      <c r="B4" s="153">
        <v>46113</v>
      </c>
      <c r="C4" s="2" t="s">
        <v>279</v>
      </c>
      <c r="D4" s="2"/>
      <c r="E4" s="23"/>
      <c r="F4" s="23"/>
      <c r="G4" s="2"/>
    </row>
    <row r="5" spans="2:7" x14ac:dyDescent="0.25">
      <c r="B5" s="153">
        <v>46114</v>
      </c>
      <c r="C5" s="2" t="s">
        <v>5110</v>
      </c>
      <c r="D5" s="2"/>
      <c r="E5" s="23"/>
      <c r="F5" s="23"/>
      <c r="G5" s="2"/>
    </row>
    <row r="6" spans="2:7" x14ac:dyDescent="0.25">
      <c r="B6" s="153">
        <v>46115</v>
      </c>
      <c r="C6" s="2" t="s">
        <v>6723</v>
      </c>
      <c r="D6" s="2"/>
      <c r="E6" s="23"/>
      <c r="F6" s="23"/>
      <c r="G6" s="2"/>
    </row>
    <row r="7" spans="2:7" x14ac:dyDescent="0.25">
      <c r="B7" s="153">
        <v>46116</v>
      </c>
      <c r="C7" s="2" t="s">
        <v>6724</v>
      </c>
      <c r="D7" s="58"/>
      <c r="E7" s="23"/>
      <c r="F7" s="23"/>
      <c r="G7" s="2"/>
    </row>
    <row r="8" spans="2:7" x14ac:dyDescent="0.25">
      <c r="B8" s="153">
        <v>46117</v>
      </c>
      <c r="C8" s="2" t="s">
        <v>6730</v>
      </c>
      <c r="D8" s="58"/>
      <c r="E8" s="23"/>
      <c r="F8" s="23"/>
      <c r="G8" s="2"/>
    </row>
    <row r="9" spans="2:7" x14ac:dyDescent="0.25">
      <c r="B9" s="153">
        <v>46118</v>
      </c>
      <c r="C9" s="2" t="s">
        <v>6732</v>
      </c>
      <c r="D9" s="58"/>
      <c r="E9" s="23"/>
      <c r="F9" s="23"/>
      <c r="G9" s="2"/>
    </row>
    <row r="10" spans="2:7" x14ac:dyDescent="0.25">
      <c r="B10" s="153">
        <v>46119</v>
      </c>
      <c r="C10" s="2" t="s">
        <v>6736</v>
      </c>
      <c r="D10" s="2"/>
      <c r="E10" s="23"/>
      <c r="F10" s="23"/>
      <c r="G10" s="2"/>
    </row>
    <row r="11" spans="2:7" x14ac:dyDescent="0.25">
      <c r="B11" s="153">
        <v>46120</v>
      </c>
      <c r="C11" s="2" t="s">
        <v>6737</v>
      </c>
      <c r="D11" s="2"/>
      <c r="E11" s="23">
        <v>28</v>
      </c>
      <c r="F11" s="23">
        <f>E11-E10</f>
        <v>28</v>
      </c>
      <c r="G11" s="2"/>
    </row>
    <row r="12" spans="2:7" x14ac:dyDescent="0.25">
      <c r="B12" s="153">
        <v>46121</v>
      </c>
      <c r="C12" s="2" t="s">
        <v>6741</v>
      </c>
      <c r="D12" s="2"/>
      <c r="E12" s="23">
        <v>34</v>
      </c>
      <c r="F12" s="23">
        <f>E12-E11</f>
        <v>6</v>
      </c>
      <c r="G12" s="2"/>
    </row>
    <row r="13" spans="2:7" x14ac:dyDescent="0.25">
      <c r="B13" s="153">
        <v>46122</v>
      </c>
      <c r="C13" s="2" t="s">
        <v>6743</v>
      </c>
      <c r="D13" s="2"/>
      <c r="E13" s="23">
        <v>36</v>
      </c>
      <c r="F13" s="23">
        <f t="shared" ref="F13:F15" si="0">E13-E12</f>
        <v>2</v>
      </c>
      <c r="G13" s="2"/>
    </row>
    <row r="14" spans="2:7" x14ac:dyDescent="0.25">
      <c r="B14" s="153">
        <v>46123</v>
      </c>
      <c r="C14" s="2" t="s">
        <v>6742</v>
      </c>
      <c r="D14" s="2"/>
      <c r="E14" s="23">
        <v>38</v>
      </c>
      <c r="F14" s="23">
        <f t="shared" si="0"/>
        <v>2</v>
      </c>
      <c r="G14" s="2"/>
    </row>
    <row r="15" spans="2:7" x14ac:dyDescent="0.25">
      <c r="B15" s="153">
        <v>46124</v>
      </c>
      <c r="C15" s="2" t="s">
        <v>6744</v>
      </c>
      <c r="D15" s="2" t="s">
        <v>6745</v>
      </c>
      <c r="E15" s="23">
        <v>38</v>
      </c>
      <c r="F15" s="23">
        <f t="shared" si="0"/>
        <v>0</v>
      </c>
      <c r="G15" s="2"/>
    </row>
    <row r="16" spans="2:7" x14ac:dyDescent="0.25">
      <c r="B16" s="153">
        <v>46125</v>
      </c>
      <c r="C16" s="2" t="s">
        <v>6749</v>
      </c>
      <c r="D16" s="2"/>
      <c r="E16" s="23">
        <v>38</v>
      </c>
      <c r="F16" s="23">
        <v>0</v>
      </c>
      <c r="G16" s="2"/>
    </row>
    <row r="17" spans="2:7" x14ac:dyDescent="0.25">
      <c r="B17" s="153">
        <v>46126</v>
      </c>
      <c r="C17" s="2" t="s">
        <v>6787</v>
      </c>
      <c r="D17" s="2"/>
      <c r="E17" s="23">
        <v>38</v>
      </c>
      <c r="F17" s="23">
        <f t="shared" ref="F17:F49" si="1">E17-E16</f>
        <v>0</v>
      </c>
      <c r="G17" s="2"/>
    </row>
    <row r="18" spans="2:7" x14ac:dyDescent="0.25">
      <c r="B18" s="153">
        <v>46127</v>
      </c>
      <c r="C18" s="2" t="s">
        <v>6788</v>
      </c>
      <c r="D18" s="2" t="s">
        <v>6794</v>
      </c>
      <c r="E18" s="23">
        <v>38</v>
      </c>
      <c r="F18" s="23">
        <f t="shared" si="1"/>
        <v>0</v>
      </c>
      <c r="G18" s="2"/>
    </row>
    <row r="19" spans="2:7" x14ac:dyDescent="0.25">
      <c r="B19" s="153">
        <v>46128</v>
      </c>
      <c r="C19" s="2" t="s">
        <v>6795</v>
      </c>
      <c r="D19" s="2"/>
      <c r="E19" s="23">
        <v>38</v>
      </c>
      <c r="F19" s="23">
        <f t="shared" si="1"/>
        <v>0</v>
      </c>
      <c r="G19" s="2"/>
    </row>
    <row r="20" spans="2:7" x14ac:dyDescent="0.25">
      <c r="B20" s="153">
        <v>46129</v>
      </c>
      <c r="C20" s="2" t="s">
        <v>6795</v>
      </c>
      <c r="D20" s="2"/>
      <c r="E20" s="23">
        <v>70</v>
      </c>
      <c r="F20" s="23">
        <f t="shared" si="1"/>
        <v>32</v>
      </c>
      <c r="G20" s="2"/>
    </row>
    <row r="21" spans="2:7" x14ac:dyDescent="0.25">
      <c r="B21" s="153">
        <v>46130</v>
      </c>
      <c r="C21" s="2" t="s">
        <v>6795</v>
      </c>
      <c r="D21" s="2"/>
      <c r="E21" s="23">
        <v>100</v>
      </c>
      <c r="F21" s="23">
        <f t="shared" si="1"/>
        <v>30</v>
      </c>
      <c r="G21" s="2"/>
    </row>
    <row r="22" spans="2:7" x14ac:dyDescent="0.25">
      <c r="B22" s="153">
        <v>46131</v>
      </c>
      <c r="C22" s="2" t="s">
        <v>6795</v>
      </c>
      <c r="D22" s="2"/>
      <c r="E22" s="23">
        <v>108</v>
      </c>
      <c r="F22" s="23">
        <f t="shared" si="1"/>
        <v>8</v>
      </c>
      <c r="G22" s="2"/>
    </row>
    <row r="23" spans="2:7" x14ac:dyDescent="0.25">
      <c r="B23" s="153">
        <v>46132</v>
      </c>
      <c r="C23" s="2" t="s">
        <v>6795</v>
      </c>
      <c r="D23" s="2"/>
      <c r="E23" s="23">
        <v>110</v>
      </c>
      <c r="F23" s="23">
        <v>2</v>
      </c>
      <c r="G23" s="2"/>
    </row>
    <row r="24" spans="2:7" x14ac:dyDescent="0.25">
      <c r="B24" s="153">
        <v>46133</v>
      </c>
      <c r="C24" s="2" t="s">
        <v>6844</v>
      </c>
      <c r="D24" s="2"/>
      <c r="E24" s="23">
        <v>110</v>
      </c>
      <c r="F24" s="23">
        <f t="shared" si="1"/>
        <v>0</v>
      </c>
      <c r="G24" s="2"/>
    </row>
    <row r="25" spans="2:7" x14ac:dyDescent="0.25">
      <c r="B25" s="153">
        <v>46134</v>
      </c>
      <c r="C25" s="2" t="s">
        <v>6864</v>
      </c>
      <c r="D25" s="2"/>
      <c r="E25" s="23">
        <v>110</v>
      </c>
      <c r="F25" s="23">
        <f t="shared" si="1"/>
        <v>0</v>
      </c>
      <c r="G25" s="2"/>
    </row>
    <row r="26" spans="2:7" x14ac:dyDescent="0.25">
      <c r="B26" s="153">
        <v>46135</v>
      </c>
      <c r="C26" s="2" t="s">
        <v>6875</v>
      </c>
      <c r="D26" s="2"/>
      <c r="E26" s="23">
        <v>110</v>
      </c>
      <c r="F26" s="23">
        <f t="shared" si="1"/>
        <v>0</v>
      </c>
      <c r="G26" s="2"/>
    </row>
    <row r="27" spans="2:7" x14ac:dyDescent="0.25">
      <c r="B27" s="153">
        <v>46136</v>
      </c>
      <c r="C27" s="2" t="s">
        <v>6894</v>
      </c>
      <c r="D27" s="2" t="s">
        <v>6895</v>
      </c>
      <c r="E27" s="23">
        <v>110</v>
      </c>
      <c r="F27" s="23">
        <f t="shared" si="1"/>
        <v>0</v>
      </c>
      <c r="G27" s="2"/>
    </row>
    <row r="28" spans="2:7" x14ac:dyDescent="0.25">
      <c r="B28" s="153">
        <v>46137</v>
      </c>
      <c r="C28" s="2" t="s">
        <v>6896</v>
      </c>
      <c r="D28" s="2"/>
      <c r="E28" s="23">
        <v>110</v>
      </c>
      <c r="F28" s="23">
        <f t="shared" si="1"/>
        <v>0</v>
      </c>
      <c r="G28" s="2"/>
    </row>
    <row r="29" spans="2:7" x14ac:dyDescent="0.25">
      <c r="B29" s="153">
        <v>46138</v>
      </c>
      <c r="C29" s="2" t="s">
        <v>6897</v>
      </c>
      <c r="D29" s="2" t="s">
        <v>6898</v>
      </c>
      <c r="E29" s="23">
        <v>110</v>
      </c>
      <c r="F29" s="23">
        <f t="shared" si="1"/>
        <v>0</v>
      </c>
      <c r="G29" s="2"/>
    </row>
    <row r="30" spans="2:7" x14ac:dyDescent="0.25">
      <c r="B30" s="153">
        <v>46139</v>
      </c>
      <c r="C30" s="2" t="s">
        <v>6914</v>
      </c>
      <c r="D30" s="2" t="s">
        <v>6915</v>
      </c>
      <c r="E30" s="23">
        <v>110</v>
      </c>
      <c r="F30" s="23">
        <f t="shared" si="1"/>
        <v>0</v>
      </c>
      <c r="G30" s="2"/>
    </row>
    <row r="31" spans="2:7" x14ac:dyDescent="0.25">
      <c r="B31" s="153">
        <v>46140</v>
      </c>
      <c r="C31" s="2" t="s">
        <v>6936</v>
      </c>
      <c r="D31" s="2"/>
      <c r="E31" s="23">
        <v>113</v>
      </c>
      <c r="F31" s="23">
        <f t="shared" si="1"/>
        <v>3</v>
      </c>
      <c r="G31" s="2"/>
    </row>
    <row r="32" spans="2:7" x14ac:dyDescent="0.25">
      <c r="B32" s="153">
        <v>46141</v>
      </c>
      <c r="C32" s="2"/>
      <c r="D32" s="2"/>
      <c r="E32" s="23">
        <v>113</v>
      </c>
      <c r="F32" s="23">
        <f t="shared" si="1"/>
        <v>0</v>
      </c>
      <c r="G32" s="2"/>
    </row>
    <row r="33" spans="2:10" x14ac:dyDescent="0.25">
      <c r="B33" s="153">
        <v>46142</v>
      </c>
      <c r="C33" s="2"/>
      <c r="D33" s="2"/>
      <c r="E33" s="23">
        <v>113</v>
      </c>
      <c r="F33" s="23">
        <f t="shared" si="1"/>
        <v>0</v>
      </c>
      <c r="G33" s="2"/>
    </row>
    <row r="34" spans="2:10" x14ac:dyDescent="0.25">
      <c r="B34" s="153">
        <v>46143</v>
      </c>
      <c r="C34" s="2" t="s">
        <v>6956</v>
      </c>
      <c r="D34" s="2"/>
      <c r="E34" s="23">
        <v>125</v>
      </c>
      <c r="F34" s="23">
        <f t="shared" si="1"/>
        <v>12</v>
      </c>
      <c r="G34" s="2"/>
      <c r="I34">
        <v>140</v>
      </c>
    </row>
    <row r="35" spans="2:10" x14ac:dyDescent="0.25">
      <c r="B35" s="153">
        <v>46144</v>
      </c>
      <c r="C35" s="2" t="s">
        <v>6957</v>
      </c>
      <c r="D35" s="2" t="s">
        <v>7044</v>
      </c>
      <c r="E35" s="23">
        <v>131</v>
      </c>
      <c r="F35" s="23">
        <f t="shared" si="1"/>
        <v>6</v>
      </c>
      <c r="G35" s="2"/>
      <c r="I35">
        <v>4</v>
      </c>
    </row>
    <row r="36" spans="2:10" x14ac:dyDescent="0.25">
      <c r="B36" s="153">
        <v>46145</v>
      </c>
      <c r="C36" s="2" t="s">
        <v>6958</v>
      </c>
      <c r="D36" s="2"/>
      <c r="E36" s="23">
        <v>135</v>
      </c>
      <c r="F36" s="23">
        <f t="shared" si="1"/>
        <v>4</v>
      </c>
      <c r="G36" s="2"/>
      <c r="I36">
        <f>I34/I35</f>
        <v>35</v>
      </c>
      <c r="J36" t="s">
        <v>6966</v>
      </c>
    </row>
    <row r="37" spans="2:10" x14ac:dyDescent="0.25">
      <c r="B37" s="153">
        <v>46146</v>
      </c>
      <c r="C37" s="2" t="s">
        <v>6962</v>
      </c>
      <c r="D37" s="2"/>
      <c r="E37" s="23">
        <v>139</v>
      </c>
      <c r="F37" s="23">
        <f t="shared" si="1"/>
        <v>4</v>
      </c>
      <c r="G37" s="2"/>
      <c r="I37">
        <v>3.9</v>
      </c>
    </row>
    <row r="38" spans="2:10" x14ac:dyDescent="0.25">
      <c r="B38" s="153">
        <v>46147</v>
      </c>
      <c r="C38" s="2" t="s">
        <v>6970</v>
      </c>
      <c r="D38" s="2" t="s">
        <v>6971</v>
      </c>
      <c r="E38" s="23">
        <v>142</v>
      </c>
      <c r="F38" s="23">
        <f t="shared" si="1"/>
        <v>3</v>
      </c>
      <c r="G38" s="2"/>
      <c r="I38">
        <f>I36*I37</f>
        <v>136.5</v>
      </c>
    </row>
    <row r="39" spans="2:10" x14ac:dyDescent="0.25">
      <c r="B39" s="153">
        <v>46148</v>
      </c>
      <c r="C39" s="2" t="s">
        <v>6979</v>
      </c>
      <c r="D39" s="2"/>
      <c r="E39" s="23"/>
      <c r="F39" s="23">
        <f t="shared" si="1"/>
        <v>-142</v>
      </c>
      <c r="G39" s="2"/>
    </row>
    <row r="40" spans="2:10" x14ac:dyDescent="0.25">
      <c r="B40" s="153">
        <v>46149</v>
      </c>
      <c r="C40" s="2" t="s">
        <v>6990</v>
      </c>
      <c r="D40" s="2"/>
      <c r="E40" s="23"/>
      <c r="F40" s="23">
        <f t="shared" si="1"/>
        <v>0</v>
      </c>
      <c r="G40" s="2"/>
    </row>
    <row r="41" spans="2:10" x14ac:dyDescent="0.25">
      <c r="B41" s="153">
        <v>46150</v>
      </c>
      <c r="C41" s="2" t="s">
        <v>6170</v>
      </c>
      <c r="D41" s="2"/>
      <c r="E41" s="23"/>
      <c r="F41" s="23">
        <f t="shared" si="1"/>
        <v>0</v>
      </c>
      <c r="G41" s="2"/>
    </row>
    <row r="42" spans="2:10" x14ac:dyDescent="0.25">
      <c r="B42" s="153">
        <v>46151</v>
      </c>
      <c r="C42" s="2"/>
      <c r="D42" s="2"/>
      <c r="E42" s="23"/>
      <c r="F42" s="23">
        <f t="shared" si="1"/>
        <v>0</v>
      </c>
      <c r="G42" s="2"/>
    </row>
    <row r="43" spans="2:10" x14ac:dyDescent="0.25">
      <c r="B43" s="153">
        <v>46152</v>
      </c>
      <c r="C43" s="2"/>
      <c r="D43" s="2"/>
      <c r="E43" s="23"/>
      <c r="F43" s="23">
        <f t="shared" si="1"/>
        <v>0</v>
      </c>
      <c r="G43" s="2"/>
    </row>
    <row r="44" spans="2:10" x14ac:dyDescent="0.25">
      <c r="B44" s="153">
        <v>46153</v>
      </c>
      <c r="C44" s="2" t="s">
        <v>7019</v>
      </c>
      <c r="D44" s="2"/>
      <c r="E44" s="23"/>
      <c r="F44" s="23">
        <f t="shared" si="1"/>
        <v>0</v>
      </c>
      <c r="G44" s="2"/>
    </row>
    <row r="45" spans="2:10" x14ac:dyDescent="0.25">
      <c r="B45" s="153">
        <v>46154</v>
      </c>
      <c r="C45" s="2" t="s">
        <v>7022</v>
      </c>
      <c r="D45" s="2"/>
      <c r="E45" s="23"/>
      <c r="F45" s="23">
        <f t="shared" si="1"/>
        <v>0</v>
      </c>
      <c r="G45" s="2"/>
    </row>
    <row r="46" spans="2:10" x14ac:dyDescent="0.25">
      <c r="B46" s="153">
        <v>46155</v>
      </c>
      <c r="C46" s="2" t="s">
        <v>3862</v>
      </c>
      <c r="D46" s="2" t="s">
        <v>7028</v>
      </c>
      <c r="E46" s="23"/>
      <c r="F46" s="23">
        <f t="shared" si="1"/>
        <v>0</v>
      </c>
      <c r="G46" s="2"/>
    </row>
    <row r="47" spans="2:10" x14ac:dyDescent="0.25">
      <c r="B47" s="153">
        <v>46156</v>
      </c>
      <c r="C47" s="2" t="s">
        <v>7035</v>
      </c>
      <c r="D47" s="2"/>
      <c r="E47" s="23"/>
      <c r="F47" s="23">
        <f t="shared" si="1"/>
        <v>0</v>
      </c>
      <c r="G47" s="2"/>
    </row>
    <row r="48" spans="2:10" x14ac:dyDescent="0.25">
      <c r="B48" s="153">
        <v>46157</v>
      </c>
      <c r="C48" s="2"/>
      <c r="D48" s="2"/>
      <c r="E48" s="23"/>
      <c r="F48" s="23">
        <f t="shared" si="1"/>
        <v>0</v>
      </c>
      <c r="G48" s="2"/>
    </row>
    <row r="49" spans="2:7" x14ac:dyDescent="0.25">
      <c r="B49" s="153">
        <v>46158</v>
      </c>
      <c r="C49" s="2"/>
      <c r="D49" s="2"/>
      <c r="E49" s="23"/>
      <c r="F49" s="23">
        <f t="shared" si="1"/>
        <v>0</v>
      </c>
      <c r="G49" s="2"/>
    </row>
    <row r="50" spans="2:7" x14ac:dyDescent="0.25">
      <c r="B50" s="153">
        <v>46159</v>
      </c>
      <c r="C50" s="2"/>
      <c r="D50" s="2"/>
      <c r="E50" s="23"/>
      <c r="F50" s="23"/>
      <c r="G50" s="2"/>
    </row>
    <row r="51" spans="2:7" x14ac:dyDescent="0.25">
      <c r="B51" s="153">
        <v>46160</v>
      </c>
      <c r="C51" s="2"/>
      <c r="D51" s="2"/>
      <c r="E51" s="23"/>
      <c r="F51" s="23"/>
      <c r="G51" s="2"/>
    </row>
    <row r="52" spans="2:7" x14ac:dyDescent="0.25">
      <c r="B52" s="153">
        <v>46161</v>
      </c>
      <c r="C52" s="2"/>
      <c r="D52" s="2"/>
      <c r="E52" s="23"/>
      <c r="F52" s="23"/>
      <c r="G52" s="2"/>
    </row>
    <row r="53" spans="2:7" x14ac:dyDescent="0.25">
      <c r="B53" s="153"/>
      <c r="C53" s="2"/>
      <c r="D53" s="2"/>
      <c r="E53" s="23"/>
      <c r="F53" s="23"/>
      <c r="G53" s="2"/>
    </row>
    <row r="54" spans="2:7" x14ac:dyDescent="0.25">
      <c r="B54" s="153"/>
      <c r="C54" s="2"/>
      <c r="D54" s="2"/>
      <c r="E54" s="23"/>
      <c r="F54" s="23"/>
      <c r="G54" s="2"/>
    </row>
    <row r="55" spans="2:7" x14ac:dyDescent="0.25">
      <c r="B55" s="153"/>
      <c r="C55" s="2"/>
      <c r="D55" s="2"/>
      <c r="E55" s="23"/>
      <c r="F55" s="23"/>
      <c r="G55" s="2"/>
    </row>
    <row r="56" spans="2:7" x14ac:dyDescent="0.25">
      <c r="B56" s="153"/>
      <c r="C56" s="2"/>
      <c r="D56" s="2"/>
      <c r="E56" s="23"/>
      <c r="F56" s="23"/>
      <c r="G56" s="2"/>
    </row>
    <row r="57" spans="2:7" x14ac:dyDescent="0.25">
      <c r="B57" s="153"/>
      <c r="C57" s="2"/>
      <c r="D57" s="2"/>
      <c r="E57" s="23"/>
      <c r="F57" s="23"/>
      <c r="G57" s="2"/>
    </row>
    <row r="58" spans="2:7" x14ac:dyDescent="0.25">
      <c r="B58" s="153"/>
      <c r="C58" s="2"/>
      <c r="D58" s="2"/>
      <c r="E58" s="23"/>
      <c r="F58" s="23"/>
      <c r="G58" s="2"/>
    </row>
    <row r="59" spans="2:7" x14ac:dyDescent="0.25">
      <c r="B59" s="153"/>
      <c r="C59" s="2"/>
      <c r="D59" s="2"/>
      <c r="E59" s="23"/>
      <c r="F59" s="23"/>
      <c r="G59" s="2"/>
    </row>
    <row r="60" spans="2:7" x14ac:dyDescent="0.25">
      <c r="B60" s="153"/>
      <c r="C60" s="2"/>
      <c r="D60" s="2"/>
      <c r="E60" s="23"/>
      <c r="F60" s="23"/>
      <c r="G60" s="2"/>
    </row>
    <row r="61" spans="2:7" x14ac:dyDescent="0.25">
      <c r="B61" s="153"/>
      <c r="C61" s="2"/>
      <c r="D61" s="2"/>
      <c r="E61" s="23"/>
      <c r="F61" s="23"/>
      <c r="G61" s="2"/>
    </row>
    <row r="62" spans="2:7" x14ac:dyDescent="0.25">
      <c r="B62" s="153"/>
      <c r="C62" s="2"/>
      <c r="D62" s="2"/>
      <c r="E62" s="23"/>
      <c r="F62" s="23"/>
      <c r="G62" s="2"/>
    </row>
    <row r="63" spans="2:7" x14ac:dyDescent="0.25">
      <c r="B63" s="153"/>
      <c r="C63" s="2"/>
      <c r="D63" s="2"/>
      <c r="E63" s="23"/>
      <c r="F63" s="23"/>
      <c r="G63" s="2"/>
    </row>
    <row r="64" spans="2:7" x14ac:dyDescent="0.25">
      <c r="B64" s="153"/>
      <c r="C64" s="2"/>
      <c r="D64" s="2"/>
      <c r="E64" s="23"/>
      <c r="F64" s="23"/>
      <c r="G64" s="2"/>
    </row>
    <row r="65" spans="2:7" x14ac:dyDescent="0.25">
      <c r="B65" s="153"/>
      <c r="C65" s="2"/>
      <c r="D65" s="2"/>
      <c r="E65" s="23"/>
      <c r="F65" s="23"/>
      <c r="G65" s="2"/>
    </row>
    <row r="66" spans="2:7" x14ac:dyDescent="0.25">
      <c r="B66" s="153"/>
      <c r="C66" s="2"/>
      <c r="D66" s="2"/>
      <c r="E66" s="23"/>
      <c r="F66" s="23"/>
      <c r="G66" s="2"/>
    </row>
    <row r="67" spans="2:7" x14ac:dyDescent="0.25">
      <c r="B67" s="153"/>
      <c r="C67" s="2"/>
      <c r="D67" s="2"/>
      <c r="E67" s="23"/>
      <c r="F67" s="23"/>
      <c r="G67" s="2"/>
    </row>
    <row r="68" spans="2:7" x14ac:dyDescent="0.25">
      <c r="B68" s="153"/>
      <c r="C68" s="2"/>
      <c r="D68" s="2"/>
      <c r="E68" s="23"/>
      <c r="F68" s="23"/>
      <c r="G68" s="2"/>
    </row>
    <row r="69" spans="2:7" x14ac:dyDescent="0.25">
      <c r="B69" s="153"/>
      <c r="C69" s="2"/>
      <c r="D69" s="2"/>
      <c r="E69" s="23"/>
      <c r="F69" s="23"/>
      <c r="G69" s="2"/>
    </row>
    <row r="70" spans="2:7" x14ac:dyDescent="0.25">
      <c r="B70" s="153"/>
      <c r="C70" s="2"/>
      <c r="D70" s="2"/>
      <c r="E70" s="23"/>
      <c r="F70" s="23"/>
      <c r="G70" s="2"/>
    </row>
    <row r="71" spans="2:7" x14ac:dyDescent="0.25">
      <c r="B71" s="153"/>
      <c r="C71" s="2"/>
      <c r="D71" s="2"/>
      <c r="E71" s="23"/>
      <c r="F71" s="23"/>
      <c r="G71" s="2"/>
    </row>
    <row r="72" spans="2:7" x14ac:dyDescent="0.25">
      <c r="B72" s="153"/>
      <c r="C72" s="2"/>
      <c r="D72" s="2"/>
      <c r="E72" s="23"/>
      <c r="F72" s="23"/>
      <c r="G72" s="2"/>
    </row>
    <row r="73" spans="2:7" x14ac:dyDescent="0.25">
      <c r="B73" s="153"/>
      <c r="C73" s="2"/>
      <c r="D73" s="2"/>
      <c r="E73" s="23"/>
      <c r="F73" s="23"/>
      <c r="G73" s="2"/>
    </row>
    <row r="74" spans="2:7" x14ac:dyDescent="0.25">
      <c r="B74" s="153"/>
      <c r="C74" s="2"/>
      <c r="D74" s="2"/>
      <c r="E74" s="23"/>
      <c r="F74" s="23"/>
      <c r="G74" s="2"/>
    </row>
    <row r="75" spans="2:7" x14ac:dyDescent="0.25">
      <c r="B75" s="153"/>
      <c r="C75" s="2"/>
      <c r="D75" s="2"/>
      <c r="E75" s="23"/>
      <c r="F75" s="23"/>
      <c r="G75" s="2"/>
    </row>
    <row r="76" spans="2:7" x14ac:dyDescent="0.25">
      <c r="B76" s="153"/>
      <c r="C76" s="2"/>
      <c r="D76" s="2"/>
      <c r="E76" s="23"/>
      <c r="F76" s="23"/>
      <c r="G76" s="2"/>
    </row>
    <row r="77" spans="2:7" x14ac:dyDescent="0.25">
      <c r="B77" s="153"/>
      <c r="C77" s="2"/>
      <c r="D77" s="2"/>
      <c r="E77" s="23"/>
      <c r="F77" s="23"/>
      <c r="G77" s="2"/>
    </row>
    <row r="78" spans="2:7" x14ac:dyDescent="0.25">
      <c r="B78" s="153"/>
      <c r="C78" s="2"/>
      <c r="D78" s="2"/>
      <c r="E78" s="23"/>
      <c r="F78" s="23"/>
      <c r="G78" s="2"/>
    </row>
    <row r="79" spans="2:7" x14ac:dyDescent="0.25">
      <c r="B79" s="153"/>
      <c r="C79" s="2"/>
      <c r="D79" s="2"/>
      <c r="E79" s="23"/>
      <c r="F79" s="23"/>
      <c r="G79" s="2"/>
    </row>
    <row r="80" spans="2:7" x14ac:dyDescent="0.25">
      <c r="B80" s="153"/>
      <c r="C80" s="2"/>
      <c r="D80" s="2"/>
      <c r="E80" s="23"/>
      <c r="F80" s="23"/>
      <c r="G80" s="2"/>
    </row>
    <row r="81" spans="2:7" x14ac:dyDescent="0.25">
      <c r="B81" s="153"/>
      <c r="C81" s="2"/>
      <c r="D81" s="2"/>
      <c r="E81" s="23"/>
      <c r="F81" s="23"/>
      <c r="G81" s="2"/>
    </row>
    <row r="82" spans="2:7" x14ac:dyDescent="0.25">
      <c r="B82" s="153"/>
      <c r="C82" s="2"/>
      <c r="D82" s="2"/>
      <c r="E82" s="23"/>
      <c r="F82" s="23"/>
      <c r="G82" s="2"/>
    </row>
    <row r="83" spans="2:7" x14ac:dyDescent="0.25">
      <c r="B83" s="153"/>
      <c r="C83" s="2"/>
      <c r="D83" s="2"/>
      <c r="E83" s="23"/>
      <c r="F83" s="23"/>
      <c r="G83" s="2"/>
    </row>
    <row r="84" spans="2:7" x14ac:dyDescent="0.25">
      <c r="B84" s="153"/>
      <c r="C84" s="2"/>
      <c r="D84" s="2"/>
      <c r="E84" s="23"/>
      <c r="F84" s="23"/>
      <c r="G84" s="2"/>
    </row>
    <row r="85" spans="2:7" x14ac:dyDescent="0.25">
      <c r="B85" s="153"/>
      <c r="C85" s="2"/>
      <c r="D85" s="2"/>
      <c r="E85" s="23"/>
      <c r="F85" s="23"/>
      <c r="G85" s="2"/>
    </row>
    <row r="86" spans="2:7" x14ac:dyDescent="0.25">
      <c r="B86" s="153"/>
      <c r="C86" s="2"/>
      <c r="D86" s="2"/>
      <c r="E86" s="23"/>
      <c r="F86" s="23"/>
      <c r="G86" s="2"/>
    </row>
    <row r="87" spans="2:7" x14ac:dyDescent="0.25">
      <c r="B87" s="153"/>
      <c r="C87" s="2"/>
      <c r="D87" s="2"/>
      <c r="E87" s="23"/>
      <c r="F87" s="23"/>
      <c r="G87" s="2"/>
    </row>
    <row r="88" spans="2:7" x14ac:dyDescent="0.25">
      <c r="B88" s="153"/>
      <c r="C88" s="2"/>
      <c r="D88" s="2"/>
      <c r="E88" s="23"/>
      <c r="F88" s="23"/>
      <c r="G88" s="2"/>
    </row>
    <row r="89" spans="2:7" x14ac:dyDescent="0.25">
      <c r="B89" s="153"/>
      <c r="C89" s="2"/>
      <c r="D89" s="2"/>
      <c r="E89" s="23"/>
      <c r="F89" s="23"/>
      <c r="G89" s="2"/>
    </row>
    <row r="90" spans="2:7" x14ac:dyDescent="0.25">
      <c r="B90" s="153"/>
      <c r="C90" s="2"/>
      <c r="D90" s="2"/>
      <c r="E90" s="23"/>
      <c r="F90" s="23"/>
      <c r="G90" s="2"/>
    </row>
    <row r="91" spans="2:7" x14ac:dyDescent="0.25">
      <c r="B91" s="153"/>
      <c r="C91" s="2"/>
      <c r="D91" s="2"/>
      <c r="E91" s="23"/>
      <c r="F91" s="23"/>
      <c r="G91" s="2"/>
    </row>
    <row r="92" spans="2:7" x14ac:dyDescent="0.25">
      <c r="B92" s="153"/>
      <c r="C92" s="2"/>
      <c r="D92" s="2"/>
      <c r="E92" s="23"/>
      <c r="F92" s="23"/>
      <c r="G92" s="2"/>
    </row>
    <row r="93" spans="2:7" x14ac:dyDescent="0.25">
      <c r="B93" s="153"/>
      <c r="C93" s="2"/>
      <c r="D93" s="2"/>
      <c r="E93" s="23"/>
      <c r="F93" s="23"/>
      <c r="G93" s="2"/>
    </row>
    <row r="94" spans="2:7" x14ac:dyDescent="0.25">
      <c r="B94" s="153"/>
      <c r="C94" s="2"/>
      <c r="D94" s="2"/>
      <c r="E94" s="23"/>
      <c r="F94" s="23"/>
      <c r="G94" s="2"/>
    </row>
    <row r="95" spans="2:7" x14ac:dyDescent="0.25">
      <c r="B95" s="153"/>
      <c r="C95" s="2"/>
      <c r="D95" s="2"/>
      <c r="E95" s="23"/>
      <c r="F95" s="23"/>
      <c r="G95" s="2"/>
    </row>
    <row r="96" spans="2:7" x14ac:dyDescent="0.25">
      <c r="B96" s="153"/>
      <c r="C96" s="2"/>
      <c r="D96" s="2"/>
      <c r="E96" s="23"/>
      <c r="F96" s="23"/>
      <c r="G96" s="2"/>
    </row>
    <row r="97" spans="2:7" x14ac:dyDescent="0.25">
      <c r="B97" s="153"/>
      <c r="C97" s="2"/>
      <c r="D97" s="2"/>
      <c r="E97" s="23"/>
      <c r="F97" s="23"/>
      <c r="G97" s="2"/>
    </row>
    <row r="98" spans="2:7" x14ac:dyDescent="0.25">
      <c r="B98" s="153"/>
      <c r="C98" s="2"/>
      <c r="D98" s="2"/>
      <c r="E98" s="23"/>
      <c r="F98" s="23"/>
      <c r="G98" s="2"/>
    </row>
    <row r="99" spans="2:7" x14ac:dyDescent="0.25">
      <c r="B99" s="153"/>
      <c r="C99" s="2"/>
      <c r="D99" s="2"/>
      <c r="E99" s="23"/>
      <c r="F99" s="23"/>
      <c r="G99" s="2"/>
    </row>
    <row r="100" spans="2:7" x14ac:dyDescent="0.25">
      <c r="B100" s="153"/>
      <c r="C100" s="2"/>
      <c r="D100" s="2"/>
      <c r="E100" s="23"/>
      <c r="F100" s="23"/>
      <c r="G100" s="2"/>
    </row>
    <row r="101" spans="2:7" x14ac:dyDescent="0.25">
      <c r="B101" s="153"/>
      <c r="C101" s="2"/>
      <c r="D101" s="2"/>
      <c r="E101" s="23"/>
      <c r="F101" s="23"/>
      <c r="G101" s="2"/>
    </row>
    <row r="102" spans="2:7" x14ac:dyDescent="0.25">
      <c r="B102" s="153"/>
      <c r="C102" s="2"/>
      <c r="D102" s="2"/>
      <c r="E102" s="23"/>
      <c r="F102" s="23"/>
      <c r="G102" s="2"/>
    </row>
    <row r="103" spans="2:7" x14ac:dyDescent="0.25">
      <c r="B103" s="153"/>
      <c r="C103" s="2"/>
      <c r="D103" s="2"/>
      <c r="E103" s="23"/>
      <c r="F103" s="23"/>
      <c r="G103" s="2"/>
    </row>
    <row r="104" spans="2:7" x14ac:dyDescent="0.25">
      <c r="B104" s="153"/>
      <c r="C104" s="2"/>
      <c r="D104" s="2"/>
      <c r="E104" s="23"/>
      <c r="F104" s="23"/>
      <c r="G104" s="2"/>
    </row>
    <row r="105" spans="2:7" x14ac:dyDescent="0.25">
      <c r="B105" s="153"/>
      <c r="C105" s="2"/>
      <c r="D105" s="2"/>
      <c r="E105" s="23"/>
      <c r="F105" s="23"/>
      <c r="G105" s="2"/>
    </row>
    <row r="106" spans="2:7" x14ac:dyDescent="0.25">
      <c r="B106" s="153"/>
      <c r="C106" s="2"/>
      <c r="D106" s="2"/>
      <c r="E106" s="23"/>
      <c r="F106" s="23"/>
      <c r="G106" s="2"/>
    </row>
    <row r="107" spans="2:7" x14ac:dyDescent="0.25">
      <c r="B107" s="153"/>
      <c r="C107" s="2"/>
      <c r="D107" s="2"/>
      <c r="E107" s="23"/>
      <c r="F107" s="23"/>
      <c r="G107" s="2"/>
    </row>
    <row r="108" spans="2:7" x14ac:dyDescent="0.25">
      <c r="B108" s="153"/>
      <c r="C108" s="2"/>
      <c r="D108" s="2"/>
      <c r="E108" s="23"/>
      <c r="F108" s="23"/>
      <c r="G108" s="2"/>
    </row>
    <row r="109" spans="2:7" x14ac:dyDescent="0.25">
      <c r="B109" s="153"/>
      <c r="C109" s="2"/>
      <c r="D109" s="2"/>
      <c r="E109" s="23"/>
      <c r="F109" s="23"/>
      <c r="G109" s="2"/>
    </row>
    <row r="110" spans="2:7" x14ac:dyDescent="0.25">
      <c r="B110" s="153"/>
      <c r="C110" s="2"/>
      <c r="D110" s="2"/>
      <c r="E110" s="23"/>
      <c r="F110" s="23"/>
      <c r="G110" s="2"/>
    </row>
    <row r="111" spans="2:7" x14ac:dyDescent="0.25">
      <c r="B111" s="153"/>
      <c r="C111" s="2"/>
      <c r="D111" s="2"/>
      <c r="E111" s="23"/>
      <c r="F111" s="23"/>
      <c r="G111" s="2"/>
    </row>
    <row r="112" spans="2:7" x14ac:dyDescent="0.25">
      <c r="B112" s="153"/>
      <c r="C112" s="2"/>
      <c r="D112" s="2"/>
      <c r="E112" s="23"/>
      <c r="F112" s="23"/>
      <c r="G112" s="2"/>
    </row>
    <row r="113" spans="2:7" x14ac:dyDescent="0.25">
      <c r="B113" s="153"/>
      <c r="C113" s="2"/>
      <c r="D113" s="2"/>
      <c r="E113" s="23"/>
      <c r="F113" s="23"/>
      <c r="G113" s="2"/>
    </row>
    <row r="114" spans="2:7" x14ac:dyDescent="0.25">
      <c r="B114" s="153"/>
      <c r="C114" s="2"/>
      <c r="D114" s="2"/>
      <c r="E114" s="23"/>
      <c r="F114" s="23"/>
      <c r="G114" s="2"/>
    </row>
    <row r="115" spans="2:7" x14ac:dyDescent="0.25">
      <c r="B115" s="153"/>
      <c r="C115" s="2"/>
      <c r="D115" s="2"/>
      <c r="E115" s="23"/>
      <c r="F115" s="23"/>
      <c r="G115" s="2"/>
    </row>
    <row r="116" spans="2:7" x14ac:dyDescent="0.25">
      <c r="B116" s="153"/>
      <c r="C116" s="2"/>
      <c r="D116" s="2"/>
      <c r="E116" s="23"/>
      <c r="F116" s="23"/>
      <c r="G116" s="2"/>
    </row>
    <row r="117" spans="2:7" x14ac:dyDescent="0.25">
      <c r="B117" s="153"/>
      <c r="C117" s="2"/>
      <c r="D117" s="2"/>
      <c r="E117" s="23"/>
      <c r="F117" s="23"/>
      <c r="G117" s="2"/>
    </row>
    <row r="118" spans="2:7" x14ac:dyDescent="0.25">
      <c r="B118" s="153"/>
      <c r="C118" s="2"/>
      <c r="D118" s="2"/>
      <c r="E118" s="23"/>
      <c r="F118" s="23"/>
      <c r="G118" s="2"/>
    </row>
    <row r="119" spans="2:7" x14ac:dyDescent="0.25">
      <c r="B119" s="153"/>
      <c r="C119" s="2"/>
      <c r="D119" s="2"/>
      <c r="E119" s="23"/>
      <c r="F119" s="23"/>
      <c r="G119" s="2"/>
    </row>
    <row r="120" spans="2:7" x14ac:dyDescent="0.25">
      <c r="B120" s="153"/>
      <c r="C120" s="2"/>
      <c r="D120" s="2"/>
      <c r="E120" s="23"/>
      <c r="F120" s="23"/>
      <c r="G120" s="2"/>
    </row>
    <row r="121" spans="2:7" x14ac:dyDescent="0.25">
      <c r="B121" s="153"/>
      <c r="C121" s="2"/>
      <c r="D121" s="2"/>
      <c r="E121" s="23"/>
      <c r="F121" s="23"/>
      <c r="G121" s="2"/>
    </row>
    <row r="122" spans="2:7" x14ac:dyDescent="0.25">
      <c r="B122" s="153"/>
      <c r="C122" s="2"/>
      <c r="D122" s="2"/>
      <c r="E122" s="23"/>
      <c r="F122" s="23"/>
      <c r="G122" s="2"/>
    </row>
    <row r="123" spans="2:7" x14ac:dyDescent="0.25">
      <c r="B123" s="153"/>
      <c r="C123" s="2"/>
      <c r="D123" s="2"/>
      <c r="E123" s="23"/>
      <c r="F123" s="23"/>
      <c r="G123" s="2"/>
    </row>
    <row r="124" spans="2:7" x14ac:dyDescent="0.25">
      <c r="B124" s="153"/>
      <c r="C124" s="2"/>
      <c r="D124" s="2"/>
      <c r="E124" s="23"/>
      <c r="F124" s="23"/>
      <c r="G124" s="2"/>
    </row>
    <row r="125" spans="2:7" x14ac:dyDescent="0.25">
      <c r="B125" s="153"/>
      <c r="C125" s="2"/>
      <c r="D125" s="2"/>
      <c r="E125" s="23"/>
      <c r="F125" s="23"/>
      <c r="G125" s="2"/>
    </row>
    <row r="126" spans="2:7" x14ac:dyDescent="0.25">
      <c r="B126" s="153"/>
      <c r="C126" s="2"/>
      <c r="D126" s="2"/>
      <c r="E126" s="23"/>
      <c r="F126" s="23"/>
      <c r="G126" s="2"/>
    </row>
    <row r="127" spans="2:7" x14ac:dyDescent="0.25">
      <c r="B127" s="153"/>
      <c r="C127" s="2"/>
      <c r="D127" s="2"/>
      <c r="E127" s="23"/>
      <c r="F127" s="23"/>
      <c r="G127" s="2"/>
    </row>
    <row r="128" spans="2:7" x14ac:dyDescent="0.25">
      <c r="B128" s="153"/>
      <c r="C128" s="2"/>
      <c r="D128" s="2"/>
      <c r="E128" s="23"/>
      <c r="F128" s="23"/>
      <c r="G128" s="2"/>
    </row>
    <row r="129" spans="2:7" x14ac:dyDescent="0.25">
      <c r="B129" s="153"/>
      <c r="C129" s="2"/>
      <c r="D129" s="2"/>
      <c r="E129" s="23"/>
      <c r="F129" s="23"/>
      <c r="G129" s="2"/>
    </row>
    <row r="130" spans="2:7" x14ac:dyDescent="0.25">
      <c r="B130" s="153"/>
      <c r="C130" s="2"/>
      <c r="D130" s="2"/>
      <c r="E130" s="23"/>
      <c r="F130" s="23"/>
      <c r="G130" s="2"/>
    </row>
    <row r="131" spans="2:7" x14ac:dyDescent="0.25">
      <c r="B131" s="153"/>
      <c r="C131" s="2"/>
      <c r="D131" s="2"/>
      <c r="E131" s="23"/>
      <c r="F131" s="23"/>
      <c r="G131" s="2"/>
    </row>
    <row r="132" spans="2:7" x14ac:dyDescent="0.25">
      <c r="B132" s="153"/>
      <c r="C132" s="2"/>
      <c r="D132" s="2"/>
      <c r="E132" s="23"/>
      <c r="F132" s="23"/>
      <c r="G132" s="2"/>
    </row>
    <row r="133" spans="2:7" x14ac:dyDescent="0.25">
      <c r="B133" s="153"/>
      <c r="C133" s="2"/>
      <c r="D133" s="2"/>
      <c r="E133" s="23"/>
      <c r="F133" s="23"/>
      <c r="G133" s="2"/>
    </row>
    <row r="134" spans="2:7" x14ac:dyDescent="0.25">
      <c r="B134" s="153"/>
      <c r="C134" s="2"/>
      <c r="D134" s="2"/>
      <c r="E134" s="23"/>
      <c r="F134" s="23"/>
      <c r="G134" s="2"/>
    </row>
    <row r="135" spans="2:7" x14ac:dyDescent="0.25">
      <c r="B135" s="153"/>
      <c r="C135" s="2"/>
      <c r="D135" s="2"/>
      <c r="E135" s="23"/>
      <c r="F135" s="23"/>
      <c r="G135" s="2"/>
    </row>
    <row r="136" spans="2:7" x14ac:dyDescent="0.25">
      <c r="B136" s="153"/>
      <c r="C136" s="2"/>
      <c r="D136" s="2"/>
      <c r="E136" s="23"/>
      <c r="F136" s="23"/>
      <c r="G136" s="2"/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B2:G142"/>
  <sheetViews>
    <sheetView topLeftCell="A16" workbookViewId="0">
      <selection activeCell="C31" sqref="C31"/>
    </sheetView>
  </sheetViews>
  <sheetFormatPr defaultRowHeight="15" x14ac:dyDescent="0.25"/>
  <cols>
    <col min="2" max="2" width="18" bestFit="1" customWidth="1"/>
    <col min="3" max="3" width="72" bestFit="1" customWidth="1"/>
    <col min="4" max="4" width="42.140625" bestFit="1" customWidth="1"/>
    <col min="5" max="5" width="11.85546875" bestFit="1" customWidth="1"/>
    <col min="7" max="7" width="11" bestFit="1" customWidth="1"/>
  </cols>
  <sheetData>
    <row r="2" spans="2:7" x14ac:dyDescent="0.25">
      <c r="B2" s="144" t="s">
        <v>6093</v>
      </c>
    </row>
    <row r="3" spans="2:7" ht="15.75" x14ac:dyDescent="0.25">
      <c r="B3" s="10" t="s">
        <v>0</v>
      </c>
      <c r="C3" s="11" t="s">
        <v>1</v>
      </c>
      <c r="D3" s="11" t="s">
        <v>2</v>
      </c>
      <c r="E3" s="11" t="s">
        <v>934</v>
      </c>
      <c r="F3" s="11" t="s">
        <v>1095</v>
      </c>
      <c r="G3" s="11" t="s">
        <v>1507</v>
      </c>
    </row>
    <row r="4" spans="2:7" x14ac:dyDescent="0.25">
      <c r="B4" s="4">
        <v>46056</v>
      </c>
      <c r="C4" s="2" t="s">
        <v>5047</v>
      </c>
      <c r="D4" s="2"/>
      <c r="E4" s="23"/>
      <c r="F4" s="2"/>
      <c r="G4" s="2"/>
    </row>
    <row r="5" spans="2:7" x14ac:dyDescent="0.25">
      <c r="B5" s="4">
        <v>46057</v>
      </c>
      <c r="C5" s="2" t="s">
        <v>6478</v>
      </c>
      <c r="D5" s="2"/>
      <c r="E5" s="23"/>
      <c r="F5" s="2"/>
      <c r="G5" s="2"/>
    </row>
    <row r="6" spans="2:7" x14ac:dyDescent="0.25">
      <c r="B6" s="4">
        <v>46058</v>
      </c>
      <c r="C6" s="2" t="s">
        <v>6479</v>
      </c>
      <c r="D6" s="2"/>
      <c r="E6" s="23"/>
      <c r="F6" s="2"/>
      <c r="G6" s="2"/>
    </row>
    <row r="7" spans="2:7" x14ac:dyDescent="0.25">
      <c r="B7" s="4">
        <v>46059</v>
      </c>
      <c r="C7" s="2" t="s">
        <v>6480</v>
      </c>
      <c r="D7" s="58"/>
      <c r="E7" s="23"/>
      <c r="F7" s="2"/>
      <c r="G7" s="2"/>
    </row>
    <row r="8" spans="2:7" x14ac:dyDescent="0.25">
      <c r="B8" s="4">
        <v>46060</v>
      </c>
      <c r="C8" s="2" t="s">
        <v>6479</v>
      </c>
      <c r="D8" s="58" t="s">
        <v>6481</v>
      </c>
      <c r="E8" s="23"/>
      <c r="F8" s="2"/>
      <c r="G8" s="2"/>
    </row>
    <row r="9" spans="2:7" x14ac:dyDescent="0.25">
      <c r="B9" s="4">
        <v>46061</v>
      </c>
      <c r="C9" s="2" t="s">
        <v>6482</v>
      </c>
      <c r="D9" s="58"/>
      <c r="E9" s="23"/>
      <c r="F9" s="2"/>
      <c r="G9" s="2"/>
    </row>
    <row r="10" spans="2:7" x14ac:dyDescent="0.25">
      <c r="B10" s="4">
        <v>46062</v>
      </c>
      <c r="C10" s="2" t="s">
        <v>6484</v>
      </c>
      <c r="D10" s="58" t="s">
        <v>6483</v>
      </c>
      <c r="E10" s="2"/>
      <c r="F10" s="2"/>
      <c r="G10" s="2"/>
    </row>
    <row r="11" spans="2:7" x14ac:dyDescent="0.25">
      <c r="B11" s="4">
        <v>46063</v>
      </c>
      <c r="C11" s="2" t="s">
        <v>6490</v>
      </c>
      <c r="D11" s="2"/>
      <c r="E11" s="2"/>
      <c r="F11" s="2"/>
      <c r="G11" s="2"/>
    </row>
    <row r="12" spans="2:7" x14ac:dyDescent="0.25">
      <c r="B12" s="4">
        <v>46064</v>
      </c>
      <c r="C12" s="2" t="s">
        <v>6510</v>
      </c>
      <c r="D12" s="2"/>
      <c r="E12" s="2"/>
      <c r="F12" s="2"/>
      <c r="G12" s="2"/>
    </row>
    <row r="13" spans="2:7" x14ac:dyDescent="0.25">
      <c r="B13" s="4">
        <v>46065</v>
      </c>
      <c r="C13" s="2"/>
      <c r="D13" s="2"/>
      <c r="E13" s="2"/>
      <c r="F13" s="2"/>
      <c r="G13" s="2"/>
    </row>
    <row r="14" spans="2:7" x14ac:dyDescent="0.25">
      <c r="B14" s="4">
        <v>46066</v>
      </c>
      <c r="C14" s="2"/>
      <c r="D14" s="2"/>
      <c r="E14" s="2"/>
      <c r="F14" s="2"/>
      <c r="G14" s="2"/>
    </row>
    <row r="15" spans="2:7" x14ac:dyDescent="0.25">
      <c r="B15" s="4">
        <v>46067</v>
      </c>
      <c r="C15" s="2"/>
      <c r="D15" s="2"/>
      <c r="E15" s="2"/>
      <c r="F15" s="2"/>
      <c r="G15" s="2"/>
    </row>
    <row r="16" spans="2:7" x14ac:dyDescent="0.25">
      <c r="B16" s="4">
        <v>46068</v>
      </c>
      <c r="C16" s="2"/>
      <c r="D16" s="2"/>
      <c r="E16" s="2"/>
      <c r="F16" s="2"/>
      <c r="G16" s="2"/>
    </row>
    <row r="17" spans="2:7" x14ac:dyDescent="0.25">
      <c r="B17" s="4">
        <v>46069</v>
      </c>
      <c r="C17" s="2"/>
      <c r="D17" s="2"/>
      <c r="E17" s="2"/>
      <c r="F17" s="2"/>
      <c r="G17" s="2"/>
    </row>
    <row r="18" spans="2:7" x14ac:dyDescent="0.25">
      <c r="B18" s="4">
        <v>46070</v>
      </c>
      <c r="C18" s="2"/>
      <c r="D18" s="2"/>
      <c r="E18" s="2"/>
      <c r="F18" s="2"/>
      <c r="G18" s="2"/>
    </row>
    <row r="19" spans="2:7" x14ac:dyDescent="0.25">
      <c r="B19" s="4">
        <v>46071</v>
      </c>
      <c r="C19" s="2"/>
      <c r="D19" s="2"/>
      <c r="E19" s="2"/>
      <c r="F19" s="2"/>
      <c r="G19" s="2"/>
    </row>
    <row r="20" spans="2:7" x14ac:dyDescent="0.25">
      <c r="B20" s="4">
        <v>46072</v>
      </c>
      <c r="C20" s="2"/>
      <c r="D20" s="2"/>
      <c r="E20" s="2"/>
      <c r="F20" s="2"/>
      <c r="G20" s="2"/>
    </row>
    <row r="21" spans="2:7" x14ac:dyDescent="0.25">
      <c r="B21" s="4">
        <v>46073</v>
      </c>
      <c r="C21" s="2" t="s">
        <v>6569</v>
      </c>
      <c r="D21" s="2"/>
      <c r="E21" s="2"/>
      <c r="F21" s="2"/>
      <c r="G21" s="2"/>
    </row>
    <row r="22" spans="2:7" x14ac:dyDescent="0.25">
      <c r="B22" s="4">
        <v>46074</v>
      </c>
      <c r="C22" s="2"/>
      <c r="D22" s="2"/>
      <c r="E22" s="2"/>
      <c r="F22" s="2"/>
      <c r="G22" s="2"/>
    </row>
    <row r="23" spans="2:7" x14ac:dyDescent="0.25">
      <c r="B23" s="4">
        <v>46075</v>
      </c>
      <c r="C23" s="2" t="s">
        <v>6571</v>
      </c>
      <c r="D23" s="2"/>
      <c r="E23" s="2"/>
      <c r="F23" s="2"/>
      <c r="G23" s="2"/>
    </row>
    <row r="24" spans="2:7" x14ac:dyDescent="0.25">
      <c r="B24" s="4">
        <v>46076</v>
      </c>
      <c r="C24" s="2" t="s">
        <v>6581</v>
      </c>
      <c r="D24" s="2"/>
      <c r="E24" s="2"/>
      <c r="F24" s="2"/>
      <c r="G24" s="2"/>
    </row>
    <row r="25" spans="2:7" x14ac:dyDescent="0.25">
      <c r="B25" s="4">
        <v>46077</v>
      </c>
      <c r="C25" s="2" t="s">
        <v>6589</v>
      </c>
      <c r="D25" s="2"/>
      <c r="E25" s="2"/>
      <c r="F25" s="2"/>
      <c r="G25" s="2"/>
    </row>
    <row r="26" spans="2:7" x14ac:dyDescent="0.25">
      <c r="B26" s="4">
        <v>46078</v>
      </c>
      <c r="C26" s="2" t="s">
        <v>6595</v>
      </c>
      <c r="D26" s="2"/>
      <c r="E26" s="2"/>
      <c r="F26" s="2"/>
      <c r="G26" s="2"/>
    </row>
    <row r="27" spans="2:7" x14ac:dyDescent="0.25">
      <c r="B27" s="4">
        <v>46079</v>
      </c>
      <c r="C27" s="2" t="s">
        <v>6598</v>
      </c>
      <c r="D27" s="2"/>
      <c r="E27" s="2"/>
      <c r="F27" s="2"/>
      <c r="G27" s="2"/>
    </row>
    <row r="28" spans="2:7" x14ac:dyDescent="0.25">
      <c r="B28" s="4">
        <v>46080</v>
      </c>
      <c r="C28" s="2" t="s">
        <v>6610</v>
      </c>
      <c r="D28" s="2"/>
      <c r="E28" s="2"/>
      <c r="F28" s="2"/>
      <c r="G28" s="2"/>
    </row>
    <row r="29" spans="2:7" x14ac:dyDescent="0.25">
      <c r="B29" s="4">
        <v>46081</v>
      </c>
      <c r="C29" s="2" t="s">
        <v>6647</v>
      </c>
      <c r="D29" s="2"/>
      <c r="E29" s="2"/>
      <c r="F29" s="2"/>
      <c r="G29" s="2"/>
    </row>
    <row r="30" spans="2:7" x14ac:dyDescent="0.25">
      <c r="B30" s="4">
        <v>46082</v>
      </c>
      <c r="C30" s="2" t="s">
        <v>6648</v>
      </c>
      <c r="D30" s="2"/>
      <c r="E30" s="2"/>
      <c r="F30" s="2"/>
      <c r="G30" s="2"/>
    </row>
    <row r="31" spans="2:7" x14ac:dyDescent="0.25">
      <c r="B31" s="4">
        <v>46083</v>
      </c>
      <c r="C31" s="2" t="s">
        <v>4597</v>
      </c>
      <c r="D31" s="2"/>
      <c r="E31" s="2"/>
      <c r="F31" s="2"/>
      <c r="G31" s="2"/>
    </row>
    <row r="32" spans="2:7" x14ac:dyDescent="0.25">
      <c r="B32" s="4">
        <v>46084</v>
      </c>
      <c r="C32" s="2"/>
      <c r="D32" s="2"/>
      <c r="E32" s="2"/>
      <c r="F32" s="2"/>
      <c r="G32" s="2"/>
    </row>
    <row r="33" spans="2:7" x14ac:dyDescent="0.25">
      <c r="B33" s="4">
        <v>46085</v>
      </c>
      <c r="C33" s="2"/>
      <c r="D33" s="2"/>
      <c r="E33" s="2"/>
      <c r="F33" s="2"/>
      <c r="G33" s="2"/>
    </row>
    <row r="34" spans="2:7" x14ac:dyDescent="0.25">
      <c r="B34" s="4">
        <v>46086</v>
      </c>
      <c r="C34" s="2"/>
      <c r="D34" s="2"/>
      <c r="E34" s="2"/>
      <c r="F34" s="2"/>
      <c r="G34" s="2"/>
    </row>
    <row r="35" spans="2:7" x14ac:dyDescent="0.25">
      <c r="B35" s="4">
        <v>46087</v>
      </c>
      <c r="C35" s="2"/>
      <c r="D35" s="2"/>
      <c r="E35" s="2"/>
      <c r="F35" s="2"/>
      <c r="G35" s="2"/>
    </row>
    <row r="36" spans="2:7" x14ac:dyDescent="0.25">
      <c r="B36" s="4">
        <v>46088</v>
      </c>
      <c r="C36" s="2"/>
      <c r="D36" s="2"/>
      <c r="E36" s="2"/>
      <c r="F36" s="2"/>
      <c r="G36" s="2"/>
    </row>
    <row r="37" spans="2:7" x14ac:dyDescent="0.25">
      <c r="B37" s="4">
        <v>46089</v>
      </c>
      <c r="C37" s="2"/>
      <c r="D37" s="2"/>
      <c r="E37" s="2"/>
      <c r="F37" s="2"/>
      <c r="G37" s="2"/>
    </row>
    <row r="38" spans="2:7" x14ac:dyDescent="0.25">
      <c r="B38" s="4">
        <v>46090</v>
      </c>
      <c r="C38" s="2"/>
      <c r="D38" s="2"/>
      <c r="E38" s="2"/>
      <c r="F38" s="2"/>
      <c r="G38" s="2"/>
    </row>
    <row r="39" spans="2:7" x14ac:dyDescent="0.25">
      <c r="B39" s="4">
        <v>46091</v>
      </c>
      <c r="C39" s="2"/>
      <c r="D39" s="2"/>
      <c r="E39" s="2"/>
      <c r="F39" s="2"/>
      <c r="G39" s="2"/>
    </row>
    <row r="40" spans="2:7" x14ac:dyDescent="0.25">
      <c r="B40" s="4"/>
      <c r="C40" s="2"/>
      <c r="D40" s="2"/>
      <c r="E40" s="2"/>
      <c r="F40" s="2"/>
      <c r="G40" s="2"/>
    </row>
    <row r="41" spans="2:7" x14ac:dyDescent="0.25">
      <c r="B41" s="4"/>
      <c r="C41" s="2"/>
      <c r="D41" s="2"/>
      <c r="E41" s="2"/>
      <c r="F41" s="2"/>
      <c r="G41" s="2"/>
    </row>
    <row r="42" spans="2:7" x14ac:dyDescent="0.25">
      <c r="B42" s="4"/>
      <c r="C42" s="2"/>
      <c r="D42" s="2"/>
      <c r="E42" s="2"/>
      <c r="F42" s="2"/>
      <c r="G42" s="2"/>
    </row>
    <row r="43" spans="2:7" x14ac:dyDescent="0.25">
      <c r="B43" s="4"/>
      <c r="C43" s="2"/>
      <c r="D43" s="2"/>
      <c r="E43" s="2"/>
      <c r="F43" s="2"/>
      <c r="G43" s="2"/>
    </row>
    <row r="44" spans="2:7" x14ac:dyDescent="0.25">
      <c r="B44" s="4"/>
      <c r="C44" s="2"/>
      <c r="D44" s="2"/>
      <c r="E44" s="2"/>
      <c r="F44" s="2"/>
      <c r="G44" s="2"/>
    </row>
    <row r="45" spans="2:7" x14ac:dyDescent="0.25">
      <c r="B45" s="4"/>
      <c r="C45" s="2"/>
      <c r="D45" s="2"/>
      <c r="E45" s="2"/>
      <c r="F45" s="2"/>
      <c r="G45" s="2"/>
    </row>
    <row r="46" spans="2:7" x14ac:dyDescent="0.25">
      <c r="B46" s="4"/>
      <c r="C46" s="2"/>
      <c r="D46" s="2"/>
      <c r="E46" s="2"/>
      <c r="F46" s="2"/>
      <c r="G46" s="2"/>
    </row>
    <row r="47" spans="2:7" x14ac:dyDescent="0.25">
      <c r="B47" s="4"/>
      <c r="C47" s="2"/>
      <c r="D47" s="2"/>
      <c r="E47" s="2"/>
      <c r="F47" s="2"/>
      <c r="G47" s="2"/>
    </row>
    <row r="48" spans="2:7" x14ac:dyDescent="0.25">
      <c r="B48" s="4"/>
      <c r="C48" s="2"/>
      <c r="D48" s="2"/>
      <c r="E48" s="2"/>
      <c r="F48" s="2"/>
      <c r="G48" s="2"/>
    </row>
    <row r="49" spans="2:7" x14ac:dyDescent="0.25">
      <c r="B49" s="4"/>
      <c r="C49" s="2"/>
      <c r="D49" s="2"/>
      <c r="E49" s="2"/>
      <c r="F49" s="2"/>
      <c r="G49" s="2"/>
    </row>
    <row r="50" spans="2:7" x14ac:dyDescent="0.25">
      <c r="B50" s="4"/>
      <c r="C50" s="2"/>
      <c r="D50" s="2"/>
      <c r="E50" s="2"/>
      <c r="F50" s="2"/>
      <c r="G50" s="2"/>
    </row>
    <row r="51" spans="2:7" x14ac:dyDescent="0.25">
      <c r="B51" s="4"/>
      <c r="C51" s="2"/>
      <c r="D51" s="2"/>
      <c r="E51" s="2"/>
      <c r="F51" s="2"/>
      <c r="G51" s="2"/>
    </row>
    <row r="52" spans="2:7" x14ac:dyDescent="0.25">
      <c r="B52" s="4"/>
      <c r="C52" s="2"/>
      <c r="D52" s="2"/>
      <c r="E52" s="2"/>
      <c r="F52" s="2"/>
      <c r="G52" s="2"/>
    </row>
    <row r="53" spans="2:7" x14ac:dyDescent="0.25">
      <c r="B53" s="4"/>
      <c r="C53" s="2"/>
      <c r="D53" s="2"/>
      <c r="E53" s="2"/>
      <c r="F53" s="2"/>
      <c r="G53" s="2"/>
    </row>
    <row r="54" spans="2:7" x14ac:dyDescent="0.25">
      <c r="B54" s="4"/>
      <c r="C54" s="2"/>
      <c r="D54" s="2"/>
      <c r="E54" s="2"/>
      <c r="F54" s="2"/>
      <c r="G54" s="2"/>
    </row>
    <row r="55" spans="2:7" x14ac:dyDescent="0.25">
      <c r="B55" s="4"/>
      <c r="C55" s="2"/>
      <c r="D55" s="2"/>
      <c r="E55" s="2"/>
      <c r="F55" s="2"/>
      <c r="G55" s="2"/>
    </row>
    <row r="56" spans="2:7" x14ac:dyDescent="0.25">
      <c r="B56" s="4"/>
      <c r="C56" s="2"/>
      <c r="D56" s="2"/>
      <c r="E56" s="2"/>
      <c r="F56" s="2"/>
      <c r="G56" s="2"/>
    </row>
    <row r="57" spans="2:7" x14ac:dyDescent="0.25">
      <c r="B57" s="4"/>
      <c r="C57" s="2"/>
      <c r="D57" s="2"/>
      <c r="E57" s="2"/>
      <c r="F57" s="2"/>
      <c r="G57" s="2"/>
    </row>
    <row r="58" spans="2:7" x14ac:dyDescent="0.25">
      <c r="B58" s="4"/>
      <c r="C58" s="2"/>
      <c r="D58" s="2"/>
      <c r="E58" s="2"/>
      <c r="F58" s="2"/>
      <c r="G58" s="2"/>
    </row>
    <row r="59" spans="2:7" x14ac:dyDescent="0.25">
      <c r="B59" s="4"/>
      <c r="C59" s="2"/>
      <c r="D59" s="2"/>
      <c r="E59" s="2"/>
      <c r="F59" s="2"/>
      <c r="G59" s="2"/>
    </row>
    <row r="60" spans="2:7" x14ac:dyDescent="0.25">
      <c r="B60" s="4"/>
      <c r="C60" s="2"/>
      <c r="D60" s="2"/>
      <c r="E60" s="2"/>
      <c r="F60" s="2"/>
      <c r="G60" s="2"/>
    </row>
    <row r="61" spans="2:7" x14ac:dyDescent="0.25">
      <c r="B61" s="4"/>
      <c r="C61" s="2"/>
      <c r="D61" s="2"/>
      <c r="E61" s="2"/>
      <c r="F61" s="2"/>
      <c r="G61" s="2"/>
    </row>
    <row r="62" spans="2:7" x14ac:dyDescent="0.25">
      <c r="B62" s="4"/>
      <c r="C62" s="2"/>
      <c r="D62" s="2"/>
      <c r="E62" s="2"/>
      <c r="F62" s="2"/>
      <c r="G62" s="2"/>
    </row>
    <row r="63" spans="2:7" x14ac:dyDescent="0.25">
      <c r="B63" s="4"/>
      <c r="C63" s="2"/>
      <c r="D63" s="2"/>
      <c r="E63" s="2"/>
      <c r="F63" s="2"/>
      <c r="G63" s="2"/>
    </row>
    <row r="64" spans="2:7" x14ac:dyDescent="0.25">
      <c r="B64" s="4"/>
      <c r="C64" s="2"/>
      <c r="D64" s="2"/>
      <c r="E64" s="2"/>
      <c r="F64" s="2"/>
      <c r="G64" s="2"/>
    </row>
    <row r="65" spans="2:7" x14ac:dyDescent="0.25">
      <c r="B65" s="4"/>
      <c r="C65" s="2"/>
      <c r="D65" s="2"/>
      <c r="E65" s="2"/>
      <c r="F65" s="2"/>
      <c r="G65" s="2"/>
    </row>
    <row r="66" spans="2:7" x14ac:dyDescent="0.25">
      <c r="B66" s="4"/>
      <c r="C66" s="2"/>
      <c r="D66" s="2"/>
      <c r="E66" s="2"/>
      <c r="F66" s="2"/>
      <c r="G66" s="2"/>
    </row>
    <row r="67" spans="2:7" x14ac:dyDescent="0.25">
      <c r="B67" s="4"/>
      <c r="C67" s="2"/>
      <c r="D67" s="2"/>
      <c r="E67" s="2"/>
      <c r="F67" s="2"/>
      <c r="G67" s="2"/>
    </row>
    <row r="68" spans="2:7" x14ac:dyDescent="0.25">
      <c r="B68" s="4"/>
      <c r="C68" s="2"/>
      <c r="D68" s="2"/>
      <c r="E68" s="2"/>
      <c r="F68" s="2"/>
      <c r="G68" s="2"/>
    </row>
    <row r="69" spans="2:7" x14ac:dyDescent="0.25">
      <c r="B69" s="4"/>
      <c r="C69" s="2"/>
      <c r="D69" s="2"/>
      <c r="E69" s="2"/>
      <c r="F69" s="2"/>
      <c r="G69" s="2"/>
    </row>
    <row r="70" spans="2:7" x14ac:dyDescent="0.25">
      <c r="B70" s="4"/>
      <c r="C70" s="2"/>
      <c r="D70" s="2"/>
      <c r="E70" s="2"/>
      <c r="F70" s="2"/>
      <c r="G70" s="2"/>
    </row>
    <row r="71" spans="2:7" x14ac:dyDescent="0.25">
      <c r="B71" s="4"/>
      <c r="C71" s="2"/>
      <c r="D71" s="2"/>
      <c r="E71" s="2"/>
      <c r="F71" s="2"/>
      <c r="G71" s="2"/>
    </row>
    <row r="72" spans="2:7" x14ac:dyDescent="0.25">
      <c r="B72" s="4"/>
      <c r="C72" s="2"/>
      <c r="D72" s="2"/>
      <c r="E72" s="2"/>
      <c r="F72" s="2"/>
      <c r="G72" s="2"/>
    </row>
    <row r="73" spans="2:7" x14ac:dyDescent="0.25">
      <c r="B73" s="4"/>
      <c r="C73" s="2"/>
      <c r="D73" s="2"/>
      <c r="E73" s="2"/>
      <c r="F73" s="2"/>
      <c r="G73" s="2"/>
    </row>
    <row r="74" spans="2:7" x14ac:dyDescent="0.25">
      <c r="B74" s="4"/>
      <c r="C74" s="2"/>
      <c r="D74" s="2"/>
      <c r="E74" s="2"/>
      <c r="F74" s="2"/>
      <c r="G74" s="2"/>
    </row>
    <row r="75" spans="2:7" x14ac:dyDescent="0.25">
      <c r="B75" s="4"/>
      <c r="C75" s="2"/>
      <c r="D75" s="2"/>
      <c r="E75" s="2"/>
      <c r="F75" s="2"/>
      <c r="G75" s="2"/>
    </row>
    <row r="76" spans="2:7" x14ac:dyDescent="0.25">
      <c r="B76" s="4"/>
      <c r="C76" s="2"/>
      <c r="D76" s="2"/>
      <c r="E76" s="2"/>
      <c r="F76" s="2"/>
      <c r="G76" s="2"/>
    </row>
    <row r="77" spans="2:7" x14ac:dyDescent="0.25">
      <c r="B77" s="4"/>
      <c r="C77" s="2"/>
      <c r="D77" s="2"/>
      <c r="E77" s="2"/>
      <c r="F77" s="2"/>
      <c r="G77" s="2"/>
    </row>
    <row r="78" spans="2:7" x14ac:dyDescent="0.25">
      <c r="B78" s="4"/>
      <c r="C78" s="2"/>
      <c r="D78" s="2"/>
      <c r="E78" s="2"/>
      <c r="F78" s="2"/>
      <c r="G78" s="2"/>
    </row>
    <row r="79" spans="2:7" x14ac:dyDescent="0.25">
      <c r="B79" s="4"/>
      <c r="C79" s="2"/>
      <c r="D79" s="2"/>
      <c r="E79" s="2"/>
      <c r="F79" s="2"/>
      <c r="G79" s="2"/>
    </row>
    <row r="80" spans="2:7" x14ac:dyDescent="0.25">
      <c r="B80" s="4"/>
      <c r="C80" s="2"/>
      <c r="D80" s="2"/>
      <c r="E80" s="2"/>
      <c r="F80" s="2"/>
      <c r="G80" s="2"/>
    </row>
    <row r="81" spans="2:7" x14ac:dyDescent="0.25">
      <c r="B81" s="4"/>
      <c r="C81" s="2"/>
      <c r="D81" s="2"/>
      <c r="E81" s="2"/>
      <c r="F81" s="2"/>
      <c r="G81" s="2"/>
    </row>
    <row r="82" spans="2:7" x14ac:dyDescent="0.25">
      <c r="B82" s="4"/>
      <c r="C82" s="2"/>
      <c r="D82" s="2"/>
      <c r="E82" s="2"/>
      <c r="F82" s="2"/>
      <c r="G82" s="2"/>
    </row>
    <row r="83" spans="2:7" x14ac:dyDescent="0.25">
      <c r="B83" s="4"/>
      <c r="C83" s="2"/>
      <c r="D83" s="2"/>
      <c r="E83" s="2"/>
      <c r="F83" s="2"/>
      <c r="G83" s="2"/>
    </row>
    <row r="84" spans="2:7" x14ac:dyDescent="0.25">
      <c r="B84" s="4"/>
      <c r="C84" s="2"/>
      <c r="D84" s="2"/>
      <c r="E84" s="2"/>
      <c r="F84" s="2"/>
      <c r="G84" s="2"/>
    </row>
    <row r="85" spans="2:7" x14ac:dyDescent="0.25">
      <c r="B85" s="4"/>
      <c r="C85" s="2"/>
      <c r="D85" s="2"/>
      <c r="E85" s="2"/>
      <c r="F85" s="2"/>
      <c r="G85" s="2"/>
    </row>
    <row r="86" spans="2:7" x14ac:dyDescent="0.25">
      <c r="B86" s="4"/>
      <c r="C86" s="2"/>
      <c r="D86" s="2"/>
      <c r="E86" s="2"/>
      <c r="F86" s="2"/>
      <c r="G86" s="2"/>
    </row>
    <row r="87" spans="2:7" x14ac:dyDescent="0.25">
      <c r="B87" s="4"/>
      <c r="C87" s="2"/>
      <c r="D87" s="2"/>
      <c r="E87" s="2"/>
      <c r="F87" s="2"/>
      <c r="G87" s="2"/>
    </row>
    <row r="88" spans="2:7" x14ac:dyDescent="0.25">
      <c r="B88" s="4"/>
      <c r="C88" s="2"/>
      <c r="D88" s="2"/>
      <c r="E88" s="2"/>
      <c r="F88" s="2"/>
      <c r="G88" s="2"/>
    </row>
    <row r="89" spans="2:7" x14ac:dyDescent="0.25">
      <c r="B89" s="4"/>
      <c r="C89" s="2"/>
      <c r="D89" s="2"/>
      <c r="E89" s="2"/>
      <c r="F89" s="2"/>
      <c r="G89" s="2"/>
    </row>
    <row r="90" spans="2:7" x14ac:dyDescent="0.25">
      <c r="B90" s="4"/>
      <c r="C90" s="2"/>
      <c r="D90" s="2"/>
      <c r="E90" s="2"/>
      <c r="F90" s="2"/>
      <c r="G90" s="2"/>
    </row>
    <row r="91" spans="2:7" x14ac:dyDescent="0.25">
      <c r="B91" s="4"/>
      <c r="C91" s="2"/>
      <c r="D91" s="2"/>
      <c r="E91" s="2"/>
      <c r="F91" s="2"/>
      <c r="G91" s="2"/>
    </row>
    <row r="92" spans="2:7" x14ac:dyDescent="0.25">
      <c r="B92" s="4"/>
      <c r="C92" s="2"/>
      <c r="D92" s="2"/>
      <c r="E92" s="2"/>
      <c r="F92" s="2"/>
      <c r="G92" s="2"/>
    </row>
    <row r="93" spans="2:7" x14ac:dyDescent="0.25">
      <c r="B93" s="4"/>
      <c r="C93" s="2"/>
      <c r="D93" s="2"/>
      <c r="E93" s="2"/>
      <c r="F93" s="2"/>
      <c r="G93" s="2"/>
    </row>
    <row r="94" spans="2:7" x14ac:dyDescent="0.25">
      <c r="B94" s="4"/>
      <c r="C94" s="2"/>
      <c r="D94" s="2"/>
      <c r="E94" s="2"/>
      <c r="F94" s="2"/>
      <c r="G94" s="2"/>
    </row>
    <row r="95" spans="2:7" x14ac:dyDescent="0.25">
      <c r="B95" s="4"/>
      <c r="C95" s="2"/>
      <c r="D95" s="2"/>
      <c r="E95" s="2"/>
      <c r="F95" s="2"/>
      <c r="G95" s="2"/>
    </row>
    <row r="96" spans="2:7" x14ac:dyDescent="0.25">
      <c r="B96" s="4"/>
      <c r="C96" s="2"/>
      <c r="D96" s="2"/>
      <c r="E96" s="2"/>
      <c r="F96" s="2"/>
      <c r="G96" s="2"/>
    </row>
    <row r="97" spans="2:7" x14ac:dyDescent="0.25">
      <c r="B97" s="4"/>
      <c r="C97" s="2"/>
      <c r="D97" s="2"/>
      <c r="E97" s="2"/>
      <c r="F97" s="2"/>
      <c r="G97" s="2"/>
    </row>
    <row r="98" spans="2:7" x14ac:dyDescent="0.25">
      <c r="B98" s="4"/>
      <c r="C98" s="2"/>
      <c r="D98" s="2"/>
      <c r="E98" s="2"/>
      <c r="F98" s="2"/>
      <c r="G98" s="2"/>
    </row>
    <row r="99" spans="2:7" x14ac:dyDescent="0.25">
      <c r="B99" s="4"/>
      <c r="C99" s="2"/>
      <c r="D99" s="2"/>
      <c r="E99" s="2"/>
      <c r="F99" s="2"/>
      <c r="G99" s="2"/>
    </row>
    <row r="100" spans="2:7" x14ac:dyDescent="0.25">
      <c r="B100" s="4"/>
      <c r="C100" s="2"/>
      <c r="D100" s="2"/>
      <c r="E100" s="2"/>
      <c r="F100" s="2"/>
      <c r="G100" s="2"/>
    </row>
    <row r="101" spans="2:7" x14ac:dyDescent="0.25">
      <c r="B101" s="4"/>
      <c r="C101" s="2"/>
      <c r="D101" s="2"/>
      <c r="E101" s="2"/>
      <c r="F101" s="2"/>
      <c r="G101" s="2"/>
    </row>
    <row r="102" spans="2:7" x14ac:dyDescent="0.25">
      <c r="B102" s="4"/>
      <c r="C102" s="2"/>
      <c r="D102" s="2"/>
      <c r="E102" s="2"/>
      <c r="F102" s="2"/>
      <c r="G102" s="2"/>
    </row>
    <row r="103" spans="2:7" x14ac:dyDescent="0.25">
      <c r="B103" s="4"/>
      <c r="C103" s="2"/>
      <c r="D103" s="2"/>
      <c r="E103" s="2"/>
      <c r="F103" s="2"/>
      <c r="G103" s="2"/>
    </row>
    <row r="104" spans="2:7" x14ac:dyDescent="0.25">
      <c r="B104" s="4"/>
      <c r="C104" s="2"/>
      <c r="D104" s="2"/>
      <c r="E104" s="2"/>
      <c r="F104" s="2"/>
      <c r="G104" s="2"/>
    </row>
    <row r="105" spans="2:7" x14ac:dyDescent="0.25">
      <c r="B105" s="4"/>
      <c r="C105" s="2"/>
      <c r="D105" s="2"/>
      <c r="E105" s="2"/>
      <c r="F105" s="2"/>
      <c r="G105" s="2"/>
    </row>
    <row r="106" spans="2:7" x14ac:dyDescent="0.25">
      <c r="B106" s="4"/>
      <c r="C106" s="2"/>
      <c r="D106" s="2"/>
      <c r="E106" s="2"/>
      <c r="F106" s="2"/>
      <c r="G106" s="2"/>
    </row>
    <row r="107" spans="2:7" x14ac:dyDescent="0.25">
      <c r="B107" s="4"/>
      <c r="C107" s="2"/>
      <c r="D107" s="2"/>
      <c r="E107" s="2"/>
      <c r="F107" s="2"/>
      <c r="G107" s="2"/>
    </row>
    <row r="108" spans="2:7" x14ac:dyDescent="0.25">
      <c r="B108" s="4"/>
      <c r="C108" s="2"/>
      <c r="D108" s="2"/>
      <c r="E108" s="2"/>
      <c r="F108" s="2"/>
      <c r="G108" s="2"/>
    </row>
    <row r="109" spans="2:7" x14ac:dyDescent="0.25">
      <c r="B109" s="4"/>
      <c r="C109" s="2"/>
      <c r="D109" s="2"/>
      <c r="E109" s="2"/>
      <c r="F109" s="2"/>
      <c r="G109" s="2"/>
    </row>
    <row r="110" spans="2:7" x14ac:dyDescent="0.25">
      <c r="B110" s="4"/>
      <c r="C110" s="2"/>
      <c r="D110" s="2"/>
      <c r="E110" s="2"/>
      <c r="F110" s="2"/>
      <c r="G110" s="2"/>
    </row>
    <row r="111" spans="2:7" x14ac:dyDescent="0.25">
      <c r="B111" s="4"/>
      <c r="C111" s="2"/>
      <c r="D111" s="2"/>
      <c r="E111" s="2"/>
      <c r="F111" s="2"/>
      <c r="G111" s="2"/>
    </row>
    <row r="112" spans="2:7" x14ac:dyDescent="0.25">
      <c r="B112" s="4"/>
      <c r="C112" s="2"/>
      <c r="D112" s="2"/>
      <c r="E112" s="2"/>
      <c r="F112" s="2"/>
      <c r="G112" s="2"/>
    </row>
    <row r="113" spans="2:7" x14ac:dyDescent="0.25">
      <c r="B113" s="4"/>
      <c r="C113" s="2"/>
      <c r="D113" s="2"/>
      <c r="E113" s="2"/>
      <c r="F113" s="2"/>
      <c r="G113" s="2"/>
    </row>
    <row r="114" spans="2:7" x14ac:dyDescent="0.25">
      <c r="B114" s="4"/>
      <c r="C114" s="2"/>
      <c r="D114" s="2"/>
      <c r="E114" s="2"/>
      <c r="F114" s="2"/>
      <c r="G114" s="2"/>
    </row>
    <row r="115" spans="2:7" x14ac:dyDescent="0.25">
      <c r="B115" s="4"/>
      <c r="C115" s="2"/>
      <c r="D115" s="2"/>
      <c r="E115" s="2"/>
      <c r="F115" s="2"/>
      <c r="G115" s="2"/>
    </row>
    <row r="116" spans="2:7" x14ac:dyDescent="0.25">
      <c r="B116" s="4"/>
      <c r="C116" s="2"/>
      <c r="D116" s="2"/>
      <c r="E116" s="2"/>
      <c r="F116" s="2"/>
      <c r="G116" s="2"/>
    </row>
    <row r="117" spans="2:7" x14ac:dyDescent="0.25">
      <c r="B117" s="4"/>
      <c r="C117" s="2"/>
      <c r="D117" s="2"/>
      <c r="E117" s="2"/>
      <c r="F117" s="2"/>
      <c r="G117" s="2"/>
    </row>
    <row r="118" spans="2:7" x14ac:dyDescent="0.25">
      <c r="B118" s="4"/>
      <c r="C118" s="2"/>
      <c r="D118" s="2"/>
      <c r="E118" s="2"/>
      <c r="F118" s="2"/>
      <c r="G118" s="2"/>
    </row>
    <row r="119" spans="2:7" x14ac:dyDescent="0.25">
      <c r="B119" s="4"/>
      <c r="C119" s="2"/>
      <c r="D119" s="2"/>
      <c r="E119" s="2"/>
      <c r="F119" s="2"/>
      <c r="G119" s="2"/>
    </row>
    <row r="120" spans="2:7" x14ac:dyDescent="0.25">
      <c r="B120" s="4"/>
      <c r="C120" s="2"/>
      <c r="D120" s="2"/>
      <c r="E120" s="2"/>
      <c r="F120" s="2"/>
      <c r="G120" s="2"/>
    </row>
    <row r="121" spans="2:7" x14ac:dyDescent="0.25">
      <c r="B121" s="4"/>
      <c r="C121" s="2"/>
      <c r="D121" s="2"/>
      <c r="E121" s="2"/>
      <c r="F121" s="2"/>
      <c r="G121" s="2"/>
    </row>
    <row r="122" spans="2:7" x14ac:dyDescent="0.25">
      <c r="B122" s="4"/>
      <c r="C122" s="2"/>
      <c r="D122" s="2"/>
      <c r="E122" s="2"/>
      <c r="F122" s="2"/>
      <c r="G122" s="2"/>
    </row>
    <row r="123" spans="2:7" x14ac:dyDescent="0.25">
      <c r="B123" s="4"/>
      <c r="C123" s="2"/>
      <c r="D123" s="2"/>
      <c r="E123" s="2"/>
      <c r="F123" s="2"/>
      <c r="G123" s="2"/>
    </row>
    <row r="124" spans="2:7" x14ac:dyDescent="0.25">
      <c r="B124" s="4"/>
      <c r="C124" s="2"/>
      <c r="D124" s="2"/>
      <c r="E124" s="2"/>
      <c r="F124" s="2"/>
      <c r="G124" s="2"/>
    </row>
    <row r="125" spans="2:7" x14ac:dyDescent="0.25">
      <c r="B125" s="4"/>
      <c r="C125" s="2"/>
      <c r="D125" s="2"/>
      <c r="E125" s="2"/>
      <c r="F125" s="2"/>
      <c r="G125" s="2"/>
    </row>
    <row r="126" spans="2:7" x14ac:dyDescent="0.25">
      <c r="B126" s="4"/>
      <c r="C126" s="2"/>
      <c r="D126" s="2"/>
      <c r="E126" s="2"/>
      <c r="F126" s="2"/>
      <c r="G126" s="2"/>
    </row>
    <row r="127" spans="2:7" x14ac:dyDescent="0.25">
      <c r="B127" s="4"/>
      <c r="C127" s="2"/>
      <c r="D127" s="2"/>
      <c r="E127" s="2"/>
      <c r="F127" s="2"/>
      <c r="G127" s="2"/>
    </row>
    <row r="128" spans="2:7" x14ac:dyDescent="0.25">
      <c r="B128" s="4"/>
      <c r="C128" s="2"/>
      <c r="D128" s="2"/>
      <c r="E128" s="2"/>
      <c r="F128" s="2"/>
      <c r="G128" s="2"/>
    </row>
    <row r="129" spans="2:7" x14ac:dyDescent="0.25">
      <c r="B129" s="4"/>
      <c r="C129" s="2"/>
      <c r="D129" s="2"/>
      <c r="E129" s="2"/>
      <c r="F129" s="2"/>
      <c r="G129" s="2"/>
    </row>
    <row r="130" spans="2:7" x14ac:dyDescent="0.25">
      <c r="B130" s="4"/>
      <c r="C130" s="2"/>
      <c r="D130" s="2"/>
      <c r="E130" s="2"/>
      <c r="F130" s="2"/>
      <c r="G130" s="2"/>
    </row>
    <row r="131" spans="2:7" x14ac:dyDescent="0.25">
      <c r="B131" s="4"/>
      <c r="C131" s="2"/>
      <c r="D131" s="2"/>
      <c r="E131" s="2"/>
      <c r="F131" s="2"/>
      <c r="G131" s="2"/>
    </row>
    <row r="132" spans="2:7" x14ac:dyDescent="0.25">
      <c r="B132" s="4"/>
      <c r="C132" s="2"/>
      <c r="D132" s="2"/>
      <c r="E132" s="2"/>
      <c r="F132" s="2"/>
      <c r="G132" s="2"/>
    </row>
    <row r="133" spans="2:7" x14ac:dyDescent="0.25">
      <c r="B133" s="4"/>
      <c r="C133" s="2"/>
      <c r="D133" s="2"/>
      <c r="E133" s="2"/>
      <c r="F133" s="2"/>
      <c r="G133" s="2"/>
    </row>
    <row r="134" spans="2:7" x14ac:dyDescent="0.25">
      <c r="B134" s="4"/>
      <c r="C134" s="2"/>
      <c r="D134" s="2"/>
      <c r="E134" s="2"/>
      <c r="F134" s="2"/>
      <c r="G134" s="2"/>
    </row>
    <row r="135" spans="2:7" x14ac:dyDescent="0.25">
      <c r="B135" s="4"/>
      <c r="C135" s="2"/>
      <c r="D135" s="2"/>
      <c r="E135" s="2"/>
      <c r="F135" s="2"/>
      <c r="G135" s="2"/>
    </row>
    <row r="136" spans="2:7" x14ac:dyDescent="0.25">
      <c r="B136" s="4"/>
      <c r="C136" s="2"/>
      <c r="D136" s="2"/>
      <c r="E136" s="2"/>
      <c r="F136" s="2"/>
      <c r="G136" s="2"/>
    </row>
    <row r="137" spans="2:7" x14ac:dyDescent="0.25">
      <c r="B137" s="4"/>
      <c r="C137" s="2"/>
      <c r="D137" s="2"/>
      <c r="E137" s="2"/>
      <c r="F137" s="2"/>
      <c r="G137" s="2"/>
    </row>
    <row r="138" spans="2:7" x14ac:dyDescent="0.25">
      <c r="B138" s="4"/>
      <c r="C138" s="2"/>
      <c r="D138" s="2"/>
      <c r="E138" s="2"/>
      <c r="F138" s="2"/>
      <c r="G138" s="2"/>
    </row>
    <row r="139" spans="2:7" x14ac:dyDescent="0.25">
      <c r="B139" s="4"/>
      <c r="C139" s="2"/>
      <c r="D139" s="2"/>
      <c r="E139" s="2"/>
      <c r="F139" s="2"/>
      <c r="G139" s="2"/>
    </row>
    <row r="140" spans="2:7" x14ac:dyDescent="0.25">
      <c r="B140" s="4"/>
      <c r="C140" s="2"/>
      <c r="D140" s="2"/>
      <c r="E140" s="2"/>
      <c r="F140" s="2"/>
      <c r="G140" s="2"/>
    </row>
    <row r="141" spans="2:7" x14ac:dyDescent="0.25">
      <c r="B141" s="4"/>
      <c r="C141" s="2"/>
      <c r="D141" s="2"/>
      <c r="E141" s="2"/>
      <c r="F141" s="2"/>
      <c r="G141" s="2"/>
    </row>
    <row r="142" spans="2:7" x14ac:dyDescent="0.25">
      <c r="B142" s="4"/>
      <c r="C142" s="2"/>
      <c r="D142" s="2"/>
      <c r="E142" s="2"/>
      <c r="F142" s="2"/>
      <c r="G142" s="2"/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B2:G142"/>
  <sheetViews>
    <sheetView workbookViewId="0">
      <selection activeCell="C15" sqref="C15"/>
    </sheetView>
  </sheetViews>
  <sheetFormatPr defaultRowHeight="15" x14ac:dyDescent="0.25"/>
  <cols>
    <col min="2" max="2" width="18" bestFit="1" customWidth="1"/>
    <col min="3" max="3" width="72" bestFit="1" customWidth="1"/>
    <col min="4" max="4" width="42.140625" bestFit="1" customWidth="1"/>
    <col min="5" max="5" width="11.85546875" bestFit="1" customWidth="1"/>
    <col min="7" max="7" width="11" bestFit="1" customWidth="1"/>
  </cols>
  <sheetData>
    <row r="2" spans="2:7" x14ac:dyDescent="0.25">
      <c r="B2" s="144" t="s">
        <v>6093</v>
      </c>
    </row>
    <row r="3" spans="2:7" ht="15.75" x14ac:dyDescent="0.25">
      <c r="B3" s="10" t="s">
        <v>0</v>
      </c>
      <c r="C3" s="11" t="s">
        <v>1</v>
      </c>
      <c r="D3" s="11" t="s">
        <v>2</v>
      </c>
      <c r="E3" s="11" t="s">
        <v>934</v>
      </c>
      <c r="F3" s="11" t="s">
        <v>1095</v>
      </c>
      <c r="G3" s="11" t="s">
        <v>1507</v>
      </c>
    </row>
    <row r="4" spans="2:7" x14ac:dyDescent="0.25">
      <c r="B4" s="4">
        <v>46073</v>
      </c>
      <c r="C4" s="2" t="s">
        <v>6572</v>
      </c>
      <c r="D4" s="2"/>
      <c r="E4" s="23"/>
      <c r="F4" s="2"/>
      <c r="G4" s="2"/>
    </row>
    <row r="5" spans="2:7" x14ac:dyDescent="0.25">
      <c r="B5" s="4">
        <v>46074</v>
      </c>
      <c r="C5" s="2" t="s">
        <v>6570</v>
      </c>
      <c r="D5" s="2"/>
      <c r="E5" s="23"/>
      <c r="F5" s="2"/>
      <c r="G5" s="2"/>
    </row>
    <row r="6" spans="2:7" x14ac:dyDescent="0.25">
      <c r="B6" s="4">
        <v>46075</v>
      </c>
      <c r="C6" s="2" t="s">
        <v>6573</v>
      </c>
      <c r="D6" s="2"/>
      <c r="E6" s="23"/>
      <c r="F6" s="2"/>
      <c r="G6" s="2"/>
    </row>
    <row r="7" spans="2:7" x14ac:dyDescent="0.25">
      <c r="B7" s="4">
        <v>46076</v>
      </c>
      <c r="C7" s="2" t="s">
        <v>6582</v>
      </c>
      <c r="D7" s="58"/>
      <c r="E7" s="23"/>
      <c r="F7" s="2"/>
      <c r="G7" s="2"/>
    </row>
    <row r="8" spans="2:7" x14ac:dyDescent="0.25">
      <c r="B8" s="4">
        <v>46077</v>
      </c>
      <c r="C8" s="2" t="s">
        <v>480</v>
      </c>
      <c r="D8" s="58"/>
      <c r="E8" s="23"/>
      <c r="F8" s="2"/>
      <c r="G8" s="2"/>
    </row>
    <row r="9" spans="2:7" x14ac:dyDescent="0.25">
      <c r="B9" s="4">
        <v>46078</v>
      </c>
      <c r="C9" s="2" t="s">
        <v>6596</v>
      </c>
      <c r="D9" s="58"/>
      <c r="E9" s="23"/>
      <c r="F9" s="2"/>
      <c r="G9" s="2"/>
    </row>
    <row r="10" spans="2:7" x14ac:dyDescent="0.25">
      <c r="B10" s="4">
        <v>46079</v>
      </c>
      <c r="C10" s="2" t="s">
        <v>6597</v>
      </c>
      <c r="D10" s="58"/>
      <c r="E10" s="2"/>
      <c r="F10" s="2"/>
      <c r="G10" s="2"/>
    </row>
    <row r="11" spans="2:7" x14ac:dyDescent="0.25">
      <c r="B11" s="4">
        <v>46080</v>
      </c>
      <c r="C11" s="2" t="s">
        <v>480</v>
      </c>
      <c r="D11" s="2"/>
      <c r="E11" s="2"/>
      <c r="F11" s="2"/>
      <c r="G11" s="2"/>
    </row>
    <row r="12" spans="2:7" x14ac:dyDescent="0.25">
      <c r="B12" s="4">
        <v>46081</v>
      </c>
      <c r="C12" s="2"/>
      <c r="D12" s="2"/>
      <c r="E12" s="2"/>
      <c r="F12" s="2"/>
      <c r="G12" s="2"/>
    </row>
    <row r="13" spans="2:7" x14ac:dyDescent="0.25">
      <c r="B13" s="4">
        <v>46082</v>
      </c>
      <c r="C13" s="2"/>
      <c r="D13" s="2"/>
      <c r="E13" s="2"/>
      <c r="F13" s="2"/>
      <c r="G13" s="2"/>
    </row>
    <row r="14" spans="2:7" x14ac:dyDescent="0.25">
      <c r="B14" s="4">
        <v>46083</v>
      </c>
      <c r="C14" s="2"/>
      <c r="D14" s="2"/>
      <c r="E14" s="2"/>
      <c r="F14" s="2"/>
      <c r="G14" s="2"/>
    </row>
    <row r="15" spans="2:7" x14ac:dyDescent="0.25">
      <c r="B15" s="4">
        <v>46084</v>
      </c>
      <c r="C15" s="2" t="s">
        <v>4597</v>
      </c>
      <c r="D15" s="2"/>
      <c r="E15" s="2"/>
      <c r="F15" s="2"/>
      <c r="G15" s="2"/>
    </row>
    <row r="16" spans="2:7" x14ac:dyDescent="0.25">
      <c r="B16" s="4">
        <v>46085</v>
      </c>
      <c r="C16" s="2"/>
      <c r="D16" s="2"/>
      <c r="E16" s="2"/>
      <c r="F16" s="2"/>
      <c r="G16" s="2"/>
    </row>
    <row r="17" spans="2:7" x14ac:dyDescent="0.25">
      <c r="B17" s="4">
        <v>46086</v>
      </c>
      <c r="C17" s="2"/>
      <c r="D17" s="2"/>
      <c r="E17" s="2"/>
      <c r="F17" s="2"/>
      <c r="G17" s="2"/>
    </row>
    <row r="18" spans="2:7" x14ac:dyDescent="0.25">
      <c r="B18" s="4">
        <v>46087</v>
      </c>
      <c r="C18" s="2"/>
      <c r="D18" s="2"/>
      <c r="E18" s="2"/>
      <c r="F18" s="2"/>
      <c r="G18" s="2"/>
    </row>
    <row r="19" spans="2:7" x14ac:dyDescent="0.25">
      <c r="B19" s="4"/>
      <c r="C19" s="2"/>
      <c r="D19" s="2"/>
      <c r="E19" s="2"/>
      <c r="F19" s="2"/>
      <c r="G19" s="2"/>
    </row>
    <row r="20" spans="2:7" x14ac:dyDescent="0.25">
      <c r="B20" s="4"/>
      <c r="C20" s="2"/>
      <c r="D20" s="2"/>
      <c r="E20" s="2"/>
      <c r="F20" s="2"/>
      <c r="G20" s="2"/>
    </row>
    <row r="21" spans="2:7" x14ac:dyDescent="0.25">
      <c r="B21" s="4"/>
      <c r="C21" s="2"/>
      <c r="D21" s="2"/>
      <c r="E21" s="2"/>
      <c r="F21" s="2"/>
      <c r="G21" s="2"/>
    </row>
    <row r="22" spans="2:7" x14ac:dyDescent="0.25">
      <c r="B22" s="4"/>
      <c r="C22" s="2"/>
      <c r="D22" s="2"/>
      <c r="E22" s="2"/>
      <c r="F22" s="2"/>
      <c r="G22" s="2"/>
    </row>
    <row r="23" spans="2:7" x14ac:dyDescent="0.25">
      <c r="B23" s="4"/>
      <c r="C23" s="2"/>
      <c r="D23" s="2"/>
      <c r="E23" s="2"/>
      <c r="F23" s="2"/>
      <c r="G23" s="2"/>
    </row>
    <row r="24" spans="2:7" x14ac:dyDescent="0.25">
      <c r="B24" s="4"/>
      <c r="C24" s="2"/>
      <c r="D24" s="2"/>
      <c r="E24" s="2"/>
      <c r="F24" s="2"/>
      <c r="G24" s="2"/>
    </row>
    <row r="25" spans="2:7" x14ac:dyDescent="0.25">
      <c r="B25" s="4"/>
      <c r="C25" s="2"/>
      <c r="D25" s="2"/>
      <c r="E25" s="2"/>
      <c r="F25" s="2"/>
      <c r="G25" s="2"/>
    </row>
    <row r="26" spans="2:7" x14ac:dyDescent="0.25">
      <c r="B26" s="4"/>
      <c r="C26" s="2"/>
      <c r="D26" s="2"/>
      <c r="E26" s="2"/>
      <c r="F26" s="2"/>
      <c r="G26" s="2"/>
    </row>
    <row r="27" spans="2:7" x14ac:dyDescent="0.25">
      <c r="B27" s="4"/>
      <c r="C27" s="2"/>
      <c r="D27" s="2"/>
      <c r="E27" s="2"/>
      <c r="F27" s="2"/>
      <c r="G27" s="2"/>
    </row>
    <row r="28" spans="2:7" x14ac:dyDescent="0.25">
      <c r="B28" s="4"/>
      <c r="C28" s="2"/>
      <c r="D28" s="2"/>
      <c r="E28" s="2"/>
      <c r="F28" s="2"/>
      <c r="G28" s="2"/>
    </row>
    <row r="29" spans="2:7" x14ac:dyDescent="0.25">
      <c r="B29" s="4"/>
      <c r="C29" s="2"/>
      <c r="D29" s="2"/>
      <c r="E29" s="2"/>
      <c r="F29" s="2"/>
      <c r="G29" s="2"/>
    </row>
    <row r="30" spans="2:7" x14ac:dyDescent="0.25">
      <c r="B30" s="4"/>
      <c r="C30" s="2"/>
      <c r="D30" s="2"/>
      <c r="E30" s="2"/>
      <c r="F30" s="2"/>
      <c r="G30" s="2"/>
    </row>
    <row r="31" spans="2:7" x14ac:dyDescent="0.25">
      <c r="B31" s="4"/>
      <c r="C31" s="2"/>
      <c r="D31" s="2"/>
      <c r="E31" s="2"/>
      <c r="F31" s="2"/>
      <c r="G31" s="2"/>
    </row>
    <row r="32" spans="2:7" x14ac:dyDescent="0.25">
      <c r="B32" s="4"/>
      <c r="C32" s="2"/>
      <c r="D32" s="2"/>
      <c r="E32" s="2"/>
      <c r="F32" s="2"/>
      <c r="G32" s="2"/>
    </row>
    <row r="33" spans="2:7" x14ac:dyDescent="0.25">
      <c r="B33" s="4"/>
      <c r="C33" s="2"/>
      <c r="D33" s="2"/>
      <c r="E33" s="2"/>
      <c r="F33" s="2"/>
      <c r="G33" s="2"/>
    </row>
    <row r="34" spans="2:7" x14ac:dyDescent="0.25">
      <c r="B34" s="4"/>
      <c r="C34" s="2"/>
      <c r="D34" s="2"/>
      <c r="E34" s="2"/>
      <c r="F34" s="2"/>
      <c r="G34" s="2"/>
    </row>
    <row r="35" spans="2:7" x14ac:dyDescent="0.25">
      <c r="B35" s="4"/>
      <c r="C35" s="2"/>
      <c r="D35" s="2"/>
      <c r="E35" s="2"/>
      <c r="F35" s="2"/>
      <c r="G35" s="2"/>
    </row>
    <row r="36" spans="2:7" x14ac:dyDescent="0.25">
      <c r="B36" s="4"/>
      <c r="C36" s="2"/>
      <c r="D36" s="2"/>
      <c r="E36" s="2"/>
      <c r="F36" s="2"/>
      <c r="G36" s="2"/>
    </row>
    <row r="37" spans="2:7" x14ac:dyDescent="0.25">
      <c r="B37" s="4"/>
      <c r="C37" s="2"/>
      <c r="D37" s="2"/>
      <c r="E37" s="2"/>
      <c r="F37" s="2"/>
      <c r="G37" s="2"/>
    </row>
    <row r="38" spans="2:7" x14ac:dyDescent="0.25">
      <c r="B38" s="4"/>
      <c r="C38" s="2"/>
      <c r="D38" s="2"/>
      <c r="E38" s="2"/>
      <c r="F38" s="2"/>
      <c r="G38" s="2"/>
    </row>
    <row r="39" spans="2:7" x14ac:dyDescent="0.25">
      <c r="B39" s="4"/>
      <c r="C39" s="2"/>
      <c r="D39" s="2"/>
      <c r="E39" s="2"/>
      <c r="F39" s="2"/>
      <c r="G39" s="2"/>
    </row>
    <row r="40" spans="2:7" x14ac:dyDescent="0.25">
      <c r="B40" s="4"/>
      <c r="C40" s="2"/>
      <c r="D40" s="2"/>
      <c r="E40" s="2"/>
      <c r="F40" s="2"/>
      <c r="G40" s="2"/>
    </row>
    <row r="41" spans="2:7" x14ac:dyDescent="0.25">
      <c r="B41" s="4"/>
      <c r="C41" s="2"/>
      <c r="D41" s="2"/>
      <c r="E41" s="2"/>
      <c r="F41" s="2"/>
      <c r="G41" s="2"/>
    </row>
    <row r="42" spans="2:7" x14ac:dyDescent="0.25">
      <c r="B42" s="4"/>
      <c r="C42" s="2"/>
      <c r="D42" s="2"/>
      <c r="E42" s="2"/>
      <c r="F42" s="2"/>
      <c r="G42" s="2"/>
    </row>
    <row r="43" spans="2:7" x14ac:dyDescent="0.25">
      <c r="B43" s="4"/>
      <c r="C43" s="2"/>
      <c r="D43" s="2"/>
      <c r="E43" s="2"/>
      <c r="F43" s="2"/>
      <c r="G43" s="2"/>
    </row>
    <row r="44" spans="2:7" x14ac:dyDescent="0.25">
      <c r="B44" s="4"/>
      <c r="C44" s="2"/>
      <c r="D44" s="2"/>
      <c r="E44" s="2"/>
      <c r="F44" s="2"/>
      <c r="G44" s="2"/>
    </row>
    <row r="45" spans="2:7" x14ac:dyDescent="0.25">
      <c r="B45" s="4"/>
      <c r="C45" s="2"/>
      <c r="D45" s="2"/>
      <c r="E45" s="2"/>
      <c r="F45" s="2"/>
      <c r="G45" s="2"/>
    </row>
    <row r="46" spans="2:7" x14ac:dyDescent="0.25">
      <c r="B46" s="4"/>
      <c r="C46" s="2"/>
      <c r="D46" s="2"/>
      <c r="E46" s="2"/>
      <c r="F46" s="2"/>
      <c r="G46" s="2"/>
    </row>
    <row r="47" spans="2:7" x14ac:dyDescent="0.25">
      <c r="B47" s="4"/>
      <c r="C47" s="2"/>
      <c r="D47" s="2"/>
      <c r="E47" s="2"/>
      <c r="F47" s="2"/>
      <c r="G47" s="2"/>
    </row>
    <row r="48" spans="2:7" x14ac:dyDescent="0.25">
      <c r="B48" s="4"/>
      <c r="C48" s="2"/>
      <c r="D48" s="2"/>
      <c r="E48" s="2"/>
      <c r="F48" s="2"/>
      <c r="G48" s="2"/>
    </row>
    <row r="49" spans="2:7" x14ac:dyDescent="0.25">
      <c r="B49" s="4"/>
      <c r="C49" s="2"/>
      <c r="D49" s="2"/>
      <c r="E49" s="2"/>
      <c r="F49" s="2"/>
      <c r="G49" s="2"/>
    </row>
    <row r="50" spans="2:7" x14ac:dyDescent="0.25">
      <c r="B50" s="4"/>
      <c r="C50" s="2"/>
      <c r="D50" s="2"/>
      <c r="E50" s="2"/>
      <c r="F50" s="2"/>
      <c r="G50" s="2"/>
    </row>
    <row r="51" spans="2:7" x14ac:dyDescent="0.25">
      <c r="B51" s="4"/>
      <c r="C51" s="2"/>
      <c r="D51" s="2"/>
      <c r="E51" s="2"/>
      <c r="F51" s="2"/>
      <c r="G51" s="2"/>
    </row>
    <row r="52" spans="2:7" x14ac:dyDescent="0.25">
      <c r="B52" s="4"/>
      <c r="C52" s="2"/>
      <c r="D52" s="2"/>
      <c r="E52" s="2"/>
      <c r="F52" s="2"/>
      <c r="G52" s="2"/>
    </row>
    <row r="53" spans="2:7" x14ac:dyDescent="0.25">
      <c r="B53" s="4"/>
      <c r="C53" s="2"/>
      <c r="D53" s="2"/>
      <c r="E53" s="2"/>
      <c r="F53" s="2"/>
      <c r="G53" s="2"/>
    </row>
    <row r="54" spans="2:7" x14ac:dyDescent="0.25">
      <c r="B54" s="4"/>
      <c r="C54" s="2"/>
      <c r="D54" s="2"/>
      <c r="E54" s="2"/>
      <c r="F54" s="2"/>
      <c r="G54" s="2"/>
    </row>
    <row r="55" spans="2:7" x14ac:dyDescent="0.25">
      <c r="B55" s="4"/>
      <c r="C55" s="2"/>
      <c r="D55" s="2"/>
      <c r="E55" s="2"/>
      <c r="F55" s="2"/>
      <c r="G55" s="2"/>
    </row>
    <row r="56" spans="2:7" x14ac:dyDescent="0.25">
      <c r="B56" s="4"/>
      <c r="C56" s="2"/>
      <c r="D56" s="2"/>
      <c r="E56" s="2"/>
      <c r="F56" s="2"/>
      <c r="G56" s="2"/>
    </row>
    <row r="57" spans="2:7" x14ac:dyDescent="0.25">
      <c r="B57" s="4"/>
      <c r="C57" s="2"/>
      <c r="D57" s="2"/>
      <c r="E57" s="2"/>
      <c r="F57" s="2"/>
      <c r="G57" s="2"/>
    </row>
    <row r="58" spans="2:7" x14ac:dyDescent="0.25">
      <c r="B58" s="4"/>
      <c r="C58" s="2"/>
      <c r="D58" s="2"/>
      <c r="E58" s="2"/>
      <c r="F58" s="2"/>
      <c r="G58" s="2"/>
    </row>
    <row r="59" spans="2:7" x14ac:dyDescent="0.25">
      <c r="B59" s="4"/>
      <c r="C59" s="2"/>
      <c r="D59" s="2"/>
      <c r="E59" s="2"/>
      <c r="F59" s="2"/>
      <c r="G59" s="2"/>
    </row>
    <row r="60" spans="2:7" x14ac:dyDescent="0.25">
      <c r="B60" s="4"/>
      <c r="C60" s="2"/>
      <c r="D60" s="2"/>
      <c r="E60" s="2"/>
      <c r="F60" s="2"/>
      <c r="G60" s="2"/>
    </row>
    <row r="61" spans="2:7" x14ac:dyDescent="0.25">
      <c r="B61" s="4"/>
      <c r="C61" s="2"/>
      <c r="D61" s="2"/>
      <c r="E61" s="2"/>
      <c r="F61" s="2"/>
      <c r="G61" s="2"/>
    </row>
    <row r="62" spans="2:7" x14ac:dyDescent="0.25">
      <c r="B62" s="4"/>
      <c r="C62" s="2"/>
      <c r="D62" s="2"/>
      <c r="E62" s="2"/>
      <c r="F62" s="2"/>
      <c r="G62" s="2"/>
    </row>
    <row r="63" spans="2:7" x14ac:dyDescent="0.25">
      <c r="B63" s="4"/>
      <c r="C63" s="2"/>
      <c r="D63" s="2"/>
      <c r="E63" s="2"/>
      <c r="F63" s="2"/>
      <c r="G63" s="2"/>
    </row>
    <row r="64" spans="2:7" x14ac:dyDescent="0.25">
      <c r="B64" s="4"/>
      <c r="C64" s="2"/>
      <c r="D64" s="2"/>
      <c r="E64" s="2"/>
      <c r="F64" s="2"/>
      <c r="G64" s="2"/>
    </row>
    <row r="65" spans="2:7" x14ac:dyDescent="0.25">
      <c r="B65" s="4"/>
      <c r="C65" s="2"/>
      <c r="D65" s="2"/>
      <c r="E65" s="2"/>
      <c r="F65" s="2"/>
      <c r="G65" s="2"/>
    </row>
    <row r="66" spans="2:7" x14ac:dyDescent="0.25">
      <c r="B66" s="4"/>
      <c r="C66" s="2"/>
      <c r="D66" s="2"/>
      <c r="E66" s="2"/>
      <c r="F66" s="2"/>
      <c r="G66" s="2"/>
    </row>
    <row r="67" spans="2:7" x14ac:dyDescent="0.25">
      <c r="B67" s="4"/>
      <c r="C67" s="2"/>
      <c r="D67" s="2"/>
      <c r="E67" s="2"/>
      <c r="F67" s="2"/>
      <c r="G67" s="2"/>
    </row>
    <row r="68" spans="2:7" x14ac:dyDescent="0.25">
      <c r="B68" s="4"/>
      <c r="C68" s="2"/>
      <c r="D68" s="2"/>
      <c r="E68" s="2"/>
      <c r="F68" s="2"/>
      <c r="G68" s="2"/>
    </row>
    <row r="69" spans="2:7" x14ac:dyDescent="0.25">
      <c r="B69" s="4"/>
      <c r="C69" s="2"/>
      <c r="D69" s="2"/>
      <c r="E69" s="2"/>
      <c r="F69" s="2"/>
      <c r="G69" s="2"/>
    </row>
    <row r="70" spans="2:7" x14ac:dyDescent="0.25">
      <c r="B70" s="4"/>
      <c r="C70" s="2"/>
      <c r="D70" s="2"/>
      <c r="E70" s="2"/>
      <c r="F70" s="2"/>
      <c r="G70" s="2"/>
    </row>
    <row r="71" spans="2:7" x14ac:dyDescent="0.25">
      <c r="B71" s="4"/>
      <c r="C71" s="2"/>
      <c r="D71" s="2"/>
      <c r="E71" s="2"/>
      <c r="F71" s="2"/>
      <c r="G71" s="2"/>
    </row>
    <row r="72" spans="2:7" x14ac:dyDescent="0.25">
      <c r="B72" s="4"/>
      <c r="C72" s="2"/>
      <c r="D72" s="2"/>
      <c r="E72" s="2"/>
      <c r="F72" s="2"/>
      <c r="G72" s="2"/>
    </row>
    <row r="73" spans="2:7" x14ac:dyDescent="0.25">
      <c r="B73" s="4"/>
      <c r="C73" s="2"/>
      <c r="D73" s="2"/>
      <c r="E73" s="2"/>
      <c r="F73" s="2"/>
      <c r="G73" s="2"/>
    </row>
    <row r="74" spans="2:7" x14ac:dyDescent="0.25">
      <c r="B74" s="4"/>
      <c r="C74" s="2"/>
      <c r="D74" s="2"/>
      <c r="E74" s="2"/>
      <c r="F74" s="2"/>
      <c r="G74" s="2"/>
    </row>
    <row r="75" spans="2:7" x14ac:dyDescent="0.25">
      <c r="B75" s="4"/>
      <c r="C75" s="2"/>
      <c r="D75" s="2"/>
      <c r="E75" s="2"/>
      <c r="F75" s="2"/>
      <c r="G75" s="2"/>
    </row>
    <row r="76" spans="2:7" x14ac:dyDescent="0.25">
      <c r="B76" s="4"/>
      <c r="C76" s="2"/>
      <c r="D76" s="2"/>
      <c r="E76" s="2"/>
      <c r="F76" s="2"/>
      <c r="G76" s="2"/>
    </row>
    <row r="77" spans="2:7" x14ac:dyDescent="0.25">
      <c r="B77" s="4"/>
      <c r="C77" s="2"/>
      <c r="D77" s="2"/>
      <c r="E77" s="2"/>
      <c r="F77" s="2"/>
      <c r="G77" s="2"/>
    </row>
    <row r="78" spans="2:7" x14ac:dyDescent="0.25">
      <c r="B78" s="4"/>
      <c r="C78" s="2"/>
      <c r="D78" s="2"/>
      <c r="E78" s="2"/>
      <c r="F78" s="2"/>
      <c r="G78" s="2"/>
    </row>
    <row r="79" spans="2:7" x14ac:dyDescent="0.25">
      <c r="B79" s="4"/>
      <c r="C79" s="2"/>
      <c r="D79" s="2"/>
      <c r="E79" s="2"/>
      <c r="F79" s="2"/>
      <c r="G79" s="2"/>
    </row>
    <row r="80" spans="2:7" x14ac:dyDescent="0.25">
      <c r="B80" s="4"/>
      <c r="C80" s="2"/>
      <c r="D80" s="2"/>
      <c r="E80" s="2"/>
      <c r="F80" s="2"/>
      <c r="G80" s="2"/>
    </row>
    <row r="81" spans="2:7" x14ac:dyDescent="0.25">
      <c r="B81" s="4"/>
      <c r="C81" s="2"/>
      <c r="D81" s="2"/>
      <c r="E81" s="2"/>
      <c r="F81" s="2"/>
      <c r="G81" s="2"/>
    </row>
    <row r="82" spans="2:7" x14ac:dyDescent="0.25">
      <c r="B82" s="4"/>
      <c r="C82" s="2"/>
      <c r="D82" s="2"/>
      <c r="E82" s="2"/>
      <c r="F82" s="2"/>
      <c r="G82" s="2"/>
    </row>
    <row r="83" spans="2:7" x14ac:dyDescent="0.25">
      <c r="B83" s="4"/>
      <c r="C83" s="2"/>
      <c r="D83" s="2"/>
      <c r="E83" s="2"/>
      <c r="F83" s="2"/>
      <c r="G83" s="2"/>
    </row>
    <row r="84" spans="2:7" x14ac:dyDescent="0.25">
      <c r="B84" s="4"/>
      <c r="C84" s="2"/>
      <c r="D84" s="2"/>
      <c r="E84" s="2"/>
      <c r="F84" s="2"/>
      <c r="G84" s="2"/>
    </row>
    <row r="85" spans="2:7" x14ac:dyDescent="0.25">
      <c r="B85" s="4"/>
      <c r="C85" s="2"/>
      <c r="D85" s="2"/>
      <c r="E85" s="2"/>
      <c r="F85" s="2"/>
      <c r="G85" s="2"/>
    </row>
    <row r="86" spans="2:7" x14ac:dyDescent="0.25">
      <c r="B86" s="4"/>
      <c r="C86" s="2"/>
      <c r="D86" s="2"/>
      <c r="E86" s="2"/>
      <c r="F86" s="2"/>
      <c r="G86" s="2"/>
    </row>
    <row r="87" spans="2:7" x14ac:dyDescent="0.25">
      <c r="B87" s="4"/>
      <c r="C87" s="2"/>
      <c r="D87" s="2"/>
      <c r="E87" s="2"/>
      <c r="F87" s="2"/>
      <c r="G87" s="2"/>
    </row>
    <row r="88" spans="2:7" x14ac:dyDescent="0.25">
      <c r="B88" s="4"/>
      <c r="C88" s="2"/>
      <c r="D88" s="2"/>
      <c r="E88" s="2"/>
      <c r="F88" s="2"/>
      <c r="G88" s="2"/>
    </row>
    <row r="89" spans="2:7" x14ac:dyDescent="0.25">
      <c r="B89" s="4"/>
      <c r="C89" s="2"/>
      <c r="D89" s="2"/>
      <c r="E89" s="2"/>
      <c r="F89" s="2"/>
      <c r="G89" s="2"/>
    </row>
    <row r="90" spans="2:7" x14ac:dyDescent="0.25">
      <c r="B90" s="4"/>
      <c r="C90" s="2"/>
      <c r="D90" s="2"/>
      <c r="E90" s="2"/>
      <c r="F90" s="2"/>
      <c r="G90" s="2"/>
    </row>
    <row r="91" spans="2:7" x14ac:dyDescent="0.25">
      <c r="B91" s="4"/>
      <c r="C91" s="2"/>
      <c r="D91" s="2"/>
      <c r="E91" s="2"/>
      <c r="F91" s="2"/>
      <c r="G91" s="2"/>
    </row>
    <row r="92" spans="2:7" x14ac:dyDescent="0.25">
      <c r="B92" s="4"/>
      <c r="C92" s="2"/>
      <c r="D92" s="2"/>
      <c r="E92" s="2"/>
      <c r="F92" s="2"/>
      <c r="G92" s="2"/>
    </row>
    <row r="93" spans="2:7" x14ac:dyDescent="0.25">
      <c r="B93" s="4"/>
      <c r="C93" s="2"/>
      <c r="D93" s="2"/>
      <c r="E93" s="2"/>
      <c r="F93" s="2"/>
      <c r="G93" s="2"/>
    </row>
    <row r="94" spans="2:7" x14ac:dyDescent="0.25">
      <c r="B94" s="4"/>
      <c r="C94" s="2"/>
      <c r="D94" s="2"/>
      <c r="E94" s="2"/>
      <c r="F94" s="2"/>
      <c r="G94" s="2"/>
    </row>
    <row r="95" spans="2:7" x14ac:dyDescent="0.25">
      <c r="B95" s="4"/>
      <c r="C95" s="2"/>
      <c r="D95" s="2"/>
      <c r="E95" s="2"/>
      <c r="F95" s="2"/>
      <c r="G95" s="2"/>
    </row>
    <row r="96" spans="2:7" x14ac:dyDescent="0.25">
      <c r="B96" s="4"/>
      <c r="C96" s="2"/>
      <c r="D96" s="2"/>
      <c r="E96" s="2"/>
      <c r="F96" s="2"/>
      <c r="G96" s="2"/>
    </row>
    <row r="97" spans="2:7" x14ac:dyDescent="0.25">
      <c r="B97" s="4"/>
      <c r="C97" s="2"/>
      <c r="D97" s="2"/>
      <c r="E97" s="2"/>
      <c r="F97" s="2"/>
      <c r="G97" s="2"/>
    </row>
    <row r="98" spans="2:7" x14ac:dyDescent="0.25">
      <c r="B98" s="4"/>
      <c r="C98" s="2"/>
      <c r="D98" s="2"/>
      <c r="E98" s="2"/>
      <c r="F98" s="2"/>
      <c r="G98" s="2"/>
    </row>
    <row r="99" spans="2:7" x14ac:dyDescent="0.25">
      <c r="B99" s="4"/>
      <c r="C99" s="2"/>
      <c r="D99" s="2"/>
      <c r="E99" s="2"/>
      <c r="F99" s="2"/>
      <c r="G99" s="2"/>
    </row>
    <row r="100" spans="2:7" x14ac:dyDescent="0.25">
      <c r="B100" s="4"/>
      <c r="C100" s="2"/>
      <c r="D100" s="2"/>
      <c r="E100" s="2"/>
      <c r="F100" s="2"/>
      <c r="G100" s="2"/>
    </row>
    <row r="101" spans="2:7" x14ac:dyDescent="0.25">
      <c r="B101" s="4"/>
      <c r="C101" s="2"/>
      <c r="D101" s="2"/>
      <c r="E101" s="2"/>
      <c r="F101" s="2"/>
      <c r="G101" s="2"/>
    </row>
    <row r="102" spans="2:7" x14ac:dyDescent="0.25">
      <c r="B102" s="4"/>
      <c r="C102" s="2"/>
      <c r="D102" s="2"/>
      <c r="E102" s="2"/>
      <c r="F102" s="2"/>
      <c r="G102" s="2"/>
    </row>
    <row r="103" spans="2:7" x14ac:dyDescent="0.25">
      <c r="B103" s="4"/>
      <c r="C103" s="2"/>
      <c r="D103" s="2"/>
      <c r="E103" s="2"/>
      <c r="F103" s="2"/>
      <c r="G103" s="2"/>
    </row>
    <row r="104" spans="2:7" x14ac:dyDescent="0.25">
      <c r="B104" s="4"/>
      <c r="C104" s="2"/>
      <c r="D104" s="2"/>
      <c r="E104" s="2"/>
      <c r="F104" s="2"/>
      <c r="G104" s="2"/>
    </row>
    <row r="105" spans="2:7" x14ac:dyDescent="0.25">
      <c r="B105" s="4"/>
      <c r="C105" s="2"/>
      <c r="D105" s="2"/>
      <c r="E105" s="2"/>
      <c r="F105" s="2"/>
      <c r="G105" s="2"/>
    </row>
    <row r="106" spans="2:7" x14ac:dyDescent="0.25">
      <c r="B106" s="4"/>
      <c r="C106" s="2"/>
      <c r="D106" s="2"/>
      <c r="E106" s="2"/>
      <c r="F106" s="2"/>
      <c r="G106" s="2"/>
    </row>
    <row r="107" spans="2:7" x14ac:dyDescent="0.25">
      <c r="B107" s="4"/>
      <c r="C107" s="2"/>
      <c r="D107" s="2"/>
      <c r="E107" s="2"/>
      <c r="F107" s="2"/>
      <c r="G107" s="2"/>
    </row>
    <row r="108" spans="2:7" x14ac:dyDescent="0.25">
      <c r="B108" s="4"/>
      <c r="C108" s="2"/>
      <c r="D108" s="2"/>
      <c r="E108" s="2"/>
      <c r="F108" s="2"/>
      <c r="G108" s="2"/>
    </row>
    <row r="109" spans="2:7" x14ac:dyDescent="0.25">
      <c r="B109" s="4"/>
      <c r="C109" s="2"/>
      <c r="D109" s="2"/>
      <c r="E109" s="2"/>
      <c r="F109" s="2"/>
      <c r="G109" s="2"/>
    </row>
    <row r="110" spans="2:7" x14ac:dyDescent="0.25">
      <c r="B110" s="4"/>
      <c r="C110" s="2"/>
      <c r="D110" s="2"/>
      <c r="E110" s="2"/>
      <c r="F110" s="2"/>
      <c r="G110" s="2"/>
    </row>
    <row r="111" spans="2:7" x14ac:dyDescent="0.25">
      <c r="B111" s="4"/>
      <c r="C111" s="2"/>
      <c r="D111" s="2"/>
      <c r="E111" s="2"/>
      <c r="F111" s="2"/>
      <c r="G111" s="2"/>
    </row>
    <row r="112" spans="2:7" x14ac:dyDescent="0.25">
      <c r="B112" s="4"/>
      <c r="C112" s="2"/>
      <c r="D112" s="2"/>
      <c r="E112" s="2"/>
      <c r="F112" s="2"/>
      <c r="G112" s="2"/>
    </row>
    <row r="113" spans="2:7" x14ac:dyDescent="0.25">
      <c r="B113" s="4"/>
      <c r="C113" s="2"/>
      <c r="D113" s="2"/>
      <c r="E113" s="2"/>
      <c r="F113" s="2"/>
      <c r="G113" s="2"/>
    </row>
    <row r="114" spans="2:7" x14ac:dyDescent="0.25">
      <c r="B114" s="4"/>
      <c r="C114" s="2"/>
      <c r="D114" s="2"/>
      <c r="E114" s="2"/>
      <c r="F114" s="2"/>
      <c r="G114" s="2"/>
    </row>
    <row r="115" spans="2:7" x14ac:dyDescent="0.25">
      <c r="B115" s="4"/>
      <c r="C115" s="2"/>
      <c r="D115" s="2"/>
      <c r="E115" s="2"/>
      <c r="F115" s="2"/>
      <c r="G115" s="2"/>
    </row>
    <row r="116" spans="2:7" x14ac:dyDescent="0.25">
      <c r="B116" s="4"/>
      <c r="C116" s="2"/>
      <c r="D116" s="2"/>
      <c r="E116" s="2"/>
      <c r="F116" s="2"/>
      <c r="G116" s="2"/>
    </row>
    <row r="117" spans="2:7" x14ac:dyDescent="0.25">
      <c r="B117" s="4"/>
      <c r="C117" s="2"/>
      <c r="D117" s="2"/>
      <c r="E117" s="2"/>
      <c r="F117" s="2"/>
      <c r="G117" s="2"/>
    </row>
    <row r="118" spans="2:7" x14ac:dyDescent="0.25">
      <c r="B118" s="4"/>
      <c r="C118" s="2"/>
      <c r="D118" s="2"/>
      <c r="E118" s="2"/>
      <c r="F118" s="2"/>
      <c r="G118" s="2"/>
    </row>
    <row r="119" spans="2:7" x14ac:dyDescent="0.25">
      <c r="B119" s="4"/>
      <c r="C119" s="2"/>
      <c r="D119" s="2"/>
      <c r="E119" s="2"/>
      <c r="F119" s="2"/>
      <c r="G119" s="2"/>
    </row>
    <row r="120" spans="2:7" x14ac:dyDescent="0.25">
      <c r="B120" s="4"/>
      <c r="C120" s="2"/>
      <c r="D120" s="2"/>
      <c r="E120" s="2"/>
      <c r="F120" s="2"/>
      <c r="G120" s="2"/>
    </row>
    <row r="121" spans="2:7" x14ac:dyDescent="0.25">
      <c r="B121" s="4"/>
      <c r="C121" s="2"/>
      <c r="D121" s="2"/>
      <c r="E121" s="2"/>
      <c r="F121" s="2"/>
      <c r="G121" s="2"/>
    </row>
    <row r="122" spans="2:7" x14ac:dyDescent="0.25">
      <c r="B122" s="4"/>
      <c r="C122" s="2"/>
      <c r="D122" s="2"/>
      <c r="E122" s="2"/>
      <c r="F122" s="2"/>
      <c r="G122" s="2"/>
    </row>
    <row r="123" spans="2:7" x14ac:dyDescent="0.25">
      <c r="B123" s="4"/>
      <c r="C123" s="2"/>
      <c r="D123" s="2"/>
      <c r="E123" s="2"/>
      <c r="F123" s="2"/>
      <c r="G123" s="2"/>
    </row>
    <row r="124" spans="2:7" x14ac:dyDescent="0.25">
      <c r="B124" s="4"/>
      <c r="C124" s="2"/>
      <c r="D124" s="2"/>
      <c r="E124" s="2"/>
      <c r="F124" s="2"/>
      <c r="G124" s="2"/>
    </row>
    <row r="125" spans="2:7" x14ac:dyDescent="0.25">
      <c r="B125" s="4"/>
      <c r="C125" s="2"/>
      <c r="D125" s="2"/>
      <c r="E125" s="2"/>
      <c r="F125" s="2"/>
      <c r="G125" s="2"/>
    </row>
    <row r="126" spans="2:7" x14ac:dyDescent="0.25">
      <c r="B126" s="4"/>
      <c r="C126" s="2"/>
      <c r="D126" s="2"/>
      <c r="E126" s="2"/>
      <c r="F126" s="2"/>
      <c r="G126" s="2"/>
    </row>
    <row r="127" spans="2:7" x14ac:dyDescent="0.25">
      <c r="B127" s="4"/>
      <c r="C127" s="2"/>
      <c r="D127" s="2"/>
      <c r="E127" s="2"/>
      <c r="F127" s="2"/>
      <c r="G127" s="2"/>
    </row>
    <row r="128" spans="2:7" x14ac:dyDescent="0.25">
      <c r="B128" s="4"/>
      <c r="C128" s="2"/>
      <c r="D128" s="2"/>
      <c r="E128" s="2"/>
      <c r="F128" s="2"/>
      <c r="G128" s="2"/>
    </row>
    <row r="129" spans="2:7" x14ac:dyDescent="0.25">
      <c r="B129" s="4"/>
      <c r="C129" s="2"/>
      <c r="D129" s="2"/>
      <c r="E129" s="2"/>
      <c r="F129" s="2"/>
      <c r="G129" s="2"/>
    </row>
    <row r="130" spans="2:7" x14ac:dyDescent="0.25">
      <c r="B130" s="4"/>
      <c r="C130" s="2"/>
      <c r="D130" s="2"/>
      <c r="E130" s="2"/>
      <c r="F130" s="2"/>
      <c r="G130" s="2"/>
    </row>
    <row r="131" spans="2:7" x14ac:dyDescent="0.25">
      <c r="B131" s="4"/>
      <c r="C131" s="2"/>
      <c r="D131" s="2"/>
      <c r="E131" s="2"/>
      <c r="F131" s="2"/>
      <c r="G131" s="2"/>
    </row>
    <row r="132" spans="2:7" x14ac:dyDescent="0.25">
      <c r="B132" s="4"/>
      <c r="C132" s="2"/>
      <c r="D132" s="2"/>
      <c r="E132" s="2"/>
      <c r="F132" s="2"/>
      <c r="G132" s="2"/>
    </row>
    <row r="133" spans="2:7" x14ac:dyDescent="0.25">
      <c r="B133" s="4"/>
      <c r="C133" s="2"/>
      <c r="D133" s="2"/>
      <c r="E133" s="2"/>
      <c r="F133" s="2"/>
      <c r="G133" s="2"/>
    </row>
    <row r="134" spans="2:7" x14ac:dyDescent="0.25">
      <c r="B134" s="4"/>
      <c r="C134" s="2"/>
      <c r="D134" s="2"/>
      <c r="E134" s="2"/>
      <c r="F134" s="2"/>
      <c r="G134" s="2"/>
    </row>
    <row r="135" spans="2:7" x14ac:dyDescent="0.25">
      <c r="B135" s="4"/>
      <c r="C135" s="2"/>
      <c r="D135" s="2"/>
      <c r="E135" s="2"/>
      <c r="F135" s="2"/>
      <c r="G135" s="2"/>
    </row>
    <row r="136" spans="2:7" x14ac:dyDescent="0.25">
      <c r="B136" s="4"/>
      <c r="C136" s="2"/>
      <c r="D136" s="2"/>
      <c r="E136" s="2"/>
      <c r="F136" s="2"/>
      <c r="G136" s="2"/>
    </row>
    <row r="137" spans="2:7" x14ac:dyDescent="0.25">
      <c r="B137" s="4"/>
      <c r="C137" s="2"/>
      <c r="D137" s="2"/>
      <c r="E137" s="2"/>
      <c r="F137" s="2"/>
      <c r="G137" s="2"/>
    </row>
    <row r="138" spans="2:7" x14ac:dyDescent="0.25">
      <c r="B138" s="4"/>
      <c r="C138" s="2"/>
      <c r="D138" s="2"/>
      <c r="E138" s="2"/>
      <c r="F138" s="2"/>
      <c r="G138" s="2"/>
    </row>
    <row r="139" spans="2:7" x14ac:dyDescent="0.25">
      <c r="B139" s="4"/>
      <c r="C139" s="2"/>
      <c r="D139" s="2"/>
      <c r="E139" s="2"/>
      <c r="F139" s="2"/>
      <c r="G139" s="2"/>
    </row>
    <row r="140" spans="2:7" x14ac:dyDescent="0.25">
      <c r="B140" s="4"/>
      <c r="C140" s="2"/>
      <c r="D140" s="2"/>
      <c r="E140" s="2"/>
      <c r="F140" s="2"/>
      <c r="G140" s="2"/>
    </row>
    <row r="141" spans="2:7" x14ac:dyDescent="0.25">
      <c r="B141" s="4"/>
      <c r="C141" s="2"/>
      <c r="D141" s="2"/>
      <c r="E141" s="2"/>
      <c r="F141" s="2"/>
      <c r="G141" s="2"/>
    </row>
    <row r="142" spans="2:7" x14ac:dyDescent="0.25">
      <c r="B142" s="4"/>
      <c r="C142" s="2"/>
      <c r="D142" s="2"/>
      <c r="E142" s="2"/>
      <c r="F142" s="2"/>
      <c r="G142" s="2"/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B1:K29"/>
  <sheetViews>
    <sheetView workbookViewId="0">
      <selection activeCell="F23" sqref="F23"/>
    </sheetView>
  </sheetViews>
  <sheetFormatPr defaultRowHeight="15" x14ac:dyDescent="0.25"/>
  <cols>
    <col min="2" max="2" width="9.140625" style="24"/>
    <col min="3" max="3" width="35.140625" bestFit="1" customWidth="1"/>
    <col min="4" max="4" width="9.140625" style="24"/>
    <col min="8" max="8" width="40" bestFit="1" customWidth="1"/>
  </cols>
  <sheetData>
    <row r="1" spans="2:11" x14ac:dyDescent="0.25">
      <c r="B1" s="24" t="s">
        <v>1093</v>
      </c>
      <c r="C1" t="s">
        <v>6448</v>
      </c>
      <c r="D1" s="24" t="s">
        <v>6449</v>
      </c>
      <c r="E1" t="s">
        <v>6450</v>
      </c>
    </row>
    <row r="2" spans="2:11" x14ac:dyDescent="0.25">
      <c r="B2" s="24">
        <v>1</v>
      </c>
      <c r="C2" t="s">
        <v>6451</v>
      </c>
      <c r="D2" s="24">
        <v>1</v>
      </c>
      <c r="E2">
        <v>5000000</v>
      </c>
      <c r="H2" t="s">
        <v>6454</v>
      </c>
    </row>
    <row r="3" spans="2:11" x14ac:dyDescent="0.25">
      <c r="B3" s="24">
        <v>2</v>
      </c>
      <c r="C3" t="s">
        <v>6452</v>
      </c>
      <c r="E3">
        <v>4500000</v>
      </c>
      <c r="H3" t="s">
        <v>6455</v>
      </c>
    </row>
    <row r="4" spans="2:11" x14ac:dyDescent="0.25">
      <c r="B4" s="24">
        <v>3</v>
      </c>
      <c r="C4" t="s">
        <v>6453</v>
      </c>
      <c r="E4">
        <v>10000000</v>
      </c>
      <c r="H4" t="s">
        <v>6456</v>
      </c>
    </row>
    <row r="5" spans="2:11" x14ac:dyDescent="0.25">
      <c r="B5" s="24">
        <v>4</v>
      </c>
    </row>
    <row r="6" spans="2:11" x14ac:dyDescent="0.25">
      <c r="B6" s="24">
        <v>5</v>
      </c>
    </row>
    <row r="7" spans="2:11" x14ac:dyDescent="0.25">
      <c r="B7" s="24">
        <v>6</v>
      </c>
    </row>
    <row r="8" spans="2:11" x14ac:dyDescent="0.25">
      <c r="B8" s="24">
        <v>7</v>
      </c>
    </row>
    <row r="11" spans="2:11" x14ac:dyDescent="0.25">
      <c r="B11" s="24" t="s">
        <v>1093</v>
      </c>
      <c r="C11" t="s">
        <v>6611</v>
      </c>
      <c r="D11" t="s">
        <v>1067</v>
      </c>
      <c r="E11" t="s">
        <v>1068</v>
      </c>
      <c r="F11" t="s">
        <v>6612</v>
      </c>
      <c r="J11" t="s">
        <v>6448</v>
      </c>
      <c r="K11" t="s">
        <v>1762</v>
      </c>
    </row>
    <row r="12" spans="2:11" x14ac:dyDescent="0.25">
      <c r="B12" s="24">
        <v>1</v>
      </c>
      <c r="C12" t="s">
        <v>4059</v>
      </c>
      <c r="D12" t="s">
        <v>6613</v>
      </c>
      <c r="F12" t="s">
        <v>1766</v>
      </c>
      <c r="J12" t="s">
        <v>6613</v>
      </c>
      <c r="K12" t="s">
        <v>1766</v>
      </c>
    </row>
    <row r="13" spans="2:11" x14ac:dyDescent="0.25">
      <c r="B13" s="24">
        <v>2</v>
      </c>
      <c r="C13" t="s">
        <v>6614</v>
      </c>
      <c r="D13" t="s">
        <v>6613</v>
      </c>
      <c r="E13" t="s">
        <v>6615</v>
      </c>
      <c r="F13" t="s">
        <v>1766</v>
      </c>
      <c r="J13" t="s">
        <v>6618</v>
      </c>
      <c r="K13" t="s">
        <v>6631</v>
      </c>
    </row>
    <row r="14" spans="2:11" x14ac:dyDescent="0.25">
      <c r="B14" s="24">
        <v>3</v>
      </c>
      <c r="C14" t="s">
        <v>6616</v>
      </c>
      <c r="D14" t="s">
        <v>6613</v>
      </c>
      <c r="E14" t="s">
        <v>6615</v>
      </c>
      <c r="F14" t="s">
        <v>1766</v>
      </c>
      <c r="J14" t="s">
        <v>6615</v>
      </c>
      <c r="K14" t="s">
        <v>1767</v>
      </c>
    </row>
    <row r="15" spans="2:11" x14ac:dyDescent="0.25">
      <c r="B15" s="24">
        <v>4</v>
      </c>
      <c r="C15" t="s">
        <v>6617</v>
      </c>
      <c r="D15" t="s">
        <v>6618</v>
      </c>
      <c r="E15" t="s">
        <v>6613</v>
      </c>
      <c r="F15" t="s">
        <v>1766</v>
      </c>
      <c r="J15" t="s">
        <v>6452</v>
      </c>
    </row>
    <row r="16" spans="2:11" x14ac:dyDescent="0.25">
      <c r="B16" s="24">
        <v>5</v>
      </c>
      <c r="C16" t="s">
        <v>6619</v>
      </c>
      <c r="D16" t="s">
        <v>6618</v>
      </c>
      <c r="E16" t="s">
        <v>6613</v>
      </c>
      <c r="F16" t="s">
        <v>1766</v>
      </c>
      <c r="J16" t="s">
        <v>6632</v>
      </c>
    </row>
    <row r="17" spans="2:10" x14ac:dyDescent="0.25">
      <c r="B17" s="24">
        <v>6</v>
      </c>
      <c r="C17" t="s">
        <v>6620</v>
      </c>
      <c r="D17" t="s">
        <v>6618</v>
      </c>
      <c r="E17" t="s">
        <v>6613</v>
      </c>
      <c r="F17" t="s">
        <v>1766</v>
      </c>
      <c r="J17" t="s">
        <v>6633</v>
      </c>
    </row>
    <row r="18" spans="2:10" x14ac:dyDescent="0.25">
      <c r="B18" s="24">
        <v>7</v>
      </c>
      <c r="C18" t="s">
        <v>6621</v>
      </c>
      <c r="D18" t="s">
        <v>6613</v>
      </c>
      <c r="E18" t="s">
        <v>6615</v>
      </c>
      <c r="F18" t="s">
        <v>1766</v>
      </c>
      <c r="J18" t="s">
        <v>6634</v>
      </c>
    </row>
    <row r="19" spans="2:10" x14ac:dyDescent="0.25">
      <c r="B19" s="24">
        <v>8</v>
      </c>
      <c r="C19" t="s">
        <v>6622</v>
      </c>
      <c r="D19" t="s">
        <v>6613</v>
      </c>
      <c r="E19" t="s">
        <v>6615</v>
      </c>
      <c r="F19" t="s">
        <v>1766</v>
      </c>
    </row>
    <row r="20" spans="2:10" x14ac:dyDescent="0.25">
      <c r="B20" s="24">
        <v>9</v>
      </c>
      <c r="C20" t="s">
        <v>6623</v>
      </c>
      <c r="D20" t="s">
        <v>6618</v>
      </c>
      <c r="F20" t="s">
        <v>1766</v>
      </c>
      <c r="G20" t="s">
        <v>6624</v>
      </c>
    </row>
    <row r="21" spans="2:10" x14ac:dyDescent="0.25">
      <c r="B21" s="24">
        <v>10</v>
      </c>
      <c r="C21" t="s">
        <v>6625</v>
      </c>
      <c r="D21" t="s">
        <v>6613</v>
      </c>
      <c r="E21" t="s">
        <v>6615</v>
      </c>
      <c r="F21" t="s">
        <v>1766</v>
      </c>
    </row>
    <row r="22" spans="2:10" x14ac:dyDescent="0.25">
      <c r="B22" s="24">
        <v>11</v>
      </c>
      <c r="C22" t="s">
        <v>6626</v>
      </c>
      <c r="D22" t="s">
        <v>6613</v>
      </c>
      <c r="E22" t="s">
        <v>6615</v>
      </c>
      <c r="F22" t="s">
        <v>1766</v>
      </c>
    </row>
    <row r="23" spans="2:10" x14ac:dyDescent="0.25">
      <c r="B23" s="24">
        <v>12</v>
      </c>
      <c r="C23" t="s">
        <v>6627</v>
      </c>
      <c r="D23" t="s">
        <v>6613</v>
      </c>
      <c r="E23" t="s">
        <v>6615</v>
      </c>
    </row>
    <row r="24" spans="2:10" x14ac:dyDescent="0.25">
      <c r="B24" s="24">
        <v>13</v>
      </c>
      <c r="C24" t="s">
        <v>6628</v>
      </c>
      <c r="D24" t="s">
        <v>6613</v>
      </c>
      <c r="E24" t="s">
        <v>6615</v>
      </c>
    </row>
    <row r="25" spans="2:10" x14ac:dyDescent="0.25">
      <c r="B25" s="24">
        <v>14</v>
      </c>
      <c r="C25" t="s">
        <v>6629</v>
      </c>
      <c r="D25" t="s">
        <v>6613</v>
      </c>
      <c r="E25" t="s">
        <v>6615</v>
      </c>
    </row>
    <row r="26" spans="2:10" x14ac:dyDescent="0.25">
      <c r="B26" s="24">
        <v>15</v>
      </c>
      <c r="C26" t="s">
        <v>6630</v>
      </c>
      <c r="D26" t="s">
        <v>6613</v>
      </c>
      <c r="E26" t="s">
        <v>6615</v>
      </c>
    </row>
    <row r="27" spans="2:10" x14ac:dyDescent="0.25">
      <c r="B27" s="24">
        <v>16</v>
      </c>
      <c r="D27"/>
    </row>
    <row r="28" spans="2:10" x14ac:dyDescent="0.25">
      <c r="D28"/>
    </row>
    <row r="29" spans="2:10" x14ac:dyDescent="0.25">
      <c r="C29" t="s">
        <v>6635</v>
      </c>
      <c r="D29" t="s">
        <v>6632</v>
      </c>
      <c r="G29" t="s">
        <v>6636</v>
      </c>
    </row>
  </sheetData>
  <dataValidations count="2">
    <dataValidation type="list" allowBlank="1" showInputMessage="1" showErrorMessage="1" sqref="F23:F28" xr:uid="{00000000-0002-0000-6500-000000000000}">
      <formula1>$J$3:$J$6</formula1>
    </dataValidation>
    <dataValidation type="list" allowBlank="1" showInputMessage="1" showErrorMessage="1" sqref="D12:E29" xr:uid="{00000000-0002-0000-6500-000001000000}">
      <formula1>$J$11:$J$13</formula1>
    </dataValidation>
  </dataValidations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B2:G136"/>
  <sheetViews>
    <sheetView workbookViewId="0">
      <selection activeCell="C20" sqref="C20"/>
    </sheetView>
  </sheetViews>
  <sheetFormatPr defaultRowHeight="15" x14ac:dyDescent="0.25"/>
  <cols>
    <col min="2" max="2" width="18" bestFit="1" customWidth="1"/>
    <col min="3" max="3" width="74.5703125" customWidth="1"/>
    <col min="4" max="4" width="51" customWidth="1"/>
    <col min="5" max="5" width="11.85546875" hidden="1" customWidth="1"/>
    <col min="6" max="6" width="0" hidden="1" customWidth="1"/>
    <col min="7" max="7" width="0.42578125" hidden="1" customWidth="1"/>
  </cols>
  <sheetData>
    <row r="2" spans="2:7" x14ac:dyDescent="0.25">
      <c r="B2" s="144" t="s">
        <v>6511</v>
      </c>
    </row>
    <row r="3" spans="2:7" ht="15.75" x14ac:dyDescent="0.25">
      <c r="B3" s="10" t="s">
        <v>0</v>
      </c>
      <c r="C3" s="11" t="s">
        <v>1</v>
      </c>
      <c r="D3" s="11" t="s">
        <v>2</v>
      </c>
      <c r="E3" s="11" t="s">
        <v>934</v>
      </c>
      <c r="F3" s="11" t="s">
        <v>1095</v>
      </c>
      <c r="G3" s="11" t="s">
        <v>1507</v>
      </c>
    </row>
    <row r="4" spans="2:7" x14ac:dyDescent="0.25">
      <c r="B4" s="4">
        <v>46065</v>
      </c>
      <c r="C4" s="2" t="s">
        <v>6514</v>
      </c>
      <c r="D4" s="2"/>
      <c r="E4" s="23"/>
      <c r="F4" s="2"/>
      <c r="G4" s="2"/>
    </row>
    <row r="5" spans="2:7" x14ac:dyDescent="0.25">
      <c r="B5" s="4">
        <v>46066</v>
      </c>
      <c r="C5" s="2" t="s">
        <v>6513</v>
      </c>
      <c r="D5" s="2"/>
      <c r="E5" s="23"/>
      <c r="F5" s="2"/>
      <c r="G5" s="2"/>
    </row>
    <row r="6" spans="2:7" x14ac:dyDescent="0.25">
      <c r="B6" s="4">
        <v>46067</v>
      </c>
      <c r="C6" s="2" t="s">
        <v>6512</v>
      </c>
      <c r="D6" s="2"/>
      <c r="E6" s="23"/>
      <c r="F6" s="2"/>
      <c r="G6" s="2"/>
    </row>
    <row r="7" spans="2:7" x14ac:dyDescent="0.25">
      <c r="B7" s="4">
        <v>46068</v>
      </c>
      <c r="C7" s="2" t="s">
        <v>6527</v>
      </c>
      <c r="D7" s="58"/>
      <c r="E7" s="23"/>
      <c r="F7" s="2"/>
      <c r="G7" s="2"/>
    </row>
    <row r="8" spans="2:7" x14ac:dyDescent="0.25">
      <c r="B8" s="4">
        <v>46069</v>
      </c>
      <c r="C8" s="2" t="s">
        <v>6534</v>
      </c>
      <c r="D8" s="58"/>
      <c r="E8" s="23"/>
      <c r="F8" s="2"/>
      <c r="G8" s="2"/>
    </row>
    <row r="9" spans="2:7" x14ac:dyDescent="0.25">
      <c r="B9" s="4">
        <v>46070</v>
      </c>
      <c r="C9" s="2" t="s">
        <v>6539</v>
      </c>
      <c r="D9" s="58"/>
      <c r="E9" s="23"/>
      <c r="F9" s="2"/>
      <c r="G9" s="2"/>
    </row>
    <row r="10" spans="2:7" x14ac:dyDescent="0.25">
      <c r="B10" s="4">
        <v>46071</v>
      </c>
      <c r="C10" s="2" t="s">
        <v>5362</v>
      </c>
      <c r="D10" s="2"/>
      <c r="E10" s="2"/>
      <c r="F10" s="2"/>
      <c r="G10" s="2"/>
    </row>
    <row r="11" spans="2:7" x14ac:dyDescent="0.25">
      <c r="B11" s="4">
        <v>46072</v>
      </c>
      <c r="C11" s="2" t="s">
        <v>5362</v>
      </c>
      <c r="D11" s="2"/>
      <c r="E11" s="2"/>
      <c r="F11" s="2"/>
      <c r="G11" s="2"/>
    </row>
    <row r="12" spans="2:7" x14ac:dyDescent="0.25">
      <c r="B12" s="4">
        <v>46073</v>
      </c>
      <c r="C12" s="2"/>
      <c r="D12" s="2"/>
      <c r="E12" s="2"/>
      <c r="F12" s="2"/>
      <c r="G12" s="2"/>
    </row>
    <row r="13" spans="2:7" x14ac:dyDescent="0.25">
      <c r="B13" s="4">
        <v>46086</v>
      </c>
      <c r="C13" s="2" t="s">
        <v>6668</v>
      </c>
      <c r="D13" s="2"/>
      <c r="E13" s="2"/>
      <c r="F13" s="2"/>
      <c r="G13" s="2"/>
    </row>
    <row r="14" spans="2:7" x14ac:dyDescent="0.25">
      <c r="B14" s="4">
        <v>46087</v>
      </c>
      <c r="C14" s="2" t="s">
        <v>6673</v>
      </c>
      <c r="D14" s="2"/>
      <c r="E14" s="2"/>
      <c r="F14" s="2"/>
      <c r="G14" s="2"/>
    </row>
    <row r="15" spans="2:7" x14ac:dyDescent="0.25">
      <c r="B15" s="4">
        <v>46088</v>
      </c>
      <c r="C15" s="2" t="s">
        <v>6683</v>
      </c>
      <c r="D15" s="2"/>
      <c r="E15" s="2"/>
      <c r="F15" s="2"/>
      <c r="G15" s="2"/>
    </row>
    <row r="16" spans="2:7" x14ac:dyDescent="0.25">
      <c r="B16" s="4">
        <v>46089</v>
      </c>
      <c r="C16" s="2" t="s">
        <v>6684</v>
      </c>
      <c r="D16" s="2"/>
      <c r="E16" s="2"/>
      <c r="F16" s="2"/>
      <c r="G16" s="2"/>
    </row>
    <row r="17" spans="2:7" x14ac:dyDescent="0.25">
      <c r="B17" s="4">
        <v>46090</v>
      </c>
      <c r="C17" s="2" t="s">
        <v>6685</v>
      </c>
      <c r="D17" s="2"/>
      <c r="E17" s="2"/>
      <c r="F17" s="2"/>
      <c r="G17" s="2"/>
    </row>
    <row r="18" spans="2:7" x14ac:dyDescent="0.25">
      <c r="B18" s="4">
        <v>46091</v>
      </c>
      <c r="C18" s="2" t="s">
        <v>6693</v>
      </c>
      <c r="D18" s="2"/>
      <c r="E18" s="2"/>
      <c r="F18" s="2"/>
      <c r="G18" s="2"/>
    </row>
    <row r="19" spans="2:7" x14ac:dyDescent="0.25">
      <c r="B19" s="4">
        <v>46092</v>
      </c>
      <c r="C19" s="2" t="s">
        <v>4597</v>
      </c>
      <c r="D19" s="2"/>
      <c r="E19" s="2"/>
      <c r="F19" s="2"/>
      <c r="G19" s="2"/>
    </row>
    <row r="20" spans="2:7" x14ac:dyDescent="0.25">
      <c r="B20" s="4">
        <v>46093</v>
      </c>
      <c r="C20" s="2"/>
      <c r="D20" s="2"/>
      <c r="E20" s="2"/>
      <c r="F20" s="2"/>
      <c r="G20" s="2"/>
    </row>
    <row r="21" spans="2:7" x14ac:dyDescent="0.25">
      <c r="B21" s="4">
        <v>46094</v>
      </c>
      <c r="C21" s="2"/>
      <c r="D21" s="2"/>
      <c r="E21" s="2"/>
      <c r="F21" s="2"/>
      <c r="G21" s="2"/>
    </row>
    <row r="22" spans="2:7" x14ac:dyDescent="0.25">
      <c r="B22" s="4"/>
      <c r="C22" s="2"/>
      <c r="D22" s="2"/>
      <c r="E22" s="2"/>
      <c r="F22" s="2"/>
      <c r="G22" s="2"/>
    </row>
    <row r="23" spans="2:7" x14ac:dyDescent="0.25">
      <c r="B23" s="4"/>
      <c r="C23" s="2"/>
      <c r="D23" s="2"/>
      <c r="E23" s="2"/>
      <c r="F23" s="2"/>
      <c r="G23" s="2"/>
    </row>
    <row r="24" spans="2:7" x14ac:dyDescent="0.25">
      <c r="B24" s="4"/>
      <c r="C24" s="2"/>
      <c r="D24" s="2"/>
      <c r="E24" s="2"/>
      <c r="F24" s="2"/>
      <c r="G24" s="2"/>
    </row>
    <row r="25" spans="2:7" x14ac:dyDescent="0.25">
      <c r="B25" s="4"/>
      <c r="C25" s="2"/>
      <c r="D25" s="2"/>
      <c r="E25" s="2"/>
      <c r="F25" s="2"/>
      <c r="G25" s="2"/>
    </row>
    <row r="26" spans="2:7" x14ac:dyDescent="0.25">
      <c r="B26" s="4"/>
      <c r="C26" s="2"/>
      <c r="D26" s="2"/>
      <c r="E26" s="2"/>
      <c r="F26" s="2"/>
      <c r="G26" s="2"/>
    </row>
    <row r="27" spans="2:7" x14ac:dyDescent="0.25">
      <c r="B27" s="4"/>
      <c r="C27" s="2"/>
      <c r="D27" s="2"/>
      <c r="E27" s="2"/>
      <c r="F27" s="2"/>
      <c r="G27" s="2"/>
    </row>
    <row r="28" spans="2:7" x14ac:dyDescent="0.25">
      <c r="B28" s="4"/>
      <c r="C28" s="2"/>
      <c r="D28" s="2"/>
      <c r="E28" s="2"/>
      <c r="F28" s="2"/>
      <c r="G28" s="2"/>
    </row>
    <row r="29" spans="2:7" x14ac:dyDescent="0.25">
      <c r="B29" s="4"/>
      <c r="C29" s="2"/>
      <c r="D29" s="2"/>
      <c r="E29" s="2"/>
      <c r="F29" s="2"/>
      <c r="G29" s="2"/>
    </row>
    <row r="30" spans="2:7" x14ac:dyDescent="0.25">
      <c r="B30" s="4"/>
      <c r="C30" s="2"/>
      <c r="D30" s="2"/>
      <c r="E30" s="2"/>
      <c r="F30" s="2"/>
      <c r="G30" s="2"/>
    </row>
    <row r="31" spans="2:7" x14ac:dyDescent="0.25">
      <c r="B31" s="4"/>
      <c r="C31" s="2"/>
      <c r="D31" s="2"/>
      <c r="E31" s="2"/>
      <c r="F31" s="2"/>
      <c r="G31" s="2"/>
    </row>
    <row r="32" spans="2:7" x14ac:dyDescent="0.25">
      <c r="B32" s="4"/>
      <c r="C32" s="2"/>
      <c r="D32" s="2"/>
      <c r="E32" s="2"/>
      <c r="F32" s="2"/>
      <c r="G32" s="2"/>
    </row>
    <row r="33" spans="2:7" x14ac:dyDescent="0.25">
      <c r="B33" s="4"/>
      <c r="C33" s="2"/>
      <c r="D33" s="2"/>
      <c r="E33" s="2"/>
      <c r="F33" s="2"/>
      <c r="G33" s="2"/>
    </row>
    <row r="34" spans="2:7" x14ac:dyDescent="0.25">
      <c r="B34" s="4"/>
      <c r="C34" s="2"/>
      <c r="D34" s="2"/>
      <c r="E34" s="2"/>
      <c r="F34" s="2"/>
      <c r="G34" s="2"/>
    </row>
    <row r="35" spans="2:7" x14ac:dyDescent="0.25">
      <c r="B35" s="4"/>
      <c r="C35" s="2"/>
      <c r="D35" s="2"/>
      <c r="E35" s="2"/>
      <c r="F35" s="2"/>
      <c r="G35" s="2"/>
    </row>
    <row r="36" spans="2:7" x14ac:dyDescent="0.25">
      <c r="B36" s="4"/>
      <c r="C36" s="2"/>
      <c r="D36" s="2"/>
      <c r="E36" s="2"/>
      <c r="F36" s="2"/>
      <c r="G36" s="2"/>
    </row>
    <row r="37" spans="2:7" x14ac:dyDescent="0.25">
      <c r="B37" s="4"/>
      <c r="C37" s="2"/>
      <c r="D37" s="2"/>
      <c r="E37" s="2"/>
      <c r="F37" s="2"/>
      <c r="G37" s="2"/>
    </row>
    <row r="38" spans="2:7" x14ac:dyDescent="0.25">
      <c r="B38" s="4"/>
      <c r="C38" s="2"/>
      <c r="D38" s="2"/>
      <c r="E38" s="2"/>
      <c r="F38" s="2"/>
      <c r="G38" s="2"/>
    </row>
    <row r="39" spans="2:7" x14ac:dyDescent="0.25">
      <c r="B39" s="4"/>
      <c r="C39" s="2"/>
      <c r="D39" s="2"/>
      <c r="E39" s="2"/>
      <c r="F39" s="2"/>
      <c r="G39" s="2"/>
    </row>
    <row r="40" spans="2:7" x14ac:dyDescent="0.25">
      <c r="B40" s="4"/>
      <c r="C40" s="2"/>
      <c r="D40" s="2"/>
      <c r="E40" s="2"/>
      <c r="F40" s="2"/>
      <c r="G40" s="2"/>
    </row>
    <row r="41" spans="2:7" x14ac:dyDescent="0.25">
      <c r="B41" s="4"/>
      <c r="C41" s="2"/>
      <c r="D41" s="2"/>
      <c r="E41" s="2"/>
      <c r="F41" s="2"/>
      <c r="G41" s="2"/>
    </row>
    <row r="42" spans="2:7" x14ac:dyDescent="0.25">
      <c r="B42" s="4"/>
      <c r="C42" s="2"/>
      <c r="D42" s="2"/>
      <c r="E42" s="2"/>
      <c r="F42" s="2"/>
      <c r="G42" s="2"/>
    </row>
    <row r="43" spans="2:7" x14ac:dyDescent="0.25">
      <c r="B43" s="4"/>
      <c r="C43" s="2"/>
      <c r="D43" s="2"/>
      <c r="E43" s="2"/>
      <c r="F43" s="2"/>
      <c r="G43" s="2"/>
    </row>
    <row r="44" spans="2:7" x14ac:dyDescent="0.25">
      <c r="B44" s="4"/>
      <c r="C44" s="2"/>
      <c r="D44" s="2"/>
      <c r="E44" s="2"/>
      <c r="F44" s="2"/>
      <c r="G44" s="2"/>
    </row>
    <row r="45" spans="2:7" x14ac:dyDescent="0.25">
      <c r="B45" s="4"/>
      <c r="C45" s="2"/>
      <c r="D45" s="2"/>
      <c r="E45" s="2"/>
      <c r="F45" s="2"/>
      <c r="G45" s="2"/>
    </row>
    <row r="46" spans="2:7" x14ac:dyDescent="0.25">
      <c r="B46" s="4"/>
      <c r="C46" s="2"/>
      <c r="D46" s="2"/>
      <c r="E46" s="2"/>
      <c r="F46" s="2"/>
      <c r="G46" s="2"/>
    </row>
    <row r="47" spans="2:7" x14ac:dyDescent="0.25">
      <c r="B47" s="4"/>
      <c r="C47" s="2"/>
      <c r="D47" s="2"/>
      <c r="E47" s="2"/>
      <c r="F47" s="2"/>
      <c r="G47" s="2"/>
    </row>
    <row r="48" spans="2:7" x14ac:dyDescent="0.25">
      <c r="B48" s="4"/>
      <c r="C48" s="2"/>
      <c r="D48" s="2"/>
      <c r="E48" s="2"/>
      <c r="F48" s="2"/>
      <c r="G48" s="2"/>
    </row>
    <row r="49" spans="2:7" x14ac:dyDescent="0.25">
      <c r="B49" s="4"/>
      <c r="C49" s="2"/>
      <c r="D49" s="2"/>
      <c r="E49" s="2"/>
      <c r="F49" s="2"/>
      <c r="G49" s="2"/>
    </row>
    <row r="50" spans="2:7" x14ac:dyDescent="0.25">
      <c r="B50" s="4"/>
      <c r="C50" s="2"/>
      <c r="D50" s="2"/>
      <c r="E50" s="2"/>
      <c r="F50" s="2"/>
      <c r="G50" s="2"/>
    </row>
    <row r="51" spans="2:7" x14ac:dyDescent="0.25">
      <c r="B51" s="4"/>
      <c r="C51" s="2"/>
      <c r="D51" s="2"/>
      <c r="E51" s="2"/>
      <c r="F51" s="2"/>
      <c r="G51" s="2"/>
    </row>
    <row r="52" spans="2:7" x14ac:dyDescent="0.25">
      <c r="B52" s="4"/>
      <c r="C52" s="2"/>
      <c r="D52" s="2"/>
      <c r="E52" s="2"/>
      <c r="F52" s="2"/>
      <c r="G52" s="2"/>
    </row>
    <row r="53" spans="2:7" x14ac:dyDescent="0.25">
      <c r="B53" s="4"/>
      <c r="C53" s="2"/>
      <c r="D53" s="2"/>
      <c r="E53" s="2"/>
      <c r="F53" s="2"/>
      <c r="G53" s="2"/>
    </row>
    <row r="54" spans="2:7" x14ac:dyDescent="0.25">
      <c r="B54" s="4"/>
      <c r="C54" s="2"/>
      <c r="D54" s="2"/>
      <c r="E54" s="2"/>
      <c r="F54" s="2"/>
      <c r="G54" s="2"/>
    </row>
    <row r="55" spans="2:7" x14ac:dyDescent="0.25">
      <c r="B55" s="4"/>
      <c r="C55" s="2"/>
      <c r="D55" s="2"/>
      <c r="E55" s="2"/>
      <c r="F55" s="2"/>
      <c r="G55" s="2"/>
    </row>
    <row r="56" spans="2:7" x14ac:dyDescent="0.25">
      <c r="B56" s="4"/>
      <c r="C56" s="2"/>
      <c r="D56" s="2"/>
      <c r="E56" s="2"/>
      <c r="F56" s="2"/>
      <c r="G56" s="2"/>
    </row>
    <row r="57" spans="2:7" x14ac:dyDescent="0.25">
      <c r="B57" s="4"/>
      <c r="C57" s="2"/>
      <c r="D57" s="2"/>
      <c r="E57" s="2"/>
      <c r="F57" s="2"/>
      <c r="G57" s="2"/>
    </row>
    <row r="58" spans="2:7" x14ac:dyDescent="0.25">
      <c r="B58" s="4"/>
      <c r="C58" s="2"/>
      <c r="D58" s="2"/>
      <c r="E58" s="2"/>
      <c r="F58" s="2"/>
      <c r="G58" s="2"/>
    </row>
    <row r="59" spans="2:7" x14ac:dyDescent="0.25">
      <c r="B59" s="4"/>
      <c r="C59" s="2"/>
      <c r="D59" s="2"/>
      <c r="E59" s="2"/>
      <c r="F59" s="2"/>
      <c r="G59" s="2"/>
    </row>
    <row r="60" spans="2:7" x14ac:dyDescent="0.25">
      <c r="B60" s="4"/>
      <c r="C60" s="2"/>
      <c r="D60" s="2"/>
      <c r="E60" s="2"/>
      <c r="F60" s="2"/>
      <c r="G60" s="2"/>
    </row>
    <row r="61" spans="2:7" x14ac:dyDescent="0.25">
      <c r="B61" s="4"/>
      <c r="C61" s="2"/>
      <c r="D61" s="2"/>
      <c r="E61" s="2"/>
      <c r="F61" s="2"/>
      <c r="G61" s="2"/>
    </row>
    <row r="62" spans="2:7" x14ac:dyDescent="0.25">
      <c r="B62" s="4"/>
      <c r="C62" s="2"/>
      <c r="D62" s="2"/>
      <c r="E62" s="2"/>
      <c r="F62" s="2"/>
      <c r="G62" s="2"/>
    </row>
    <row r="63" spans="2:7" x14ac:dyDescent="0.25">
      <c r="B63" s="4"/>
      <c r="C63" s="2"/>
      <c r="D63" s="2"/>
      <c r="E63" s="2"/>
      <c r="F63" s="2"/>
      <c r="G63" s="2"/>
    </row>
    <row r="64" spans="2:7" x14ac:dyDescent="0.25">
      <c r="B64" s="4"/>
      <c r="C64" s="2"/>
      <c r="D64" s="2"/>
      <c r="E64" s="2"/>
      <c r="F64" s="2"/>
      <c r="G64" s="2"/>
    </row>
    <row r="65" spans="2:7" x14ac:dyDescent="0.25">
      <c r="B65" s="4"/>
      <c r="C65" s="2"/>
      <c r="D65" s="2"/>
      <c r="E65" s="2"/>
      <c r="F65" s="2"/>
      <c r="G65" s="2"/>
    </row>
    <row r="66" spans="2:7" x14ac:dyDescent="0.25">
      <c r="B66" s="4"/>
      <c r="C66" s="2"/>
      <c r="D66" s="2"/>
      <c r="E66" s="2"/>
      <c r="F66" s="2"/>
      <c r="G66" s="2"/>
    </row>
    <row r="67" spans="2:7" x14ac:dyDescent="0.25">
      <c r="B67" s="4"/>
      <c r="C67" s="2"/>
      <c r="D67" s="2"/>
      <c r="E67" s="2"/>
      <c r="F67" s="2"/>
      <c r="G67" s="2"/>
    </row>
    <row r="68" spans="2:7" x14ac:dyDescent="0.25">
      <c r="B68" s="4"/>
      <c r="C68" s="2"/>
      <c r="D68" s="2"/>
      <c r="E68" s="2"/>
      <c r="F68" s="2"/>
      <c r="G68" s="2"/>
    </row>
    <row r="69" spans="2:7" x14ac:dyDescent="0.25">
      <c r="B69" s="4"/>
      <c r="C69" s="2"/>
      <c r="D69" s="2"/>
      <c r="E69" s="2"/>
      <c r="F69" s="2"/>
      <c r="G69" s="2"/>
    </row>
    <row r="70" spans="2:7" x14ac:dyDescent="0.25">
      <c r="B70" s="4"/>
      <c r="C70" s="2"/>
      <c r="D70" s="2"/>
      <c r="E70" s="2"/>
      <c r="F70" s="2"/>
      <c r="G70" s="2"/>
    </row>
    <row r="71" spans="2:7" x14ac:dyDescent="0.25">
      <c r="B71" s="4"/>
      <c r="C71" s="2"/>
      <c r="D71" s="2"/>
      <c r="E71" s="2"/>
      <c r="F71" s="2"/>
      <c r="G71" s="2"/>
    </row>
    <row r="72" spans="2:7" x14ac:dyDescent="0.25">
      <c r="B72" s="4"/>
      <c r="C72" s="2"/>
      <c r="D72" s="2"/>
      <c r="E72" s="2"/>
      <c r="F72" s="2"/>
      <c r="G72" s="2"/>
    </row>
    <row r="73" spans="2:7" x14ac:dyDescent="0.25">
      <c r="B73" s="4"/>
      <c r="C73" s="2"/>
      <c r="D73" s="2"/>
      <c r="E73" s="2"/>
      <c r="F73" s="2"/>
      <c r="G73" s="2"/>
    </row>
    <row r="74" spans="2:7" x14ac:dyDescent="0.25">
      <c r="B74" s="4"/>
      <c r="C74" s="2"/>
      <c r="D74" s="2"/>
      <c r="E74" s="2"/>
      <c r="F74" s="2"/>
      <c r="G74" s="2"/>
    </row>
    <row r="75" spans="2:7" x14ac:dyDescent="0.25">
      <c r="B75" s="4"/>
      <c r="C75" s="2"/>
      <c r="D75" s="2"/>
      <c r="E75" s="2"/>
      <c r="F75" s="2"/>
      <c r="G75" s="2"/>
    </row>
    <row r="76" spans="2:7" x14ac:dyDescent="0.25">
      <c r="B76" s="4"/>
      <c r="C76" s="2"/>
      <c r="D76" s="2"/>
      <c r="E76" s="2"/>
      <c r="F76" s="2"/>
      <c r="G76" s="2"/>
    </row>
    <row r="77" spans="2:7" x14ac:dyDescent="0.25">
      <c r="B77" s="4"/>
      <c r="C77" s="2"/>
      <c r="D77" s="2"/>
      <c r="E77" s="2"/>
      <c r="F77" s="2"/>
      <c r="G77" s="2"/>
    </row>
    <row r="78" spans="2:7" x14ac:dyDescent="0.25">
      <c r="B78" s="4"/>
      <c r="C78" s="2"/>
      <c r="D78" s="2"/>
      <c r="E78" s="2"/>
      <c r="F78" s="2"/>
      <c r="G78" s="2"/>
    </row>
    <row r="79" spans="2:7" x14ac:dyDescent="0.25">
      <c r="B79" s="4"/>
      <c r="C79" s="2"/>
      <c r="D79" s="2"/>
      <c r="E79" s="2"/>
      <c r="F79" s="2"/>
      <c r="G79" s="2"/>
    </row>
    <row r="80" spans="2:7" x14ac:dyDescent="0.25">
      <c r="B80" s="4"/>
      <c r="C80" s="2"/>
      <c r="D80" s="2"/>
      <c r="E80" s="2"/>
      <c r="F80" s="2"/>
      <c r="G80" s="2"/>
    </row>
    <row r="81" spans="2:7" x14ac:dyDescent="0.25">
      <c r="B81" s="4"/>
      <c r="C81" s="2"/>
      <c r="D81" s="2"/>
      <c r="E81" s="2"/>
      <c r="F81" s="2"/>
      <c r="G81" s="2"/>
    </row>
    <row r="82" spans="2:7" x14ac:dyDescent="0.25">
      <c r="B82" s="4"/>
      <c r="C82" s="2"/>
      <c r="D82" s="2"/>
      <c r="E82" s="2"/>
      <c r="F82" s="2"/>
      <c r="G82" s="2"/>
    </row>
    <row r="83" spans="2:7" x14ac:dyDescent="0.25">
      <c r="B83" s="4"/>
      <c r="C83" s="2"/>
      <c r="D83" s="2"/>
      <c r="E83" s="2"/>
      <c r="F83" s="2"/>
      <c r="G83" s="2"/>
    </row>
    <row r="84" spans="2:7" x14ac:dyDescent="0.25">
      <c r="B84" s="4"/>
      <c r="C84" s="2"/>
      <c r="D84" s="2"/>
      <c r="E84" s="2"/>
      <c r="F84" s="2"/>
      <c r="G84" s="2"/>
    </row>
    <row r="85" spans="2:7" x14ac:dyDescent="0.25">
      <c r="B85" s="4"/>
      <c r="C85" s="2"/>
      <c r="D85" s="2"/>
      <c r="E85" s="2"/>
      <c r="F85" s="2"/>
      <c r="G85" s="2"/>
    </row>
    <row r="86" spans="2:7" x14ac:dyDescent="0.25">
      <c r="B86" s="4"/>
      <c r="C86" s="2"/>
      <c r="D86" s="2"/>
      <c r="E86" s="2"/>
      <c r="F86" s="2"/>
      <c r="G86" s="2"/>
    </row>
    <row r="87" spans="2:7" x14ac:dyDescent="0.25">
      <c r="B87" s="4"/>
      <c r="C87" s="2"/>
      <c r="D87" s="2"/>
      <c r="E87" s="2"/>
      <c r="F87" s="2"/>
      <c r="G87" s="2"/>
    </row>
    <row r="88" spans="2:7" x14ac:dyDescent="0.25">
      <c r="B88" s="4"/>
      <c r="C88" s="2"/>
      <c r="D88" s="2"/>
      <c r="E88" s="2"/>
      <c r="F88" s="2"/>
      <c r="G88" s="2"/>
    </row>
    <row r="89" spans="2:7" x14ac:dyDescent="0.25">
      <c r="B89" s="4"/>
      <c r="C89" s="2"/>
      <c r="D89" s="2"/>
      <c r="E89" s="2"/>
      <c r="F89" s="2"/>
      <c r="G89" s="2"/>
    </row>
    <row r="90" spans="2:7" x14ac:dyDescent="0.25">
      <c r="B90" s="4"/>
      <c r="C90" s="2"/>
      <c r="D90" s="2"/>
      <c r="E90" s="2"/>
      <c r="F90" s="2"/>
      <c r="G90" s="2"/>
    </row>
    <row r="91" spans="2:7" x14ac:dyDescent="0.25">
      <c r="B91" s="4"/>
      <c r="C91" s="2"/>
      <c r="D91" s="2"/>
      <c r="E91" s="2"/>
      <c r="F91" s="2"/>
      <c r="G91" s="2"/>
    </row>
    <row r="92" spans="2:7" x14ac:dyDescent="0.25">
      <c r="B92" s="4"/>
      <c r="C92" s="2"/>
      <c r="D92" s="2"/>
      <c r="E92" s="2"/>
      <c r="F92" s="2"/>
      <c r="G92" s="2"/>
    </row>
    <row r="93" spans="2:7" x14ac:dyDescent="0.25">
      <c r="B93" s="4"/>
      <c r="C93" s="2"/>
      <c r="D93" s="2"/>
      <c r="E93" s="2"/>
      <c r="F93" s="2"/>
      <c r="G93" s="2"/>
    </row>
    <row r="94" spans="2:7" x14ac:dyDescent="0.25">
      <c r="B94" s="4"/>
      <c r="C94" s="2"/>
      <c r="D94" s="2"/>
      <c r="E94" s="2"/>
      <c r="F94" s="2"/>
      <c r="G94" s="2"/>
    </row>
    <row r="95" spans="2:7" x14ac:dyDescent="0.25">
      <c r="B95" s="4"/>
      <c r="C95" s="2"/>
      <c r="D95" s="2"/>
      <c r="E95" s="2"/>
      <c r="F95" s="2"/>
      <c r="G95" s="2"/>
    </row>
    <row r="96" spans="2:7" x14ac:dyDescent="0.25">
      <c r="B96" s="4"/>
      <c r="C96" s="2"/>
      <c r="D96" s="2"/>
      <c r="E96" s="2"/>
      <c r="F96" s="2"/>
      <c r="G96" s="2"/>
    </row>
    <row r="97" spans="2:7" x14ac:dyDescent="0.25">
      <c r="B97" s="4"/>
      <c r="C97" s="2"/>
      <c r="D97" s="2"/>
      <c r="E97" s="2"/>
      <c r="F97" s="2"/>
      <c r="G97" s="2"/>
    </row>
    <row r="98" spans="2:7" x14ac:dyDescent="0.25">
      <c r="B98" s="4"/>
      <c r="C98" s="2"/>
      <c r="D98" s="2"/>
      <c r="E98" s="2"/>
      <c r="F98" s="2"/>
      <c r="G98" s="2"/>
    </row>
    <row r="99" spans="2:7" x14ac:dyDescent="0.25">
      <c r="B99" s="4"/>
      <c r="C99" s="2"/>
      <c r="D99" s="2"/>
      <c r="E99" s="2"/>
      <c r="F99" s="2"/>
      <c r="G99" s="2"/>
    </row>
    <row r="100" spans="2:7" x14ac:dyDescent="0.25">
      <c r="B100" s="4"/>
      <c r="C100" s="2"/>
      <c r="D100" s="2"/>
      <c r="E100" s="2"/>
      <c r="F100" s="2"/>
      <c r="G100" s="2"/>
    </row>
    <row r="101" spans="2:7" x14ac:dyDescent="0.25">
      <c r="B101" s="4"/>
      <c r="C101" s="2"/>
      <c r="D101" s="2"/>
      <c r="E101" s="2"/>
      <c r="F101" s="2"/>
      <c r="G101" s="2"/>
    </row>
    <row r="102" spans="2:7" x14ac:dyDescent="0.25">
      <c r="B102" s="4"/>
      <c r="C102" s="2"/>
      <c r="D102" s="2"/>
      <c r="E102" s="2"/>
      <c r="F102" s="2"/>
      <c r="G102" s="2"/>
    </row>
    <row r="103" spans="2:7" x14ac:dyDescent="0.25">
      <c r="B103" s="4"/>
      <c r="C103" s="2"/>
      <c r="D103" s="2"/>
      <c r="E103" s="2"/>
      <c r="F103" s="2"/>
      <c r="G103" s="2"/>
    </row>
    <row r="104" spans="2:7" x14ac:dyDescent="0.25">
      <c r="B104" s="4"/>
      <c r="C104" s="2"/>
      <c r="D104" s="2"/>
      <c r="E104" s="2"/>
      <c r="F104" s="2"/>
      <c r="G104" s="2"/>
    </row>
    <row r="105" spans="2:7" x14ac:dyDescent="0.25">
      <c r="B105" s="4"/>
      <c r="C105" s="2"/>
      <c r="D105" s="2"/>
      <c r="E105" s="2"/>
      <c r="F105" s="2"/>
      <c r="G105" s="2"/>
    </row>
    <row r="106" spans="2:7" x14ac:dyDescent="0.25">
      <c r="B106" s="4"/>
      <c r="C106" s="2"/>
      <c r="D106" s="2"/>
      <c r="E106" s="2"/>
      <c r="F106" s="2"/>
      <c r="G106" s="2"/>
    </row>
    <row r="107" spans="2:7" x14ac:dyDescent="0.25">
      <c r="B107" s="4"/>
      <c r="C107" s="2"/>
      <c r="D107" s="2"/>
      <c r="E107" s="2"/>
      <c r="F107" s="2"/>
      <c r="G107" s="2"/>
    </row>
    <row r="108" spans="2:7" x14ac:dyDescent="0.25">
      <c r="B108" s="4"/>
      <c r="C108" s="2"/>
      <c r="D108" s="2"/>
      <c r="E108" s="2"/>
      <c r="F108" s="2"/>
      <c r="G108" s="2"/>
    </row>
    <row r="109" spans="2:7" x14ac:dyDescent="0.25">
      <c r="B109" s="4"/>
      <c r="C109" s="2"/>
      <c r="D109" s="2"/>
      <c r="E109" s="2"/>
      <c r="F109" s="2"/>
      <c r="G109" s="2"/>
    </row>
    <row r="110" spans="2:7" x14ac:dyDescent="0.25">
      <c r="B110" s="4"/>
      <c r="C110" s="2"/>
      <c r="D110" s="2"/>
      <c r="E110" s="2"/>
      <c r="F110" s="2"/>
      <c r="G110" s="2"/>
    </row>
    <row r="111" spans="2:7" x14ac:dyDescent="0.25">
      <c r="B111" s="4"/>
      <c r="C111" s="2"/>
      <c r="D111" s="2"/>
      <c r="E111" s="2"/>
      <c r="F111" s="2"/>
      <c r="G111" s="2"/>
    </row>
    <row r="112" spans="2:7" x14ac:dyDescent="0.25">
      <c r="B112" s="4"/>
      <c r="C112" s="2"/>
      <c r="D112" s="2"/>
      <c r="E112" s="2"/>
      <c r="F112" s="2"/>
      <c r="G112" s="2"/>
    </row>
    <row r="113" spans="2:7" x14ac:dyDescent="0.25">
      <c r="B113" s="4"/>
      <c r="C113" s="2"/>
      <c r="D113" s="2"/>
      <c r="E113" s="2"/>
      <c r="F113" s="2"/>
      <c r="G113" s="2"/>
    </row>
    <row r="114" spans="2:7" x14ac:dyDescent="0.25">
      <c r="B114" s="4"/>
      <c r="C114" s="2"/>
      <c r="D114" s="2"/>
      <c r="E114" s="2"/>
      <c r="F114" s="2"/>
      <c r="G114" s="2"/>
    </row>
    <row r="115" spans="2:7" x14ac:dyDescent="0.25">
      <c r="B115" s="4"/>
      <c r="C115" s="2"/>
      <c r="D115" s="2"/>
      <c r="E115" s="2"/>
      <c r="F115" s="2"/>
      <c r="G115" s="2"/>
    </row>
    <row r="116" spans="2:7" x14ac:dyDescent="0.25">
      <c r="B116" s="4"/>
      <c r="C116" s="2"/>
      <c r="D116" s="2"/>
      <c r="E116" s="2"/>
      <c r="F116" s="2"/>
      <c r="G116" s="2"/>
    </row>
    <row r="117" spans="2:7" x14ac:dyDescent="0.25">
      <c r="B117" s="4"/>
      <c r="C117" s="2"/>
      <c r="D117" s="2"/>
      <c r="E117" s="2"/>
      <c r="F117" s="2"/>
      <c r="G117" s="2"/>
    </row>
    <row r="118" spans="2:7" x14ac:dyDescent="0.25">
      <c r="B118" s="4"/>
      <c r="C118" s="2"/>
      <c r="D118" s="2"/>
      <c r="E118" s="2"/>
      <c r="F118" s="2"/>
      <c r="G118" s="2"/>
    </row>
    <row r="119" spans="2:7" x14ac:dyDescent="0.25">
      <c r="B119" s="4"/>
      <c r="C119" s="2"/>
      <c r="D119" s="2"/>
      <c r="E119" s="2"/>
      <c r="F119" s="2"/>
      <c r="G119" s="2"/>
    </row>
    <row r="120" spans="2:7" x14ac:dyDescent="0.25">
      <c r="B120" s="4"/>
      <c r="C120" s="2"/>
      <c r="D120" s="2"/>
      <c r="E120" s="2"/>
      <c r="F120" s="2"/>
      <c r="G120" s="2"/>
    </row>
    <row r="121" spans="2:7" x14ac:dyDescent="0.25">
      <c r="B121" s="4"/>
      <c r="C121" s="2"/>
      <c r="D121" s="2"/>
      <c r="E121" s="2"/>
      <c r="F121" s="2"/>
      <c r="G121" s="2"/>
    </row>
    <row r="122" spans="2:7" x14ac:dyDescent="0.25">
      <c r="B122" s="4"/>
      <c r="C122" s="2"/>
      <c r="D122" s="2"/>
      <c r="E122" s="2"/>
      <c r="F122" s="2"/>
      <c r="G122" s="2"/>
    </row>
    <row r="123" spans="2:7" x14ac:dyDescent="0.25">
      <c r="B123" s="4"/>
      <c r="C123" s="2"/>
      <c r="D123" s="2"/>
      <c r="E123" s="2"/>
      <c r="F123" s="2"/>
      <c r="G123" s="2"/>
    </row>
    <row r="124" spans="2:7" x14ac:dyDescent="0.25">
      <c r="B124" s="4"/>
      <c r="C124" s="2"/>
      <c r="D124" s="2"/>
      <c r="E124" s="2"/>
      <c r="F124" s="2"/>
      <c r="G124" s="2"/>
    </row>
    <row r="125" spans="2:7" x14ac:dyDescent="0.25">
      <c r="B125" s="4"/>
      <c r="C125" s="2"/>
      <c r="D125" s="2"/>
      <c r="E125" s="2"/>
      <c r="F125" s="2"/>
      <c r="G125" s="2"/>
    </row>
    <row r="126" spans="2:7" x14ac:dyDescent="0.25">
      <c r="B126" s="4"/>
      <c r="C126" s="2"/>
      <c r="D126" s="2"/>
      <c r="E126" s="2"/>
      <c r="F126" s="2"/>
      <c r="G126" s="2"/>
    </row>
    <row r="127" spans="2:7" x14ac:dyDescent="0.25">
      <c r="B127" s="4"/>
      <c r="C127" s="2"/>
      <c r="D127" s="2"/>
      <c r="E127" s="2"/>
      <c r="F127" s="2"/>
      <c r="G127" s="2"/>
    </row>
    <row r="128" spans="2:7" x14ac:dyDescent="0.25">
      <c r="B128" s="4"/>
      <c r="C128" s="2"/>
      <c r="D128" s="2"/>
      <c r="E128" s="2"/>
      <c r="F128" s="2"/>
      <c r="G128" s="2"/>
    </row>
    <row r="129" spans="2:7" x14ac:dyDescent="0.25">
      <c r="B129" s="4"/>
      <c r="C129" s="2"/>
      <c r="D129" s="2"/>
      <c r="E129" s="2"/>
      <c r="F129" s="2"/>
      <c r="G129" s="2"/>
    </row>
    <row r="130" spans="2:7" x14ac:dyDescent="0.25">
      <c r="B130" s="4"/>
      <c r="C130" s="2"/>
      <c r="D130" s="2"/>
      <c r="E130" s="2"/>
      <c r="F130" s="2"/>
      <c r="G130" s="2"/>
    </row>
    <row r="131" spans="2:7" x14ac:dyDescent="0.25">
      <c r="B131" s="4"/>
      <c r="C131" s="2"/>
      <c r="D131" s="2"/>
      <c r="E131" s="2"/>
      <c r="F131" s="2"/>
      <c r="G131" s="2"/>
    </row>
    <row r="132" spans="2:7" x14ac:dyDescent="0.25">
      <c r="B132" s="4"/>
      <c r="C132" s="2"/>
      <c r="D132" s="2"/>
      <c r="E132" s="2"/>
      <c r="F132" s="2"/>
      <c r="G132" s="2"/>
    </row>
    <row r="133" spans="2:7" x14ac:dyDescent="0.25">
      <c r="B133" s="4"/>
      <c r="C133" s="2"/>
      <c r="D133" s="2"/>
      <c r="E133" s="2"/>
      <c r="F133" s="2"/>
      <c r="G133" s="2"/>
    </row>
    <row r="134" spans="2:7" x14ac:dyDescent="0.25">
      <c r="B134" s="4"/>
      <c r="C134" s="2"/>
      <c r="D134" s="2"/>
      <c r="E134" s="2"/>
      <c r="F134" s="2"/>
      <c r="G134" s="2"/>
    </row>
    <row r="135" spans="2:7" x14ac:dyDescent="0.25">
      <c r="B135" s="4"/>
      <c r="C135" s="2"/>
      <c r="D135" s="2"/>
      <c r="E135" s="2"/>
      <c r="F135" s="2"/>
      <c r="G135" s="2"/>
    </row>
    <row r="136" spans="2:7" x14ac:dyDescent="0.25">
      <c r="B136" s="4"/>
      <c r="C136" s="2"/>
      <c r="D136" s="2"/>
      <c r="E136" s="2"/>
      <c r="F136" s="2"/>
      <c r="G136" s="2"/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B2:G136"/>
  <sheetViews>
    <sheetView workbookViewId="0">
      <selection activeCell="C13" sqref="C13"/>
    </sheetView>
  </sheetViews>
  <sheetFormatPr defaultRowHeight="15" x14ac:dyDescent="0.25"/>
  <cols>
    <col min="2" max="2" width="18" bestFit="1" customWidth="1"/>
    <col min="3" max="3" width="72" bestFit="1" customWidth="1"/>
    <col min="4" max="4" width="42.140625" bestFit="1" customWidth="1"/>
    <col min="5" max="5" width="11.85546875" bestFit="1" customWidth="1"/>
    <col min="7" max="7" width="11" bestFit="1" customWidth="1"/>
  </cols>
  <sheetData>
    <row r="2" spans="2:7" x14ac:dyDescent="0.25">
      <c r="B2" s="144" t="s">
        <v>6696</v>
      </c>
    </row>
    <row r="3" spans="2:7" ht="15.75" x14ac:dyDescent="0.25">
      <c r="B3" s="10" t="s">
        <v>0</v>
      </c>
      <c r="C3" s="11" t="s">
        <v>1</v>
      </c>
      <c r="D3" s="11" t="s">
        <v>2</v>
      </c>
      <c r="E3" s="11" t="s">
        <v>934</v>
      </c>
      <c r="F3" s="11" t="s">
        <v>1095</v>
      </c>
      <c r="G3" s="11" t="s">
        <v>1507</v>
      </c>
    </row>
    <row r="4" spans="2:7" x14ac:dyDescent="0.25">
      <c r="B4" s="4">
        <v>46093</v>
      </c>
      <c r="C4" s="2" t="s">
        <v>3862</v>
      </c>
      <c r="D4" s="2"/>
      <c r="E4" s="23"/>
      <c r="F4" s="2"/>
      <c r="G4" s="2"/>
    </row>
    <row r="5" spans="2:7" x14ac:dyDescent="0.25">
      <c r="B5" s="4">
        <v>46094</v>
      </c>
      <c r="C5" s="2" t="s">
        <v>6699</v>
      </c>
      <c r="D5" s="2"/>
      <c r="E5" s="23">
        <v>40</v>
      </c>
      <c r="F5" s="2">
        <f>E5-E4</f>
        <v>40</v>
      </c>
      <c r="G5" s="2"/>
    </row>
    <row r="6" spans="2:7" x14ac:dyDescent="0.25">
      <c r="B6" s="4">
        <v>46095</v>
      </c>
      <c r="C6" s="2" t="s">
        <v>6700</v>
      </c>
      <c r="D6" s="2"/>
      <c r="E6" s="23">
        <v>80</v>
      </c>
      <c r="F6" s="2">
        <f t="shared" ref="F6:F11" si="0">E6-E5</f>
        <v>40</v>
      </c>
      <c r="G6" s="2"/>
    </row>
    <row r="7" spans="2:7" x14ac:dyDescent="0.25">
      <c r="B7" s="4">
        <v>46096</v>
      </c>
      <c r="C7" s="2" t="s">
        <v>6701</v>
      </c>
      <c r="D7" s="58"/>
      <c r="E7" s="23">
        <v>118</v>
      </c>
      <c r="F7" s="2">
        <f t="shared" si="0"/>
        <v>38</v>
      </c>
      <c r="G7" s="2"/>
    </row>
    <row r="8" spans="2:7" x14ac:dyDescent="0.25">
      <c r="B8" s="4">
        <v>46097</v>
      </c>
      <c r="C8" s="2" t="s">
        <v>6705</v>
      </c>
      <c r="D8" s="58"/>
      <c r="E8" s="23"/>
      <c r="F8" s="2">
        <f t="shared" si="0"/>
        <v>-118</v>
      </c>
      <c r="G8" s="2"/>
    </row>
    <row r="9" spans="2:7" x14ac:dyDescent="0.25">
      <c r="B9" s="4">
        <v>46098</v>
      </c>
      <c r="C9" s="2" t="s">
        <v>6708</v>
      </c>
      <c r="D9" s="58"/>
      <c r="E9" s="23"/>
      <c r="F9" s="2">
        <f t="shared" si="0"/>
        <v>0</v>
      </c>
      <c r="G9" s="2"/>
    </row>
    <row r="10" spans="2:7" x14ac:dyDescent="0.25">
      <c r="B10" s="4">
        <v>46099</v>
      </c>
      <c r="C10" s="2" t="s">
        <v>6709</v>
      </c>
      <c r="D10" s="2"/>
      <c r="E10" s="2"/>
      <c r="F10" s="2">
        <f t="shared" si="0"/>
        <v>0</v>
      </c>
      <c r="G10" s="2"/>
    </row>
    <row r="11" spans="2:7" x14ac:dyDescent="0.25">
      <c r="B11" s="4">
        <v>46100</v>
      </c>
      <c r="C11" s="2" t="s">
        <v>6710</v>
      </c>
      <c r="D11" s="2"/>
      <c r="E11" s="2"/>
      <c r="F11" s="2">
        <f t="shared" si="0"/>
        <v>0</v>
      </c>
      <c r="G11" s="2"/>
    </row>
    <row r="12" spans="2:7" x14ac:dyDescent="0.25">
      <c r="B12" s="4">
        <v>46101</v>
      </c>
      <c r="C12" s="2" t="s">
        <v>6711</v>
      </c>
      <c r="D12" s="2"/>
      <c r="E12" s="2"/>
      <c r="F12" s="2"/>
      <c r="G12" s="2"/>
    </row>
    <row r="13" spans="2:7" x14ac:dyDescent="0.25">
      <c r="B13" s="4">
        <v>46102</v>
      </c>
      <c r="C13" s="2" t="s">
        <v>6712</v>
      </c>
      <c r="D13" s="2"/>
      <c r="E13" s="2"/>
      <c r="F13" s="2"/>
      <c r="G13" s="2"/>
    </row>
    <row r="14" spans="2:7" x14ac:dyDescent="0.25">
      <c r="B14" s="4">
        <v>46103</v>
      </c>
      <c r="C14" s="2"/>
      <c r="D14" s="2"/>
      <c r="E14" s="2"/>
      <c r="F14" s="2"/>
      <c r="G14" s="2"/>
    </row>
    <row r="15" spans="2:7" x14ac:dyDescent="0.25">
      <c r="B15" s="4">
        <v>46104</v>
      </c>
      <c r="C15" s="2"/>
      <c r="D15" s="2"/>
      <c r="E15" s="2"/>
      <c r="F15" s="2"/>
      <c r="G15" s="2"/>
    </row>
    <row r="16" spans="2:7" x14ac:dyDescent="0.25">
      <c r="B16" s="4">
        <v>46105</v>
      </c>
      <c r="C16" s="2"/>
      <c r="D16" s="2"/>
      <c r="E16" s="2"/>
      <c r="F16" s="2"/>
      <c r="G16" s="2"/>
    </row>
    <row r="17" spans="2:7" x14ac:dyDescent="0.25">
      <c r="B17" s="4">
        <v>46106</v>
      </c>
      <c r="C17" s="2"/>
      <c r="D17" s="2"/>
      <c r="E17" s="2"/>
      <c r="F17" s="2"/>
      <c r="G17" s="2"/>
    </row>
    <row r="18" spans="2:7" x14ac:dyDescent="0.25">
      <c r="B18" s="4">
        <v>46107</v>
      </c>
      <c r="C18" s="2"/>
      <c r="D18" s="2"/>
      <c r="E18" s="2"/>
      <c r="F18" s="2"/>
      <c r="G18" s="2"/>
    </row>
    <row r="19" spans="2:7" x14ac:dyDescent="0.25">
      <c r="B19" s="4"/>
      <c r="C19" s="2"/>
      <c r="D19" s="2"/>
      <c r="E19" s="2"/>
      <c r="F19" s="2"/>
      <c r="G19" s="2"/>
    </row>
    <row r="20" spans="2:7" x14ac:dyDescent="0.25">
      <c r="B20" s="4"/>
      <c r="C20" s="2"/>
      <c r="D20" s="2"/>
      <c r="E20" s="2"/>
      <c r="F20" s="2"/>
      <c r="G20" s="2"/>
    </row>
    <row r="21" spans="2:7" x14ac:dyDescent="0.25">
      <c r="B21" s="4"/>
      <c r="C21" s="2"/>
      <c r="D21" s="2"/>
      <c r="E21" s="2"/>
      <c r="F21" s="2"/>
      <c r="G21" s="2"/>
    </row>
    <row r="22" spans="2:7" x14ac:dyDescent="0.25">
      <c r="B22" s="4"/>
      <c r="C22" s="2"/>
      <c r="D22" s="2"/>
      <c r="E22" s="2"/>
      <c r="F22" s="2"/>
      <c r="G22" s="2"/>
    </row>
    <row r="23" spans="2:7" x14ac:dyDescent="0.25">
      <c r="B23" s="4"/>
      <c r="C23" s="2"/>
      <c r="D23" s="2"/>
      <c r="E23" s="2"/>
      <c r="F23" s="2"/>
      <c r="G23" s="2"/>
    </row>
    <row r="24" spans="2:7" x14ac:dyDescent="0.25">
      <c r="B24" s="4"/>
      <c r="C24" s="2"/>
      <c r="D24" s="2"/>
      <c r="E24" s="2"/>
      <c r="F24" s="2"/>
      <c r="G24" s="2"/>
    </row>
    <row r="25" spans="2:7" x14ac:dyDescent="0.25">
      <c r="B25" s="4"/>
      <c r="C25" s="2"/>
      <c r="D25" s="2"/>
      <c r="E25" s="2"/>
      <c r="F25" s="2"/>
      <c r="G25" s="2"/>
    </row>
    <row r="26" spans="2:7" x14ac:dyDescent="0.25">
      <c r="B26" s="4"/>
      <c r="C26" s="2"/>
      <c r="D26" s="2"/>
      <c r="E26" s="2"/>
      <c r="F26" s="2"/>
      <c r="G26" s="2"/>
    </row>
    <row r="27" spans="2:7" x14ac:dyDescent="0.25">
      <c r="B27" s="4"/>
      <c r="C27" s="2"/>
      <c r="D27" s="2"/>
      <c r="E27" s="2"/>
      <c r="F27" s="2"/>
      <c r="G27" s="2"/>
    </row>
    <row r="28" spans="2:7" x14ac:dyDescent="0.25">
      <c r="B28" s="4"/>
      <c r="C28" s="2"/>
      <c r="D28" s="2"/>
      <c r="E28" s="2"/>
      <c r="F28" s="2"/>
      <c r="G28" s="2"/>
    </row>
    <row r="29" spans="2:7" x14ac:dyDescent="0.25">
      <c r="B29" s="4"/>
      <c r="C29" s="2"/>
      <c r="D29" s="2"/>
      <c r="E29" s="2"/>
      <c r="F29" s="2"/>
      <c r="G29" s="2"/>
    </row>
    <row r="30" spans="2:7" x14ac:dyDescent="0.25">
      <c r="B30" s="4"/>
      <c r="C30" s="2"/>
      <c r="D30" s="2"/>
      <c r="E30" s="2"/>
      <c r="F30" s="2"/>
      <c r="G30" s="2"/>
    </row>
    <row r="31" spans="2:7" x14ac:dyDescent="0.25">
      <c r="B31" s="4"/>
      <c r="C31" s="2"/>
      <c r="D31" s="2"/>
      <c r="E31" s="2"/>
      <c r="F31" s="2"/>
      <c r="G31" s="2"/>
    </row>
    <row r="32" spans="2:7" x14ac:dyDescent="0.25">
      <c r="B32" s="4"/>
      <c r="C32" s="2"/>
      <c r="D32" s="2"/>
      <c r="E32" s="2"/>
      <c r="F32" s="2"/>
      <c r="G32" s="2"/>
    </row>
    <row r="33" spans="2:7" x14ac:dyDescent="0.25">
      <c r="B33" s="4"/>
      <c r="C33" s="2"/>
      <c r="D33" s="2"/>
      <c r="E33" s="2"/>
      <c r="F33" s="2"/>
      <c r="G33" s="2"/>
    </row>
    <row r="34" spans="2:7" x14ac:dyDescent="0.25">
      <c r="B34" s="4"/>
      <c r="C34" s="2"/>
      <c r="D34" s="2"/>
      <c r="E34" s="2"/>
      <c r="F34" s="2"/>
      <c r="G34" s="2"/>
    </row>
    <row r="35" spans="2:7" x14ac:dyDescent="0.25">
      <c r="B35" s="4"/>
      <c r="C35" s="2"/>
      <c r="D35" s="2"/>
      <c r="E35" s="2"/>
      <c r="F35" s="2"/>
      <c r="G35" s="2"/>
    </row>
    <row r="36" spans="2:7" x14ac:dyDescent="0.25">
      <c r="B36" s="4"/>
      <c r="C36" s="2"/>
      <c r="D36" s="2"/>
      <c r="E36" s="2"/>
      <c r="F36" s="2"/>
      <c r="G36" s="2"/>
    </row>
    <row r="37" spans="2:7" x14ac:dyDescent="0.25">
      <c r="B37" s="4"/>
      <c r="C37" s="2"/>
      <c r="D37" s="2"/>
      <c r="E37" s="2"/>
      <c r="F37" s="2"/>
      <c r="G37" s="2"/>
    </row>
    <row r="38" spans="2:7" x14ac:dyDescent="0.25">
      <c r="B38" s="4"/>
      <c r="C38" s="2"/>
      <c r="D38" s="2"/>
      <c r="E38" s="2"/>
      <c r="F38" s="2"/>
      <c r="G38" s="2"/>
    </row>
    <row r="39" spans="2:7" x14ac:dyDescent="0.25">
      <c r="B39" s="4"/>
      <c r="C39" s="2"/>
      <c r="D39" s="2"/>
      <c r="E39" s="2"/>
      <c r="F39" s="2"/>
      <c r="G39" s="2"/>
    </row>
    <row r="40" spans="2:7" x14ac:dyDescent="0.25">
      <c r="B40" s="4"/>
      <c r="C40" s="2"/>
      <c r="D40" s="2"/>
      <c r="E40" s="2"/>
      <c r="F40" s="2"/>
      <c r="G40" s="2"/>
    </row>
    <row r="41" spans="2:7" x14ac:dyDescent="0.25">
      <c r="B41" s="4"/>
      <c r="C41" s="2"/>
      <c r="D41" s="2"/>
      <c r="E41" s="2"/>
      <c r="F41" s="2"/>
      <c r="G41" s="2"/>
    </row>
    <row r="42" spans="2:7" x14ac:dyDescent="0.25">
      <c r="B42" s="4"/>
      <c r="C42" s="2"/>
      <c r="D42" s="2"/>
      <c r="E42" s="2"/>
      <c r="F42" s="2"/>
      <c r="G42" s="2"/>
    </row>
    <row r="43" spans="2:7" x14ac:dyDescent="0.25">
      <c r="B43" s="4"/>
      <c r="C43" s="2"/>
      <c r="D43" s="2"/>
      <c r="E43" s="2"/>
      <c r="F43" s="2"/>
      <c r="G43" s="2"/>
    </row>
    <row r="44" spans="2:7" x14ac:dyDescent="0.25">
      <c r="B44" s="4"/>
      <c r="C44" s="2"/>
      <c r="D44" s="2"/>
      <c r="E44" s="2"/>
      <c r="F44" s="2"/>
      <c r="G44" s="2"/>
    </row>
    <row r="45" spans="2:7" x14ac:dyDescent="0.25">
      <c r="B45" s="4"/>
      <c r="C45" s="2"/>
      <c r="D45" s="2"/>
      <c r="E45" s="2"/>
      <c r="F45" s="2"/>
      <c r="G45" s="2"/>
    </row>
    <row r="46" spans="2:7" x14ac:dyDescent="0.25">
      <c r="B46" s="4"/>
      <c r="C46" s="2"/>
      <c r="D46" s="2"/>
      <c r="E46" s="2"/>
      <c r="F46" s="2"/>
      <c r="G46" s="2"/>
    </row>
    <row r="47" spans="2:7" x14ac:dyDescent="0.25">
      <c r="B47" s="4"/>
      <c r="C47" s="2"/>
      <c r="D47" s="2"/>
      <c r="E47" s="2"/>
      <c r="F47" s="2"/>
      <c r="G47" s="2"/>
    </row>
    <row r="48" spans="2:7" x14ac:dyDescent="0.25">
      <c r="B48" s="4"/>
      <c r="C48" s="2"/>
      <c r="D48" s="2"/>
      <c r="E48" s="2"/>
      <c r="F48" s="2"/>
      <c r="G48" s="2"/>
    </row>
    <row r="49" spans="2:7" x14ac:dyDescent="0.25">
      <c r="B49" s="4"/>
      <c r="C49" s="2"/>
      <c r="D49" s="2"/>
      <c r="E49" s="2"/>
      <c r="F49" s="2"/>
      <c r="G49" s="2"/>
    </row>
    <row r="50" spans="2:7" x14ac:dyDescent="0.25">
      <c r="B50" s="4"/>
      <c r="C50" s="2"/>
      <c r="D50" s="2"/>
      <c r="E50" s="2"/>
      <c r="F50" s="2"/>
      <c r="G50" s="2"/>
    </row>
    <row r="51" spans="2:7" x14ac:dyDescent="0.25">
      <c r="B51" s="4"/>
      <c r="C51" s="2"/>
      <c r="D51" s="2"/>
      <c r="E51" s="2"/>
      <c r="F51" s="2"/>
      <c r="G51" s="2"/>
    </row>
    <row r="52" spans="2:7" x14ac:dyDescent="0.25">
      <c r="B52" s="4"/>
      <c r="C52" s="2"/>
      <c r="D52" s="2"/>
      <c r="E52" s="2"/>
      <c r="F52" s="2"/>
      <c r="G52" s="2"/>
    </row>
    <row r="53" spans="2:7" x14ac:dyDescent="0.25">
      <c r="B53" s="4"/>
      <c r="C53" s="2"/>
      <c r="D53" s="2"/>
      <c r="E53" s="2"/>
      <c r="F53" s="2"/>
      <c r="G53" s="2"/>
    </row>
    <row r="54" spans="2:7" x14ac:dyDescent="0.25">
      <c r="B54" s="4"/>
      <c r="C54" s="2"/>
      <c r="D54" s="2"/>
      <c r="E54" s="2"/>
      <c r="F54" s="2"/>
      <c r="G54" s="2"/>
    </row>
    <row r="55" spans="2:7" x14ac:dyDescent="0.25">
      <c r="B55" s="4"/>
      <c r="C55" s="2"/>
      <c r="D55" s="2"/>
      <c r="E55" s="2"/>
      <c r="F55" s="2"/>
      <c r="G55" s="2"/>
    </row>
    <row r="56" spans="2:7" x14ac:dyDescent="0.25">
      <c r="B56" s="4"/>
      <c r="C56" s="2"/>
      <c r="D56" s="2"/>
      <c r="E56" s="2"/>
      <c r="F56" s="2"/>
      <c r="G56" s="2"/>
    </row>
    <row r="57" spans="2:7" x14ac:dyDescent="0.25">
      <c r="B57" s="4"/>
      <c r="C57" s="2"/>
      <c r="D57" s="2"/>
      <c r="E57" s="2"/>
      <c r="F57" s="2"/>
      <c r="G57" s="2"/>
    </row>
    <row r="58" spans="2:7" x14ac:dyDescent="0.25">
      <c r="B58" s="4"/>
      <c r="C58" s="2"/>
      <c r="D58" s="2"/>
      <c r="E58" s="2"/>
      <c r="F58" s="2"/>
      <c r="G58" s="2"/>
    </row>
    <row r="59" spans="2:7" x14ac:dyDescent="0.25">
      <c r="B59" s="4"/>
      <c r="C59" s="2"/>
      <c r="D59" s="2"/>
      <c r="E59" s="2"/>
      <c r="F59" s="2"/>
      <c r="G59" s="2"/>
    </row>
    <row r="60" spans="2:7" x14ac:dyDescent="0.25">
      <c r="B60" s="4"/>
      <c r="C60" s="2"/>
      <c r="D60" s="2"/>
      <c r="E60" s="2"/>
      <c r="F60" s="2"/>
      <c r="G60" s="2"/>
    </row>
    <row r="61" spans="2:7" x14ac:dyDescent="0.25">
      <c r="B61" s="4"/>
      <c r="C61" s="2"/>
      <c r="D61" s="2"/>
      <c r="E61" s="2"/>
      <c r="F61" s="2"/>
      <c r="G61" s="2"/>
    </row>
    <row r="62" spans="2:7" x14ac:dyDescent="0.25">
      <c r="B62" s="4"/>
      <c r="C62" s="2"/>
      <c r="D62" s="2"/>
      <c r="E62" s="2"/>
      <c r="F62" s="2"/>
      <c r="G62" s="2"/>
    </row>
    <row r="63" spans="2:7" x14ac:dyDescent="0.25">
      <c r="B63" s="4"/>
      <c r="C63" s="2"/>
      <c r="D63" s="2"/>
      <c r="E63" s="2"/>
      <c r="F63" s="2"/>
      <c r="G63" s="2"/>
    </row>
    <row r="64" spans="2:7" x14ac:dyDescent="0.25">
      <c r="B64" s="4"/>
      <c r="C64" s="2"/>
      <c r="D64" s="2"/>
      <c r="E64" s="2"/>
      <c r="F64" s="2"/>
      <c r="G64" s="2"/>
    </row>
    <row r="65" spans="2:7" x14ac:dyDescent="0.25">
      <c r="B65" s="4"/>
      <c r="C65" s="2"/>
      <c r="D65" s="2"/>
      <c r="E65" s="2"/>
      <c r="F65" s="2"/>
      <c r="G65" s="2"/>
    </row>
    <row r="66" spans="2:7" x14ac:dyDescent="0.25">
      <c r="B66" s="4"/>
      <c r="C66" s="2"/>
      <c r="D66" s="2"/>
      <c r="E66" s="2"/>
      <c r="F66" s="2"/>
      <c r="G66" s="2"/>
    </row>
    <row r="67" spans="2:7" x14ac:dyDescent="0.25">
      <c r="B67" s="4"/>
      <c r="C67" s="2"/>
      <c r="D67" s="2"/>
      <c r="E67" s="2"/>
      <c r="F67" s="2"/>
      <c r="G67" s="2"/>
    </row>
    <row r="68" spans="2:7" x14ac:dyDescent="0.25">
      <c r="B68" s="4"/>
      <c r="C68" s="2"/>
      <c r="D68" s="2"/>
      <c r="E68" s="2"/>
      <c r="F68" s="2"/>
      <c r="G68" s="2"/>
    </row>
    <row r="69" spans="2:7" x14ac:dyDescent="0.25">
      <c r="B69" s="4"/>
      <c r="C69" s="2"/>
      <c r="D69" s="2"/>
      <c r="E69" s="2"/>
      <c r="F69" s="2"/>
      <c r="G69" s="2"/>
    </row>
    <row r="70" spans="2:7" x14ac:dyDescent="0.25">
      <c r="B70" s="4"/>
      <c r="C70" s="2"/>
      <c r="D70" s="2"/>
      <c r="E70" s="2"/>
      <c r="F70" s="2"/>
      <c r="G70" s="2"/>
    </row>
    <row r="71" spans="2:7" x14ac:dyDescent="0.25">
      <c r="B71" s="4"/>
      <c r="C71" s="2"/>
      <c r="D71" s="2"/>
      <c r="E71" s="2"/>
      <c r="F71" s="2"/>
      <c r="G71" s="2"/>
    </row>
    <row r="72" spans="2:7" x14ac:dyDescent="0.25">
      <c r="B72" s="4"/>
      <c r="C72" s="2"/>
      <c r="D72" s="2"/>
      <c r="E72" s="2"/>
      <c r="F72" s="2"/>
      <c r="G72" s="2"/>
    </row>
    <row r="73" spans="2:7" x14ac:dyDescent="0.25">
      <c r="B73" s="4"/>
      <c r="C73" s="2"/>
      <c r="D73" s="2"/>
      <c r="E73" s="2"/>
      <c r="F73" s="2"/>
      <c r="G73" s="2"/>
    </row>
    <row r="74" spans="2:7" x14ac:dyDescent="0.25">
      <c r="B74" s="4"/>
      <c r="C74" s="2"/>
      <c r="D74" s="2"/>
      <c r="E74" s="2"/>
      <c r="F74" s="2"/>
      <c r="G74" s="2"/>
    </row>
    <row r="75" spans="2:7" x14ac:dyDescent="0.25">
      <c r="B75" s="4"/>
      <c r="C75" s="2"/>
      <c r="D75" s="2"/>
      <c r="E75" s="2"/>
      <c r="F75" s="2"/>
      <c r="G75" s="2"/>
    </row>
    <row r="76" spans="2:7" x14ac:dyDescent="0.25">
      <c r="B76" s="4"/>
      <c r="C76" s="2"/>
      <c r="D76" s="2"/>
      <c r="E76" s="2"/>
      <c r="F76" s="2"/>
      <c r="G76" s="2"/>
    </row>
    <row r="77" spans="2:7" x14ac:dyDescent="0.25">
      <c r="B77" s="4"/>
      <c r="C77" s="2"/>
      <c r="D77" s="2"/>
      <c r="E77" s="2"/>
      <c r="F77" s="2"/>
      <c r="G77" s="2"/>
    </row>
    <row r="78" spans="2:7" x14ac:dyDescent="0.25">
      <c r="B78" s="4"/>
      <c r="C78" s="2"/>
      <c r="D78" s="2"/>
      <c r="E78" s="2"/>
      <c r="F78" s="2"/>
      <c r="G78" s="2"/>
    </row>
    <row r="79" spans="2:7" x14ac:dyDescent="0.25">
      <c r="B79" s="4"/>
      <c r="C79" s="2"/>
      <c r="D79" s="2"/>
      <c r="E79" s="2"/>
      <c r="F79" s="2"/>
      <c r="G79" s="2"/>
    </row>
    <row r="80" spans="2:7" x14ac:dyDescent="0.25">
      <c r="B80" s="4"/>
      <c r="C80" s="2"/>
      <c r="D80" s="2"/>
      <c r="E80" s="2"/>
      <c r="F80" s="2"/>
      <c r="G80" s="2"/>
    </row>
    <row r="81" spans="2:7" x14ac:dyDescent="0.25">
      <c r="B81" s="4"/>
      <c r="C81" s="2"/>
      <c r="D81" s="2"/>
      <c r="E81" s="2"/>
      <c r="F81" s="2"/>
      <c r="G81" s="2"/>
    </row>
    <row r="82" spans="2:7" x14ac:dyDescent="0.25">
      <c r="B82" s="4"/>
      <c r="C82" s="2"/>
      <c r="D82" s="2"/>
      <c r="E82" s="2"/>
      <c r="F82" s="2"/>
      <c r="G82" s="2"/>
    </row>
    <row r="83" spans="2:7" x14ac:dyDescent="0.25">
      <c r="B83" s="4"/>
      <c r="C83" s="2"/>
      <c r="D83" s="2"/>
      <c r="E83" s="2"/>
      <c r="F83" s="2"/>
      <c r="G83" s="2"/>
    </row>
    <row r="84" spans="2:7" x14ac:dyDescent="0.25">
      <c r="B84" s="4"/>
      <c r="C84" s="2"/>
      <c r="D84" s="2"/>
      <c r="E84" s="2"/>
      <c r="F84" s="2"/>
      <c r="G84" s="2"/>
    </row>
    <row r="85" spans="2:7" x14ac:dyDescent="0.25">
      <c r="B85" s="4"/>
      <c r="C85" s="2"/>
      <c r="D85" s="2"/>
      <c r="E85" s="2"/>
      <c r="F85" s="2"/>
      <c r="G85" s="2"/>
    </row>
    <row r="86" spans="2:7" x14ac:dyDescent="0.25">
      <c r="B86" s="4"/>
      <c r="C86" s="2"/>
      <c r="D86" s="2"/>
      <c r="E86" s="2"/>
      <c r="F86" s="2"/>
      <c r="G86" s="2"/>
    </row>
    <row r="87" spans="2:7" x14ac:dyDescent="0.25">
      <c r="B87" s="4"/>
      <c r="C87" s="2"/>
      <c r="D87" s="2"/>
      <c r="E87" s="2"/>
      <c r="F87" s="2"/>
      <c r="G87" s="2"/>
    </row>
    <row r="88" spans="2:7" x14ac:dyDescent="0.25">
      <c r="B88" s="4"/>
      <c r="C88" s="2"/>
      <c r="D88" s="2"/>
      <c r="E88" s="2"/>
      <c r="F88" s="2"/>
      <c r="G88" s="2"/>
    </row>
    <row r="89" spans="2:7" x14ac:dyDescent="0.25">
      <c r="B89" s="4"/>
      <c r="C89" s="2"/>
      <c r="D89" s="2"/>
      <c r="E89" s="2"/>
      <c r="F89" s="2"/>
      <c r="G89" s="2"/>
    </row>
    <row r="90" spans="2:7" x14ac:dyDescent="0.25">
      <c r="B90" s="4"/>
      <c r="C90" s="2"/>
      <c r="D90" s="2"/>
      <c r="E90" s="2"/>
      <c r="F90" s="2"/>
      <c r="G90" s="2"/>
    </row>
    <row r="91" spans="2:7" x14ac:dyDescent="0.25">
      <c r="B91" s="4"/>
      <c r="C91" s="2"/>
      <c r="D91" s="2"/>
      <c r="E91" s="2"/>
      <c r="F91" s="2"/>
      <c r="G91" s="2"/>
    </row>
    <row r="92" spans="2:7" x14ac:dyDescent="0.25">
      <c r="B92" s="4"/>
      <c r="C92" s="2"/>
      <c r="D92" s="2"/>
      <c r="E92" s="2"/>
      <c r="F92" s="2"/>
      <c r="G92" s="2"/>
    </row>
    <row r="93" spans="2:7" x14ac:dyDescent="0.25">
      <c r="B93" s="4"/>
      <c r="C93" s="2"/>
      <c r="D93" s="2"/>
      <c r="E93" s="2"/>
      <c r="F93" s="2"/>
      <c r="G93" s="2"/>
    </row>
    <row r="94" spans="2:7" x14ac:dyDescent="0.25">
      <c r="B94" s="4"/>
      <c r="C94" s="2"/>
      <c r="D94" s="2"/>
      <c r="E94" s="2"/>
      <c r="F94" s="2"/>
      <c r="G94" s="2"/>
    </row>
    <row r="95" spans="2:7" x14ac:dyDescent="0.25">
      <c r="B95" s="4"/>
      <c r="C95" s="2"/>
      <c r="D95" s="2"/>
      <c r="E95" s="2"/>
      <c r="F95" s="2"/>
      <c r="G95" s="2"/>
    </row>
    <row r="96" spans="2:7" x14ac:dyDescent="0.25">
      <c r="B96" s="4"/>
      <c r="C96" s="2"/>
      <c r="D96" s="2"/>
      <c r="E96" s="2"/>
      <c r="F96" s="2"/>
      <c r="G96" s="2"/>
    </row>
    <row r="97" spans="2:7" x14ac:dyDescent="0.25">
      <c r="B97" s="4"/>
      <c r="C97" s="2"/>
      <c r="D97" s="2"/>
      <c r="E97" s="2"/>
      <c r="F97" s="2"/>
      <c r="G97" s="2"/>
    </row>
    <row r="98" spans="2:7" x14ac:dyDescent="0.25">
      <c r="B98" s="4"/>
      <c r="C98" s="2"/>
      <c r="D98" s="2"/>
      <c r="E98" s="2"/>
      <c r="F98" s="2"/>
      <c r="G98" s="2"/>
    </row>
    <row r="99" spans="2:7" x14ac:dyDescent="0.25">
      <c r="B99" s="4"/>
      <c r="C99" s="2"/>
      <c r="D99" s="2"/>
      <c r="E99" s="2"/>
      <c r="F99" s="2"/>
      <c r="G99" s="2"/>
    </row>
    <row r="100" spans="2:7" x14ac:dyDescent="0.25">
      <c r="B100" s="4"/>
      <c r="C100" s="2"/>
      <c r="D100" s="2"/>
      <c r="E100" s="2"/>
      <c r="F100" s="2"/>
      <c r="G100" s="2"/>
    </row>
    <row r="101" spans="2:7" x14ac:dyDescent="0.25">
      <c r="B101" s="4"/>
      <c r="C101" s="2"/>
      <c r="D101" s="2"/>
      <c r="E101" s="2"/>
      <c r="F101" s="2"/>
      <c r="G101" s="2"/>
    </row>
    <row r="102" spans="2:7" x14ac:dyDescent="0.25">
      <c r="B102" s="4"/>
      <c r="C102" s="2"/>
      <c r="D102" s="2"/>
      <c r="E102" s="2"/>
      <c r="F102" s="2"/>
      <c r="G102" s="2"/>
    </row>
    <row r="103" spans="2:7" x14ac:dyDescent="0.25">
      <c r="B103" s="4"/>
      <c r="C103" s="2"/>
      <c r="D103" s="2"/>
      <c r="E103" s="2"/>
      <c r="F103" s="2"/>
      <c r="G103" s="2"/>
    </row>
    <row r="104" spans="2:7" x14ac:dyDescent="0.25">
      <c r="B104" s="4"/>
      <c r="C104" s="2"/>
      <c r="D104" s="2"/>
      <c r="E104" s="2"/>
      <c r="F104" s="2"/>
      <c r="G104" s="2"/>
    </row>
    <row r="105" spans="2:7" x14ac:dyDescent="0.25">
      <c r="B105" s="4"/>
      <c r="C105" s="2"/>
      <c r="D105" s="2"/>
      <c r="E105" s="2"/>
      <c r="F105" s="2"/>
      <c r="G105" s="2"/>
    </row>
    <row r="106" spans="2:7" x14ac:dyDescent="0.25">
      <c r="B106" s="4"/>
      <c r="C106" s="2"/>
      <c r="D106" s="2"/>
      <c r="E106" s="2"/>
      <c r="F106" s="2"/>
      <c r="G106" s="2"/>
    </row>
    <row r="107" spans="2:7" x14ac:dyDescent="0.25">
      <c r="B107" s="4"/>
      <c r="C107" s="2"/>
      <c r="D107" s="2"/>
      <c r="E107" s="2"/>
      <c r="F107" s="2"/>
      <c r="G107" s="2"/>
    </row>
    <row r="108" spans="2:7" x14ac:dyDescent="0.25">
      <c r="B108" s="4"/>
      <c r="C108" s="2"/>
      <c r="D108" s="2"/>
      <c r="E108" s="2"/>
      <c r="F108" s="2"/>
      <c r="G108" s="2"/>
    </row>
    <row r="109" spans="2:7" x14ac:dyDescent="0.25">
      <c r="B109" s="4"/>
      <c r="C109" s="2"/>
      <c r="D109" s="2"/>
      <c r="E109" s="2"/>
      <c r="F109" s="2"/>
      <c r="G109" s="2"/>
    </row>
    <row r="110" spans="2:7" x14ac:dyDescent="0.25">
      <c r="B110" s="4"/>
      <c r="C110" s="2"/>
      <c r="D110" s="2"/>
      <c r="E110" s="2"/>
      <c r="F110" s="2"/>
      <c r="G110" s="2"/>
    </row>
    <row r="111" spans="2:7" x14ac:dyDescent="0.25">
      <c r="B111" s="4"/>
      <c r="C111" s="2"/>
      <c r="D111" s="2"/>
      <c r="E111" s="2"/>
      <c r="F111" s="2"/>
      <c r="G111" s="2"/>
    </row>
    <row r="112" spans="2:7" x14ac:dyDescent="0.25">
      <c r="B112" s="4"/>
      <c r="C112" s="2"/>
      <c r="D112" s="2"/>
      <c r="E112" s="2"/>
      <c r="F112" s="2"/>
      <c r="G112" s="2"/>
    </row>
    <row r="113" spans="2:7" x14ac:dyDescent="0.25">
      <c r="B113" s="4"/>
      <c r="C113" s="2"/>
      <c r="D113" s="2"/>
      <c r="E113" s="2"/>
      <c r="F113" s="2"/>
      <c r="G113" s="2"/>
    </row>
    <row r="114" spans="2:7" x14ac:dyDescent="0.25">
      <c r="B114" s="4"/>
      <c r="C114" s="2"/>
      <c r="D114" s="2"/>
      <c r="E114" s="2"/>
      <c r="F114" s="2"/>
      <c r="G114" s="2"/>
    </row>
    <row r="115" spans="2:7" x14ac:dyDescent="0.25">
      <c r="B115" s="4"/>
      <c r="C115" s="2"/>
      <c r="D115" s="2"/>
      <c r="E115" s="2"/>
      <c r="F115" s="2"/>
      <c r="G115" s="2"/>
    </row>
    <row r="116" spans="2:7" x14ac:dyDescent="0.25">
      <c r="B116" s="4"/>
      <c r="C116" s="2"/>
      <c r="D116" s="2"/>
      <c r="E116" s="2"/>
      <c r="F116" s="2"/>
      <c r="G116" s="2"/>
    </row>
    <row r="117" spans="2:7" x14ac:dyDescent="0.25">
      <c r="B117" s="4"/>
      <c r="C117" s="2"/>
      <c r="D117" s="2"/>
      <c r="E117" s="2"/>
      <c r="F117" s="2"/>
      <c r="G117" s="2"/>
    </row>
    <row r="118" spans="2:7" x14ac:dyDescent="0.25">
      <c r="B118" s="4"/>
      <c r="C118" s="2"/>
      <c r="D118" s="2"/>
      <c r="E118" s="2"/>
      <c r="F118" s="2"/>
      <c r="G118" s="2"/>
    </row>
    <row r="119" spans="2:7" x14ac:dyDescent="0.25">
      <c r="B119" s="4"/>
      <c r="C119" s="2"/>
      <c r="D119" s="2"/>
      <c r="E119" s="2"/>
      <c r="F119" s="2"/>
      <c r="G119" s="2"/>
    </row>
    <row r="120" spans="2:7" x14ac:dyDescent="0.25">
      <c r="B120" s="4"/>
      <c r="C120" s="2"/>
      <c r="D120" s="2"/>
      <c r="E120" s="2"/>
      <c r="F120" s="2"/>
      <c r="G120" s="2"/>
    </row>
    <row r="121" spans="2:7" x14ac:dyDescent="0.25">
      <c r="B121" s="4"/>
      <c r="C121" s="2"/>
      <c r="D121" s="2"/>
      <c r="E121" s="2"/>
      <c r="F121" s="2"/>
      <c r="G121" s="2"/>
    </row>
    <row r="122" spans="2:7" x14ac:dyDescent="0.25">
      <c r="B122" s="4"/>
      <c r="C122" s="2"/>
      <c r="D122" s="2"/>
      <c r="E122" s="2"/>
      <c r="F122" s="2"/>
      <c r="G122" s="2"/>
    </row>
    <row r="123" spans="2:7" x14ac:dyDescent="0.25">
      <c r="B123" s="4"/>
      <c r="C123" s="2"/>
      <c r="D123" s="2"/>
      <c r="E123" s="2"/>
      <c r="F123" s="2"/>
      <c r="G123" s="2"/>
    </row>
    <row r="124" spans="2:7" x14ac:dyDescent="0.25">
      <c r="B124" s="4"/>
      <c r="C124" s="2"/>
      <c r="D124" s="2"/>
      <c r="E124" s="2"/>
      <c r="F124" s="2"/>
      <c r="G124" s="2"/>
    </row>
    <row r="125" spans="2:7" x14ac:dyDescent="0.25">
      <c r="B125" s="4"/>
      <c r="C125" s="2"/>
      <c r="D125" s="2"/>
      <c r="E125" s="2"/>
      <c r="F125" s="2"/>
      <c r="G125" s="2"/>
    </row>
    <row r="126" spans="2:7" x14ac:dyDescent="0.25">
      <c r="B126" s="4"/>
      <c r="C126" s="2"/>
      <c r="D126" s="2"/>
      <c r="E126" s="2"/>
      <c r="F126" s="2"/>
      <c r="G126" s="2"/>
    </row>
    <row r="127" spans="2:7" x14ac:dyDescent="0.25">
      <c r="B127" s="4"/>
      <c r="C127" s="2"/>
      <c r="D127" s="2"/>
      <c r="E127" s="2"/>
      <c r="F127" s="2"/>
      <c r="G127" s="2"/>
    </row>
    <row r="128" spans="2:7" x14ac:dyDescent="0.25">
      <c r="B128" s="4"/>
      <c r="C128" s="2"/>
      <c r="D128" s="2"/>
      <c r="E128" s="2"/>
      <c r="F128" s="2"/>
      <c r="G128" s="2"/>
    </row>
    <row r="129" spans="2:7" x14ac:dyDescent="0.25">
      <c r="B129" s="4"/>
      <c r="C129" s="2"/>
      <c r="D129" s="2"/>
      <c r="E129" s="2"/>
      <c r="F129" s="2"/>
      <c r="G129" s="2"/>
    </row>
    <row r="130" spans="2:7" x14ac:dyDescent="0.25">
      <c r="B130" s="4"/>
      <c r="C130" s="2"/>
      <c r="D130" s="2"/>
      <c r="E130" s="2"/>
      <c r="F130" s="2"/>
      <c r="G130" s="2"/>
    </row>
    <row r="131" spans="2:7" x14ac:dyDescent="0.25">
      <c r="B131" s="4"/>
      <c r="C131" s="2"/>
      <c r="D131" s="2"/>
      <c r="E131" s="2"/>
      <c r="F131" s="2"/>
      <c r="G131" s="2"/>
    </row>
    <row r="132" spans="2:7" x14ac:dyDescent="0.25">
      <c r="B132" s="4"/>
      <c r="C132" s="2"/>
      <c r="D132" s="2"/>
      <c r="E132" s="2"/>
      <c r="F132" s="2"/>
      <c r="G132" s="2"/>
    </row>
    <row r="133" spans="2:7" x14ac:dyDescent="0.25">
      <c r="B133" s="4"/>
      <c r="C133" s="2"/>
      <c r="D133" s="2"/>
      <c r="E133" s="2"/>
      <c r="F133" s="2"/>
      <c r="G133" s="2"/>
    </row>
    <row r="134" spans="2:7" x14ac:dyDescent="0.25">
      <c r="B134" s="4"/>
      <c r="C134" s="2"/>
      <c r="D134" s="2"/>
      <c r="E134" s="2"/>
      <c r="F134" s="2"/>
      <c r="G134" s="2"/>
    </row>
    <row r="135" spans="2:7" x14ac:dyDescent="0.25">
      <c r="B135" s="4"/>
      <c r="C135" s="2"/>
      <c r="D135" s="2"/>
      <c r="E135" s="2"/>
      <c r="F135" s="2"/>
      <c r="G135" s="2"/>
    </row>
    <row r="136" spans="2:7" x14ac:dyDescent="0.25">
      <c r="B136" s="4"/>
      <c r="C136" s="2"/>
      <c r="D136" s="2"/>
      <c r="E136" s="2"/>
      <c r="F136" s="2"/>
      <c r="G136" s="2"/>
    </row>
  </sheetData>
  <phoneticPr fontId="6" type="noConversion"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B2:G49"/>
  <sheetViews>
    <sheetView topLeftCell="A28" workbookViewId="0">
      <selection activeCell="C41" sqref="C41"/>
    </sheetView>
  </sheetViews>
  <sheetFormatPr defaultRowHeight="15" x14ac:dyDescent="0.25"/>
  <cols>
    <col min="2" max="2" width="17.5703125" bestFit="1" customWidth="1"/>
    <col min="3" max="3" width="72" bestFit="1" customWidth="1"/>
    <col min="4" max="4" width="42.140625" bestFit="1" customWidth="1"/>
    <col min="5" max="5" width="11.85546875" bestFit="1" customWidth="1"/>
  </cols>
  <sheetData>
    <row r="2" spans="2:7" x14ac:dyDescent="0.25">
      <c r="B2" s="144" t="s">
        <v>5887</v>
      </c>
    </row>
    <row r="3" spans="2:7" ht="15.75" x14ac:dyDescent="0.25">
      <c r="B3" s="10" t="s">
        <v>0</v>
      </c>
      <c r="C3" s="11" t="s">
        <v>1</v>
      </c>
      <c r="D3" s="11" t="s">
        <v>2</v>
      </c>
      <c r="E3" s="11" t="s">
        <v>934</v>
      </c>
      <c r="F3" s="11" t="s">
        <v>1095</v>
      </c>
      <c r="G3" s="11" t="s">
        <v>1507</v>
      </c>
    </row>
    <row r="4" spans="2:7" x14ac:dyDescent="0.25">
      <c r="B4" s="4">
        <v>45977</v>
      </c>
      <c r="C4" s="2" t="s">
        <v>5888</v>
      </c>
      <c r="D4" s="2" t="s">
        <v>5889</v>
      </c>
      <c r="E4" s="23"/>
      <c r="F4" s="2"/>
      <c r="G4" s="2"/>
    </row>
    <row r="5" spans="2:7" x14ac:dyDescent="0.25">
      <c r="B5" s="4">
        <v>45978</v>
      </c>
      <c r="C5" s="2"/>
      <c r="D5" s="2"/>
      <c r="E5" s="23"/>
      <c r="F5" s="2">
        <f>E5-E4</f>
        <v>0</v>
      </c>
      <c r="G5" s="2"/>
    </row>
    <row r="6" spans="2:7" x14ac:dyDescent="0.25">
      <c r="B6" s="4">
        <v>45979</v>
      </c>
      <c r="C6" s="2"/>
      <c r="D6" s="2"/>
      <c r="E6" s="23"/>
      <c r="F6" s="2">
        <f t="shared" ref="F6:F14" si="0">E6-E5</f>
        <v>0</v>
      </c>
      <c r="G6" s="2"/>
    </row>
    <row r="7" spans="2:7" x14ac:dyDescent="0.25">
      <c r="B7" s="4">
        <v>45980</v>
      </c>
      <c r="C7" s="2"/>
      <c r="D7" s="58"/>
      <c r="E7" s="23"/>
      <c r="F7" s="2">
        <f t="shared" si="0"/>
        <v>0</v>
      </c>
      <c r="G7" s="2"/>
    </row>
    <row r="8" spans="2:7" x14ac:dyDescent="0.25">
      <c r="B8" s="4">
        <v>45981</v>
      </c>
      <c r="C8" s="2" t="s">
        <v>279</v>
      </c>
      <c r="D8" s="58"/>
      <c r="E8" s="23"/>
      <c r="F8" s="2">
        <f t="shared" si="0"/>
        <v>0</v>
      </c>
      <c r="G8" s="2"/>
    </row>
    <row r="9" spans="2:7" x14ac:dyDescent="0.25">
      <c r="B9" s="4">
        <v>45982</v>
      </c>
      <c r="C9" s="2" t="s">
        <v>5933</v>
      </c>
      <c r="D9" s="58"/>
      <c r="E9" s="23">
        <v>35</v>
      </c>
      <c r="F9" s="2">
        <f t="shared" si="0"/>
        <v>35</v>
      </c>
      <c r="G9" s="2"/>
    </row>
    <row r="10" spans="2:7" x14ac:dyDescent="0.25">
      <c r="B10" s="4">
        <v>45983</v>
      </c>
      <c r="C10" s="2" t="s">
        <v>5943</v>
      </c>
      <c r="D10" s="2"/>
      <c r="E10" s="23">
        <v>111</v>
      </c>
      <c r="F10" s="2">
        <f t="shared" si="0"/>
        <v>76</v>
      </c>
      <c r="G10" s="2"/>
    </row>
    <row r="11" spans="2:7" x14ac:dyDescent="0.25">
      <c r="B11" s="4">
        <v>45984</v>
      </c>
      <c r="C11" s="2" t="s">
        <v>5958</v>
      </c>
      <c r="D11" s="2"/>
      <c r="E11" s="23">
        <v>150</v>
      </c>
      <c r="F11" s="2">
        <f t="shared" si="0"/>
        <v>39</v>
      </c>
      <c r="G11" s="2"/>
    </row>
    <row r="12" spans="2:7" x14ac:dyDescent="0.25">
      <c r="B12" s="4">
        <v>45985</v>
      </c>
      <c r="C12" s="2" t="s">
        <v>5927</v>
      </c>
      <c r="D12" s="2"/>
      <c r="E12" s="23"/>
      <c r="F12" s="2">
        <f t="shared" si="0"/>
        <v>-150</v>
      </c>
      <c r="G12" s="2"/>
    </row>
    <row r="13" spans="2:7" x14ac:dyDescent="0.25">
      <c r="B13" s="4">
        <v>45986</v>
      </c>
      <c r="C13" s="2" t="s">
        <v>5966</v>
      </c>
      <c r="D13" s="2"/>
      <c r="E13" s="23"/>
      <c r="F13" s="2">
        <f t="shared" si="0"/>
        <v>0</v>
      </c>
      <c r="G13" s="2"/>
    </row>
    <row r="14" spans="2:7" x14ac:dyDescent="0.25">
      <c r="B14" s="4">
        <v>45987</v>
      </c>
      <c r="C14" s="2"/>
      <c r="D14" s="2"/>
      <c r="E14" s="23"/>
      <c r="F14" s="2">
        <f t="shared" si="0"/>
        <v>0</v>
      </c>
      <c r="G14" s="2"/>
    </row>
    <row r="15" spans="2:7" x14ac:dyDescent="0.25">
      <c r="B15" s="4">
        <v>45988</v>
      </c>
      <c r="C15" s="2"/>
      <c r="D15" s="2"/>
      <c r="E15" s="2"/>
      <c r="F15" s="2"/>
      <c r="G15" s="2"/>
    </row>
    <row r="16" spans="2:7" x14ac:dyDescent="0.25">
      <c r="B16" s="4">
        <v>45989</v>
      </c>
      <c r="C16" s="2"/>
      <c r="D16" s="2"/>
      <c r="E16" s="2"/>
      <c r="F16" s="2"/>
      <c r="G16" s="2"/>
    </row>
    <row r="17" spans="2:7" x14ac:dyDescent="0.25">
      <c r="B17" s="4">
        <v>45990</v>
      </c>
      <c r="C17" s="2"/>
      <c r="D17" s="2"/>
      <c r="E17" s="2"/>
      <c r="F17" s="2"/>
      <c r="G17" s="2"/>
    </row>
    <row r="18" spans="2:7" x14ac:dyDescent="0.25">
      <c r="B18" s="4">
        <v>45991</v>
      </c>
      <c r="C18" s="2"/>
      <c r="D18" s="2"/>
      <c r="E18" s="2"/>
      <c r="F18" s="2"/>
      <c r="G18" s="2"/>
    </row>
    <row r="19" spans="2:7" x14ac:dyDescent="0.25">
      <c r="B19" s="4">
        <v>45992</v>
      </c>
      <c r="C19" s="2"/>
      <c r="D19" s="2"/>
      <c r="E19" s="2"/>
      <c r="F19" s="2"/>
      <c r="G19" s="2"/>
    </row>
    <row r="20" spans="2:7" x14ac:dyDescent="0.25">
      <c r="B20" s="4">
        <v>45993</v>
      </c>
      <c r="C20" s="2" t="s">
        <v>6000</v>
      </c>
      <c r="D20" s="2"/>
      <c r="E20" s="2"/>
      <c r="F20" s="2"/>
      <c r="G20" s="2"/>
    </row>
    <row r="21" spans="2:7" x14ac:dyDescent="0.25">
      <c r="B21" s="4">
        <v>45994</v>
      </c>
      <c r="C21" s="2" t="s">
        <v>6000</v>
      </c>
      <c r="D21" s="2" t="s">
        <v>6036</v>
      </c>
      <c r="E21" s="2"/>
      <c r="F21" s="2"/>
      <c r="G21" s="2"/>
    </row>
    <row r="22" spans="2:7" x14ac:dyDescent="0.25">
      <c r="B22" s="4">
        <v>45995</v>
      </c>
      <c r="C22" s="2"/>
      <c r="D22" s="2"/>
      <c r="E22" s="2"/>
      <c r="F22" s="2"/>
      <c r="G22" s="2"/>
    </row>
    <row r="23" spans="2:7" x14ac:dyDescent="0.25">
      <c r="B23" s="4">
        <v>45996</v>
      </c>
      <c r="C23" s="2"/>
      <c r="D23" s="2"/>
      <c r="E23" s="2"/>
      <c r="F23" s="2"/>
      <c r="G23" s="2"/>
    </row>
    <row r="24" spans="2:7" x14ac:dyDescent="0.25">
      <c r="B24" s="4">
        <v>45997</v>
      </c>
      <c r="C24" s="2"/>
      <c r="D24" s="2"/>
      <c r="E24" s="2"/>
      <c r="F24" s="2"/>
      <c r="G24" s="2"/>
    </row>
    <row r="25" spans="2:7" x14ac:dyDescent="0.25">
      <c r="B25" s="4">
        <v>45998</v>
      </c>
      <c r="C25" s="2"/>
      <c r="D25" s="2"/>
      <c r="E25" s="2"/>
      <c r="F25" s="2"/>
      <c r="G25" s="2"/>
    </row>
    <row r="26" spans="2:7" x14ac:dyDescent="0.25">
      <c r="B26" s="4">
        <v>45999</v>
      </c>
      <c r="C26" s="2"/>
      <c r="D26" s="2"/>
      <c r="E26" s="2"/>
      <c r="F26" s="2"/>
      <c r="G26" s="2"/>
    </row>
    <row r="27" spans="2:7" x14ac:dyDescent="0.25">
      <c r="B27" s="4">
        <v>46000</v>
      </c>
      <c r="C27" s="2"/>
      <c r="D27" s="2"/>
      <c r="E27" s="2"/>
      <c r="F27" s="2"/>
      <c r="G27" s="2"/>
    </row>
    <row r="28" spans="2:7" x14ac:dyDescent="0.25">
      <c r="B28" s="4">
        <v>46001</v>
      </c>
      <c r="C28" s="2"/>
      <c r="D28" s="2"/>
      <c r="E28" s="2"/>
      <c r="F28" s="2"/>
      <c r="G28" s="2"/>
    </row>
    <row r="29" spans="2:7" x14ac:dyDescent="0.25">
      <c r="B29" s="4">
        <v>46002</v>
      </c>
      <c r="C29" s="2"/>
      <c r="D29" s="2"/>
      <c r="E29" s="2"/>
      <c r="F29" s="2"/>
      <c r="G29" s="2"/>
    </row>
    <row r="30" spans="2:7" x14ac:dyDescent="0.25">
      <c r="B30" s="4">
        <v>46003</v>
      </c>
      <c r="C30" s="2"/>
      <c r="D30" s="2"/>
      <c r="E30" s="2"/>
      <c r="F30" s="2"/>
      <c r="G30" s="2"/>
    </row>
    <row r="31" spans="2:7" x14ac:dyDescent="0.25">
      <c r="B31" s="4">
        <v>46004</v>
      </c>
      <c r="C31" s="2" t="s">
        <v>6096</v>
      </c>
      <c r="D31" s="2" t="s">
        <v>6120</v>
      </c>
      <c r="E31" s="2"/>
      <c r="F31" s="2"/>
      <c r="G31" s="2"/>
    </row>
    <row r="32" spans="2:7" x14ac:dyDescent="0.25">
      <c r="B32" s="4">
        <v>46005</v>
      </c>
      <c r="C32" s="2" t="s">
        <v>6096</v>
      </c>
      <c r="D32" s="2"/>
      <c r="E32" s="2"/>
      <c r="F32" s="2"/>
      <c r="G32" s="2"/>
    </row>
    <row r="33" spans="2:7" x14ac:dyDescent="0.25">
      <c r="B33" s="4">
        <v>46006</v>
      </c>
      <c r="C33" s="2"/>
      <c r="D33" s="2"/>
      <c r="E33" s="2"/>
      <c r="F33" s="2"/>
      <c r="G33" s="2"/>
    </row>
    <row r="34" spans="2:7" x14ac:dyDescent="0.25">
      <c r="B34" s="4">
        <v>46007</v>
      </c>
      <c r="C34" s="2"/>
      <c r="D34" s="2"/>
      <c r="E34" s="2"/>
      <c r="F34" s="2"/>
      <c r="G34" s="2"/>
    </row>
    <row r="35" spans="2:7" x14ac:dyDescent="0.25">
      <c r="B35" s="4">
        <v>46008</v>
      </c>
      <c r="C35" s="2" t="s">
        <v>6141</v>
      </c>
      <c r="D35" s="2" t="s">
        <v>6142</v>
      </c>
      <c r="E35" s="2"/>
      <c r="F35" s="2"/>
      <c r="G35" s="2"/>
    </row>
    <row r="36" spans="2:7" x14ac:dyDescent="0.25">
      <c r="B36" s="4">
        <v>46009</v>
      </c>
      <c r="C36" s="2" t="s">
        <v>6153</v>
      </c>
      <c r="D36" s="2" t="s">
        <v>6154</v>
      </c>
      <c r="E36" s="2"/>
      <c r="F36" s="2"/>
      <c r="G36" s="2"/>
    </row>
    <row r="37" spans="2:7" x14ac:dyDescent="0.25">
      <c r="B37" s="4">
        <v>46010</v>
      </c>
      <c r="C37" s="2" t="s">
        <v>6160</v>
      </c>
      <c r="D37" s="2"/>
      <c r="E37" s="2"/>
      <c r="F37" s="2"/>
      <c r="G37" s="2"/>
    </row>
    <row r="38" spans="2:7" x14ac:dyDescent="0.25">
      <c r="B38" s="4">
        <v>46011</v>
      </c>
      <c r="C38" s="2"/>
      <c r="D38" s="2"/>
      <c r="E38" s="2"/>
      <c r="F38" s="2"/>
      <c r="G38" s="2"/>
    </row>
    <row r="39" spans="2:7" x14ac:dyDescent="0.25">
      <c r="B39" s="4">
        <v>46012</v>
      </c>
      <c r="C39" s="2" t="s">
        <v>6179</v>
      </c>
      <c r="D39" s="2"/>
      <c r="E39" s="2"/>
      <c r="F39" s="2"/>
      <c r="G39" s="2"/>
    </row>
    <row r="40" spans="2:7" x14ac:dyDescent="0.25">
      <c r="B40" s="4">
        <v>46013</v>
      </c>
      <c r="C40" s="2" t="s">
        <v>4597</v>
      </c>
      <c r="D40" s="2"/>
      <c r="E40" s="2"/>
      <c r="F40" s="2"/>
      <c r="G40" s="2"/>
    </row>
    <row r="41" spans="2:7" x14ac:dyDescent="0.25">
      <c r="B41" s="4">
        <v>46014</v>
      </c>
      <c r="C41" s="2"/>
      <c r="D41" s="2"/>
      <c r="E41" s="2"/>
      <c r="F41" s="2"/>
      <c r="G41" s="2"/>
    </row>
    <row r="42" spans="2:7" x14ac:dyDescent="0.25">
      <c r="B42" s="4">
        <v>46015</v>
      </c>
      <c r="C42" s="2"/>
      <c r="D42" s="2"/>
      <c r="E42" s="2"/>
      <c r="F42" s="2"/>
      <c r="G42" s="2"/>
    </row>
    <row r="43" spans="2:7" x14ac:dyDescent="0.25">
      <c r="B43" s="4">
        <v>46016</v>
      </c>
      <c r="C43" s="2"/>
      <c r="D43" s="2"/>
      <c r="E43" s="2"/>
      <c r="F43" s="2"/>
      <c r="G43" s="2"/>
    </row>
    <row r="44" spans="2:7" x14ac:dyDescent="0.25">
      <c r="B44" s="4">
        <v>46017</v>
      </c>
      <c r="C44" s="2"/>
      <c r="D44" s="2"/>
      <c r="E44" s="2"/>
      <c r="F44" s="2"/>
      <c r="G44" s="2"/>
    </row>
    <row r="45" spans="2:7" x14ac:dyDescent="0.25">
      <c r="B45" s="4">
        <v>46018</v>
      </c>
      <c r="C45" s="2"/>
      <c r="D45" s="2"/>
      <c r="E45" s="2"/>
      <c r="F45" s="2"/>
      <c r="G45" s="2"/>
    </row>
    <row r="46" spans="2:7" x14ac:dyDescent="0.25">
      <c r="B46" s="4">
        <v>46019</v>
      </c>
      <c r="C46" s="2"/>
      <c r="D46" s="2"/>
      <c r="E46" s="2"/>
      <c r="F46" s="2"/>
      <c r="G46" s="2"/>
    </row>
    <row r="47" spans="2:7" x14ac:dyDescent="0.25">
      <c r="B47" s="4">
        <v>46020</v>
      </c>
      <c r="C47" s="2"/>
      <c r="D47" s="2"/>
      <c r="E47" s="2"/>
      <c r="F47" s="2"/>
      <c r="G47" s="2"/>
    </row>
    <row r="48" spans="2:7" x14ac:dyDescent="0.25">
      <c r="B48" s="4">
        <v>46021</v>
      </c>
      <c r="C48" s="2"/>
      <c r="D48" s="2"/>
      <c r="E48" s="2"/>
      <c r="F48" s="2"/>
      <c r="G48" s="2"/>
    </row>
    <row r="49" spans="2:7" x14ac:dyDescent="0.25">
      <c r="B49" s="4">
        <v>46022</v>
      </c>
      <c r="C49" s="2"/>
      <c r="D49" s="2"/>
      <c r="E49" s="2"/>
      <c r="F49" s="2"/>
      <c r="G49" s="2"/>
    </row>
  </sheetData>
  <phoneticPr fontId="6" type="noConversion"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B2:G19"/>
  <sheetViews>
    <sheetView workbookViewId="0">
      <selection activeCell="C17" sqref="C17"/>
    </sheetView>
  </sheetViews>
  <sheetFormatPr defaultRowHeight="15" x14ac:dyDescent="0.25"/>
  <cols>
    <col min="2" max="2" width="17.5703125" bestFit="1" customWidth="1"/>
    <col min="3" max="3" width="72" bestFit="1" customWidth="1"/>
    <col min="4" max="4" width="42.140625" bestFit="1" customWidth="1"/>
    <col min="5" max="5" width="11.85546875" bestFit="1" customWidth="1"/>
    <col min="7" max="7" width="11" bestFit="1" customWidth="1"/>
  </cols>
  <sheetData>
    <row r="2" spans="2:7" x14ac:dyDescent="0.25">
      <c r="B2" s="144" t="s">
        <v>5870</v>
      </c>
    </row>
    <row r="3" spans="2:7" ht="15.75" x14ac:dyDescent="0.25">
      <c r="B3" s="10" t="s">
        <v>0</v>
      </c>
      <c r="C3" s="11" t="s">
        <v>1</v>
      </c>
      <c r="D3" s="11" t="s">
        <v>2</v>
      </c>
      <c r="E3" s="11" t="s">
        <v>934</v>
      </c>
      <c r="F3" s="11" t="s">
        <v>1095</v>
      </c>
      <c r="G3" s="11" t="s">
        <v>1507</v>
      </c>
    </row>
    <row r="4" spans="2:7" x14ac:dyDescent="0.25">
      <c r="B4" s="4">
        <v>45976</v>
      </c>
      <c r="C4" s="2" t="s">
        <v>5871</v>
      </c>
      <c r="D4" s="2"/>
      <c r="E4" s="23"/>
      <c r="F4" s="2"/>
      <c r="G4" s="2"/>
    </row>
    <row r="5" spans="2:7" x14ac:dyDescent="0.25">
      <c r="B5" s="4">
        <v>45977</v>
      </c>
      <c r="C5" s="2"/>
      <c r="D5" s="2"/>
      <c r="E5" s="23"/>
      <c r="F5" s="2">
        <f>E5-E4</f>
        <v>0</v>
      </c>
      <c r="G5" s="2"/>
    </row>
    <row r="6" spans="2:7" x14ac:dyDescent="0.25">
      <c r="B6" s="4">
        <v>45978</v>
      </c>
      <c r="C6" s="2" t="s">
        <v>5902</v>
      </c>
      <c r="D6" s="2"/>
      <c r="E6" s="23">
        <v>40</v>
      </c>
      <c r="F6" s="2">
        <f t="shared" ref="F6:F14" si="0">E6-E5</f>
        <v>40</v>
      </c>
      <c r="G6" s="2"/>
    </row>
    <row r="7" spans="2:7" x14ac:dyDescent="0.25">
      <c r="B7" s="4">
        <v>45979</v>
      </c>
      <c r="C7" s="2" t="s">
        <v>5904</v>
      </c>
      <c r="D7" s="58" t="s">
        <v>5909</v>
      </c>
      <c r="E7" s="23">
        <v>80</v>
      </c>
      <c r="F7" s="2">
        <f t="shared" si="0"/>
        <v>40</v>
      </c>
      <c r="G7" s="2"/>
    </row>
    <row r="8" spans="2:7" x14ac:dyDescent="0.25">
      <c r="B8" s="4">
        <v>45980</v>
      </c>
      <c r="C8" s="2" t="s">
        <v>5927</v>
      </c>
      <c r="D8" s="58"/>
      <c r="E8" s="23"/>
      <c r="F8" s="2">
        <f t="shared" si="0"/>
        <v>-80</v>
      </c>
      <c r="G8" s="2"/>
    </row>
    <row r="9" spans="2:7" x14ac:dyDescent="0.25">
      <c r="B9" s="4">
        <v>45981</v>
      </c>
      <c r="C9" s="2"/>
      <c r="D9" s="58"/>
      <c r="E9" s="23"/>
      <c r="F9" s="2">
        <f t="shared" si="0"/>
        <v>0</v>
      </c>
      <c r="G9" s="2"/>
    </row>
    <row r="10" spans="2:7" x14ac:dyDescent="0.25">
      <c r="B10" s="4">
        <v>45982</v>
      </c>
      <c r="C10" s="2"/>
      <c r="D10" s="2"/>
      <c r="E10" s="23"/>
      <c r="F10" s="2">
        <f t="shared" si="0"/>
        <v>0</v>
      </c>
      <c r="G10" s="2"/>
    </row>
    <row r="11" spans="2:7" x14ac:dyDescent="0.25">
      <c r="B11" s="4">
        <v>45983</v>
      </c>
      <c r="C11" s="2"/>
      <c r="D11" s="2"/>
      <c r="E11" s="23"/>
      <c r="F11" s="2">
        <f t="shared" si="0"/>
        <v>0</v>
      </c>
      <c r="G11" s="2"/>
    </row>
    <row r="12" spans="2:7" x14ac:dyDescent="0.25">
      <c r="B12" s="4">
        <v>45984</v>
      </c>
      <c r="C12" s="2"/>
      <c r="D12" s="2"/>
      <c r="E12" s="23"/>
      <c r="F12" s="2">
        <f t="shared" si="0"/>
        <v>0</v>
      </c>
      <c r="G12" s="2"/>
    </row>
    <row r="13" spans="2:7" x14ac:dyDescent="0.25">
      <c r="B13" s="4">
        <v>45985</v>
      </c>
      <c r="C13" s="2"/>
      <c r="D13" s="2"/>
      <c r="E13" s="23"/>
      <c r="F13" s="2">
        <f t="shared" si="0"/>
        <v>0</v>
      </c>
      <c r="G13" s="2"/>
    </row>
    <row r="14" spans="2:7" x14ac:dyDescent="0.25">
      <c r="B14" s="4">
        <v>45986</v>
      </c>
      <c r="C14" s="2"/>
      <c r="D14" s="2"/>
      <c r="E14" s="23"/>
      <c r="F14" s="2">
        <f t="shared" si="0"/>
        <v>0</v>
      </c>
      <c r="G14" s="2"/>
    </row>
    <row r="15" spans="2:7" x14ac:dyDescent="0.25">
      <c r="B15" s="4">
        <v>45987</v>
      </c>
      <c r="C15" s="2"/>
      <c r="D15" s="2"/>
      <c r="E15" s="2"/>
      <c r="F15" s="2"/>
      <c r="G15" s="2"/>
    </row>
    <row r="16" spans="2:7" x14ac:dyDescent="0.25">
      <c r="B16" s="4">
        <v>45988</v>
      </c>
      <c r="C16" s="2" t="s">
        <v>6026</v>
      </c>
      <c r="D16" s="2"/>
      <c r="E16" s="2"/>
      <c r="F16" s="2"/>
      <c r="G16" s="2"/>
    </row>
    <row r="17" spans="2:7" x14ac:dyDescent="0.25">
      <c r="B17" s="4">
        <v>45989</v>
      </c>
      <c r="C17" s="2" t="s">
        <v>5990</v>
      </c>
      <c r="D17" s="2"/>
      <c r="E17" s="2"/>
      <c r="F17" s="2"/>
      <c r="G17" s="2"/>
    </row>
    <row r="18" spans="2:7" x14ac:dyDescent="0.25">
      <c r="B18" s="4">
        <v>45990</v>
      </c>
      <c r="C18" s="2"/>
      <c r="D18" s="2"/>
      <c r="E18" s="2"/>
      <c r="F18" s="2"/>
      <c r="G18" s="2"/>
    </row>
    <row r="19" spans="2:7" x14ac:dyDescent="0.25">
      <c r="B19" s="4">
        <v>45991</v>
      </c>
      <c r="C19" s="2"/>
      <c r="D19" s="2"/>
      <c r="E19" s="2"/>
      <c r="F19" s="2"/>
      <c r="G19" s="2"/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B2:G44"/>
  <sheetViews>
    <sheetView workbookViewId="0">
      <pane ySplit="3" topLeftCell="A25" activePane="bottomLeft" state="frozen"/>
      <selection pane="bottomLeft" activeCell="C43" sqref="C43"/>
    </sheetView>
  </sheetViews>
  <sheetFormatPr defaultRowHeight="15" x14ac:dyDescent="0.25"/>
  <cols>
    <col min="2" max="2" width="17.5703125" bestFit="1" customWidth="1"/>
    <col min="3" max="3" width="72" bestFit="1" customWidth="1"/>
    <col min="4" max="4" width="42.140625" bestFit="1" customWidth="1"/>
    <col min="5" max="5" width="11.85546875" bestFit="1" customWidth="1"/>
    <col min="7" max="7" width="11" bestFit="1" customWidth="1"/>
  </cols>
  <sheetData>
    <row r="2" spans="2:7" x14ac:dyDescent="0.25">
      <c r="B2" s="144" t="s">
        <v>5967</v>
      </c>
    </row>
    <row r="3" spans="2:7" ht="15.75" x14ac:dyDescent="0.25">
      <c r="B3" s="10" t="s">
        <v>0</v>
      </c>
      <c r="C3" s="11" t="s">
        <v>1</v>
      </c>
      <c r="D3" s="11" t="s">
        <v>2</v>
      </c>
      <c r="E3" s="11" t="s">
        <v>934</v>
      </c>
      <c r="F3" s="11" t="s">
        <v>1095</v>
      </c>
      <c r="G3" s="11" t="s">
        <v>1507</v>
      </c>
    </row>
    <row r="4" spans="2:7" x14ac:dyDescent="0.25">
      <c r="B4" s="4">
        <v>45983</v>
      </c>
      <c r="C4" s="2"/>
      <c r="D4" s="2"/>
      <c r="E4" s="23"/>
      <c r="F4" s="2"/>
      <c r="G4" s="2"/>
    </row>
    <row r="5" spans="2:7" x14ac:dyDescent="0.25">
      <c r="B5" s="4">
        <v>45984</v>
      </c>
      <c r="C5" s="2" t="s">
        <v>5969</v>
      </c>
      <c r="D5" s="2"/>
      <c r="E5" s="23">
        <v>40</v>
      </c>
      <c r="F5" s="2">
        <f>E5-E4</f>
        <v>40</v>
      </c>
      <c r="G5" s="2"/>
    </row>
    <row r="6" spans="2:7" x14ac:dyDescent="0.25">
      <c r="B6" s="4">
        <v>45985</v>
      </c>
      <c r="C6" s="2" t="s">
        <v>5968</v>
      </c>
      <c r="D6" s="2"/>
      <c r="E6" s="23">
        <v>58</v>
      </c>
      <c r="F6" s="2">
        <f t="shared" ref="F6:F27" si="0">E6-E5</f>
        <v>18</v>
      </c>
      <c r="G6" s="2"/>
    </row>
    <row r="7" spans="2:7" x14ac:dyDescent="0.25">
      <c r="B7" s="4">
        <v>45986</v>
      </c>
      <c r="C7" s="2" t="s">
        <v>5974</v>
      </c>
      <c r="D7" s="58"/>
      <c r="E7" s="23">
        <v>66</v>
      </c>
      <c r="F7" s="2">
        <f t="shared" si="0"/>
        <v>8</v>
      </c>
      <c r="G7" s="2"/>
    </row>
    <row r="8" spans="2:7" x14ac:dyDescent="0.25">
      <c r="B8" s="4">
        <v>45987</v>
      </c>
      <c r="C8" s="2" t="s">
        <v>5978</v>
      </c>
      <c r="D8" s="58"/>
      <c r="E8" s="23">
        <v>72</v>
      </c>
      <c r="F8" s="2">
        <f t="shared" si="0"/>
        <v>6</v>
      </c>
      <c r="G8" s="2"/>
    </row>
    <row r="9" spans="2:7" x14ac:dyDescent="0.25">
      <c r="B9" s="4">
        <v>45988</v>
      </c>
      <c r="C9" s="2" t="s">
        <v>5988</v>
      </c>
      <c r="D9" s="58"/>
      <c r="E9" s="23">
        <v>72</v>
      </c>
      <c r="F9" s="2">
        <f t="shared" si="0"/>
        <v>0</v>
      </c>
      <c r="G9" s="2"/>
    </row>
    <row r="10" spans="2:7" x14ac:dyDescent="0.25">
      <c r="B10" s="4">
        <v>45989</v>
      </c>
      <c r="C10" s="2" t="s">
        <v>5996</v>
      </c>
      <c r="D10" s="2"/>
      <c r="E10" s="23">
        <v>60</v>
      </c>
      <c r="F10" s="2">
        <f t="shared" si="0"/>
        <v>-12</v>
      </c>
      <c r="G10" s="2"/>
    </row>
    <row r="11" spans="2:7" x14ac:dyDescent="0.25">
      <c r="B11" s="4">
        <v>45990</v>
      </c>
      <c r="C11" s="2" t="s">
        <v>6005</v>
      </c>
      <c r="D11" s="2"/>
      <c r="E11" s="23">
        <v>81</v>
      </c>
      <c r="F11" s="2">
        <f t="shared" si="0"/>
        <v>21</v>
      </c>
      <c r="G11" s="2"/>
    </row>
    <row r="12" spans="2:7" x14ac:dyDescent="0.25">
      <c r="B12" s="4">
        <v>45991</v>
      </c>
      <c r="C12" s="2" t="s">
        <v>6006</v>
      </c>
      <c r="D12" s="2"/>
      <c r="E12" s="23">
        <v>81</v>
      </c>
      <c r="F12" s="2">
        <f t="shared" si="0"/>
        <v>0</v>
      </c>
      <c r="G12" s="2"/>
    </row>
    <row r="13" spans="2:7" x14ac:dyDescent="0.25">
      <c r="B13" s="4">
        <v>45992</v>
      </c>
      <c r="C13" s="2" t="s">
        <v>6017</v>
      </c>
      <c r="D13" s="2"/>
      <c r="E13" s="23">
        <v>81</v>
      </c>
      <c r="F13" s="2">
        <f t="shared" si="0"/>
        <v>0</v>
      </c>
      <c r="G13" s="2"/>
    </row>
    <row r="14" spans="2:7" x14ac:dyDescent="0.25">
      <c r="B14" s="4">
        <v>45993</v>
      </c>
      <c r="C14" s="2" t="s">
        <v>6034</v>
      </c>
      <c r="D14" s="2"/>
      <c r="E14" s="23">
        <v>81</v>
      </c>
      <c r="F14" s="2">
        <f t="shared" si="0"/>
        <v>0</v>
      </c>
      <c r="G14" s="2"/>
    </row>
    <row r="15" spans="2:7" x14ac:dyDescent="0.25">
      <c r="B15" s="4">
        <v>45994</v>
      </c>
      <c r="C15" s="2" t="s">
        <v>6043</v>
      </c>
      <c r="D15" s="2"/>
      <c r="E15" s="23">
        <v>81</v>
      </c>
      <c r="F15" s="2">
        <f t="shared" si="0"/>
        <v>0</v>
      </c>
      <c r="G15" s="2"/>
    </row>
    <row r="16" spans="2:7" x14ac:dyDescent="0.25">
      <c r="B16" s="4">
        <v>45995</v>
      </c>
      <c r="C16" s="2" t="s">
        <v>6053</v>
      </c>
      <c r="D16" s="2"/>
      <c r="E16" s="23">
        <v>81</v>
      </c>
      <c r="F16" s="2">
        <f t="shared" si="0"/>
        <v>0</v>
      </c>
      <c r="G16" s="2"/>
    </row>
    <row r="17" spans="2:7" x14ac:dyDescent="0.25">
      <c r="B17" s="4">
        <v>45996</v>
      </c>
      <c r="C17" s="2" t="s">
        <v>6060</v>
      </c>
      <c r="D17" s="2"/>
      <c r="E17" s="23">
        <v>81</v>
      </c>
      <c r="F17" s="2">
        <f t="shared" si="0"/>
        <v>0</v>
      </c>
      <c r="G17" s="2"/>
    </row>
    <row r="18" spans="2:7" x14ac:dyDescent="0.25">
      <c r="B18" s="4">
        <v>45997</v>
      </c>
      <c r="C18" s="2" t="s">
        <v>6060</v>
      </c>
      <c r="D18" s="2"/>
      <c r="E18" s="23">
        <v>81</v>
      </c>
      <c r="F18" s="2">
        <f t="shared" si="0"/>
        <v>0</v>
      </c>
      <c r="G18" s="2"/>
    </row>
    <row r="19" spans="2:7" x14ac:dyDescent="0.25">
      <c r="B19" s="4">
        <v>45998</v>
      </c>
      <c r="C19" s="2" t="s">
        <v>6060</v>
      </c>
      <c r="D19" s="2"/>
      <c r="E19" s="23">
        <v>81</v>
      </c>
      <c r="F19" s="2">
        <f t="shared" si="0"/>
        <v>0</v>
      </c>
      <c r="G19" s="2"/>
    </row>
    <row r="20" spans="2:7" x14ac:dyDescent="0.25">
      <c r="B20" s="4">
        <v>45999</v>
      </c>
      <c r="C20" s="2" t="s">
        <v>6082</v>
      </c>
      <c r="D20" s="2" t="s">
        <v>6076</v>
      </c>
      <c r="E20" s="23">
        <v>81</v>
      </c>
      <c r="F20" s="2">
        <f t="shared" si="0"/>
        <v>0</v>
      </c>
      <c r="G20" s="2"/>
    </row>
    <row r="21" spans="2:7" x14ac:dyDescent="0.25">
      <c r="B21" s="4">
        <v>46000</v>
      </c>
      <c r="C21" s="2" t="s">
        <v>6060</v>
      </c>
      <c r="D21" s="2"/>
      <c r="E21" s="23">
        <v>81</v>
      </c>
      <c r="F21" s="2">
        <f t="shared" si="0"/>
        <v>0</v>
      </c>
      <c r="G21" s="2"/>
    </row>
    <row r="22" spans="2:7" x14ac:dyDescent="0.25">
      <c r="B22" s="4">
        <v>46001</v>
      </c>
      <c r="C22" s="2" t="s">
        <v>6060</v>
      </c>
      <c r="D22" s="2"/>
      <c r="E22" s="23">
        <v>81</v>
      </c>
      <c r="F22" s="2">
        <f t="shared" si="0"/>
        <v>0</v>
      </c>
      <c r="G22" s="2"/>
    </row>
    <row r="23" spans="2:7" x14ac:dyDescent="0.25">
      <c r="B23" s="4">
        <v>46002</v>
      </c>
      <c r="C23" s="2" t="s">
        <v>6060</v>
      </c>
      <c r="D23" s="2"/>
      <c r="E23" s="23">
        <v>81</v>
      </c>
      <c r="F23" s="2">
        <f t="shared" si="0"/>
        <v>0</v>
      </c>
      <c r="G23" s="2"/>
    </row>
    <row r="24" spans="2:7" x14ac:dyDescent="0.25">
      <c r="B24" s="4">
        <v>46003</v>
      </c>
      <c r="C24" s="2" t="s">
        <v>6060</v>
      </c>
      <c r="D24" s="2"/>
      <c r="E24" s="23">
        <v>81</v>
      </c>
      <c r="F24" s="2">
        <f t="shared" si="0"/>
        <v>0</v>
      </c>
      <c r="G24" s="2"/>
    </row>
    <row r="25" spans="2:7" x14ac:dyDescent="0.25">
      <c r="B25" s="4">
        <v>46004</v>
      </c>
      <c r="C25" s="2" t="s">
        <v>6060</v>
      </c>
      <c r="D25" s="2"/>
      <c r="E25" s="23">
        <v>81</v>
      </c>
      <c r="F25" s="2">
        <f t="shared" si="0"/>
        <v>0</v>
      </c>
      <c r="G25" s="2"/>
    </row>
    <row r="26" spans="2:7" x14ac:dyDescent="0.25">
      <c r="B26" s="4">
        <v>46005</v>
      </c>
      <c r="C26" s="2" t="s">
        <v>6122</v>
      </c>
      <c r="D26" s="2"/>
      <c r="E26" s="23">
        <v>81</v>
      </c>
      <c r="F26" s="2">
        <f t="shared" si="0"/>
        <v>0</v>
      </c>
      <c r="G26" s="2"/>
    </row>
    <row r="27" spans="2:7" x14ac:dyDescent="0.25">
      <c r="B27" s="4">
        <v>46006</v>
      </c>
      <c r="C27" s="2" t="s">
        <v>5817</v>
      </c>
      <c r="D27" s="2"/>
      <c r="E27" s="23">
        <v>81</v>
      </c>
      <c r="F27" s="2">
        <f t="shared" si="0"/>
        <v>0</v>
      </c>
      <c r="G27" s="2"/>
    </row>
    <row r="28" spans="2:7" x14ac:dyDescent="0.25">
      <c r="B28" s="4">
        <v>46007</v>
      </c>
      <c r="C28" s="2"/>
      <c r="D28" s="2"/>
      <c r="E28" s="23">
        <v>81</v>
      </c>
      <c r="F28" s="2">
        <f>E28-E27</f>
        <v>0</v>
      </c>
      <c r="G28" s="2"/>
    </row>
    <row r="29" spans="2:7" x14ac:dyDescent="0.25">
      <c r="B29" s="4">
        <v>46008</v>
      </c>
      <c r="C29" s="2"/>
      <c r="D29" s="2"/>
      <c r="E29" s="23">
        <v>81</v>
      </c>
      <c r="F29" s="2">
        <f t="shared" ref="F29:F38" si="1">E29-E28</f>
        <v>0</v>
      </c>
      <c r="G29" s="2"/>
    </row>
    <row r="30" spans="2:7" x14ac:dyDescent="0.25">
      <c r="B30" s="4">
        <v>46009</v>
      </c>
      <c r="C30" s="2"/>
      <c r="D30" s="2"/>
      <c r="E30" s="23">
        <v>81</v>
      </c>
      <c r="F30" s="2">
        <f t="shared" si="1"/>
        <v>0</v>
      </c>
      <c r="G30" s="2"/>
    </row>
    <row r="31" spans="2:7" x14ac:dyDescent="0.25">
      <c r="B31" s="4">
        <v>46010</v>
      </c>
      <c r="C31" s="2" t="s">
        <v>6143</v>
      </c>
      <c r="D31" s="2"/>
      <c r="E31" s="23">
        <v>82</v>
      </c>
      <c r="F31" s="2">
        <f t="shared" si="1"/>
        <v>1</v>
      </c>
      <c r="G31" s="2"/>
    </row>
    <row r="32" spans="2:7" x14ac:dyDescent="0.25">
      <c r="B32" s="4">
        <v>46011</v>
      </c>
      <c r="C32" s="2" t="s">
        <v>6180</v>
      </c>
      <c r="D32" s="2"/>
      <c r="E32" s="23">
        <v>83</v>
      </c>
      <c r="F32" s="2">
        <f t="shared" si="1"/>
        <v>1</v>
      </c>
      <c r="G32" s="2"/>
    </row>
    <row r="33" spans="2:7" x14ac:dyDescent="0.25">
      <c r="B33" s="4">
        <v>46012</v>
      </c>
      <c r="C33" s="2" t="s">
        <v>480</v>
      </c>
      <c r="D33" s="2"/>
      <c r="E33" s="23">
        <v>83</v>
      </c>
      <c r="F33" s="2">
        <f t="shared" si="1"/>
        <v>0</v>
      </c>
      <c r="G33" s="2"/>
    </row>
    <row r="34" spans="2:7" x14ac:dyDescent="0.25">
      <c r="B34" s="4">
        <v>46013</v>
      </c>
      <c r="C34" s="2" t="s">
        <v>6183</v>
      </c>
      <c r="D34" s="2"/>
      <c r="E34" s="23">
        <v>95</v>
      </c>
      <c r="F34" s="2">
        <f t="shared" si="1"/>
        <v>12</v>
      </c>
      <c r="G34" s="2"/>
    </row>
    <row r="35" spans="2:7" x14ac:dyDescent="0.25">
      <c r="B35" s="4">
        <v>46014</v>
      </c>
      <c r="C35" s="2" t="s">
        <v>5481</v>
      </c>
      <c r="D35" s="2"/>
      <c r="E35" s="23"/>
      <c r="F35" s="2">
        <f t="shared" si="1"/>
        <v>-95</v>
      </c>
      <c r="G35" s="2"/>
    </row>
    <row r="36" spans="2:7" x14ac:dyDescent="0.25">
      <c r="B36" s="4">
        <v>46015</v>
      </c>
      <c r="C36" s="2"/>
      <c r="D36" s="2"/>
      <c r="E36" s="23"/>
      <c r="F36" s="2">
        <f t="shared" si="1"/>
        <v>0</v>
      </c>
      <c r="G36" s="2"/>
    </row>
    <row r="37" spans="2:7" x14ac:dyDescent="0.25">
      <c r="B37" s="4">
        <v>46016</v>
      </c>
      <c r="C37" s="2"/>
      <c r="D37" s="2"/>
      <c r="E37" s="23"/>
      <c r="F37" s="2">
        <f t="shared" si="1"/>
        <v>0</v>
      </c>
      <c r="G37" s="2"/>
    </row>
    <row r="38" spans="2:7" x14ac:dyDescent="0.25">
      <c r="B38" s="4">
        <v>46017</v>
      </c>
      <c r="C38" s="2"/>
      <c r="D38" s="2"/>
      <c r="E38" s="23"/>
      <c r="F38" s="2">
        <f t="shared" si="1"/>
        <v>0</v>
      </c>
      <c r="G38" s="2"/>
    </row>
    <row r="39" spans="2:7" x14ac:dyDescent="0.25">
      <c r="B39" s="4">
        <v>46018</v>
      </c>
      <c r="C39" s="2"/>
      <c r="D39" s="2"/>
      <c r="E39" s="23"/>
      <c r="F39" s="2"/>
      <c r="G39" s="2"/>
    </row>
    <row r="40" spans="2:7" x14ac:dyDescent="0.25">
      <c r="B40" s="4">
        <v>46019</v>
      </c>
      <c r="C40" s="2"/>
      <c r="D40" s="2"/>
      <c r="E40" s="23"/>
      <c r="F40" s="2"/>
      <c r="G40" s="2"/>
    </row>
    <row r="41" spans="2:7" x14ac:dyDescent="0.25">
      <c r="B41" s="4">
        <v>46020</v>
      </c>
      <c r="C41" s="2"/>
      <c r="D41" s="2"/>
      <c r="E41" s="23"/>
      <c r="F41" s="2"/>
      <c r="G41" s="2"/>
    </row>
    <row r="42" spans="2:7" x14ac:dyDescent="0.25">
      <c r="B42" s="4">
        <v>46021</v>
      </c>
      <c r="C42" s="2" t="s">
        <v>4616</v>
      </c>
      <c r="D42" s="2"/>
      <c r="E42" s="23"/>
      <c r="F42" s="2"/>
      <c r="G42" s="2"/>
    </row>
    <row r="43" spans="2:7" x14ac:dyDescent="0.25">
      <c r="B43" s="4">
        <v>46022</v>
      </c>
      <c r="C43" s="2"/>
      <c r="D43" s="2"/>
      <c r="E43" s="23"/>
      <c r="F43" s="2"/>
      <c r="G43" s="2"/>
    </row>
    <row r="44" spans="2:7" x14ac:dyDescent="0.25">
      <c r="E44" s="24"/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B2:G44"/>
  <sheetViews>
    <sheetView topLeftCell="A28" workbookViewId="0">
      <selection activeCell="C38" sqref="C38"/>
    </sheetView>
  </sheetViews>
  <sheetFormatPr defaultRowHeight="15" x14ac:dyDescent="0.25"/>
  <cols>
    <col min="2" max="2" width="17.5703125" bestFit="1" customWidth="1"/>
    <col min="3" max="3" width="72" bestFit="1" customWidth="1"/>
    <col min="4" max="4" width="42.140625" bestFit="1" customWidth="1"/>
    <col min="5" max="5" width="11.85546875" bestFit="1" customWidth="1"/>
    <col min="7" max="7" width="11" bestFit="1" customWidth="1"/>
  </cols>
  <sheetData>
    <row r="2" spans="2:7" x14ac:dyDescent="0.25">
      <c r="B2" s="144" t="s">
        <v>6227</v>
      </c>
    </row>
    <row r="3" spans="2:7" ht="15.75" x14ac:dyDescent="0.25">
      <c r="B3" s="10" t="s">
        <v>0</v>
      </c>
      <c r="C3" s="11" t="s">
        <v>1</v>
      </c>
      <c r="D3" s="11" t="s">
        <v>2</v>
      </c>
      <c r="E3" s="11" t="s">
        <v>934</v>
      </c>
      <c r="F3" s="11" t="s">
        <v>1095</v>
      </c>
      <c r="G3" s="11" t="s">
        <v>1507</v>
      </c>
    </row>
    <row r="4" spans="2:7" x14ac:dyDescent="0.25">
      <c r="B4" s="4">
        <v>46008</v>
      </c>
      <c r="C4" s="2" t="s">
        <v>6149</v>
      </c>
      <c r="D4" s="2"/>
      <c r="E4" s="23"/>
      <c r="F4" s="2"/>
      <c r="G4" s="2"/>
    </row>
    <row r="5" spans="2:7" x14ac:dyDescent="0.25">
      <c r="B5" s="4">
        <v>46009</v>
      </c>
      <c r="C5" s="2" t="s">
        <v>6155</v>
      </c>
      <c r="D5" s="2"/>
      <c r="E5" s="23"/>
      <c r="F5" s="2"/>
      <c r="G5" s="2"/>
    </row>
    <row r="6" spans="2:7" x14ac:dyDescent="0.25">
      <c r="B6" s="4">
        <v>46010</v>
      </c>
      <c r="C6" s="2" t="s">
        <v>6165</v>
      </c>
      <c r="D6" s="2"/>
      <c r="E6" s="23"/>
      <c r="F6" s="2"/>
      <c r="G6" s="2"/>
    </row>
    <row r="7" spans="2:7" x14ac:dyDescent="0.25">
      <c r="B7" s="4">
        <v>46011</v>
      </c>
      <c r="C7" s="2" t="s">
        <v>6181</v>
      </c>
      <c r="D7" s="58"/>
      <c r="E7" s="23"/>
      <c r="F7" s="2"/>
      <c r="G7" s="2"/>
    </row>
    <row r="8" spans="2:7" x14ac:dyDescent="0.25">
      <c r="B8" s="4">
        <v>46012</v>
      </c>
      <c r="C8" s="2" t="s">
        <v>6181</v>
      </c>
      <c r="D8" s="58"/>
      <c r="E8" s="23"/>
      <c r="F8" s="2"/>
      <c r="G8" s="2"/>
    </row>
    <row r="9" spans="2:7" x14ac:dyDescent="0.25">
      <c r="B9" s="4">
        <v>46013</v>
      </c>
      <c r="C9" s="2" t="s">
        <v>6182</v>
      </c>
      <c r="D9" s="58"/>
      <c r="E9" s="23"/>
      <c r="F9" s="2"/>
      <c r="G9" s="2"/>
    </row>
    <row r="10" spans="2:7" x14ac:dyDescent="0.25">
      <c r="B10" s="4">
        <v>46014</v>
      </c>
      <c r="C10" s="2" t="s">
        <v>6182</v>
      </c>
      <c r="D10" s="2"/>
      <c r="E10" s="23"/>
      <c r="F10" s="2"/>
      <c r="G10" s="2"/>
    </row>
    <row r="11" spans="2:7" x14ac:dyDescent="0.25">
      <c r="B11" s="4">
        <v>46015</v>
      </c>
      <c r="C11" s="2" t="s">
        <v>6203</v>
      </c>
      <c r="D11" s="2"/>
      <c r="E11" s="23"/>
      <c r="F11" s="2"/>
      <c r="G11" s="2"/>
    </row>
    <row r="12" spans="2:7" x14ac:dyDescent="0.25">
      <c r="B12" s="4">
        <v>46016</v>
      </c>
      <c r="C12" s="2" t="s">
        <v>6204</v>
      </c>
      <c r="D12" s="2"/>
      <c r="E12" s="23">
        <v>24</v>
      </c>
      <c r="F12" s="2">
        <f>E12-E11</f>
        <v>24</v>
      </c>
      <c r="G12" s="2"/>
    </row>
    <row r="13" spans="2:7" x14ac:dyDescent="0.25">
      <c r="B13" s="4">
        <v>46017</v>
      </c>
      <c r="C13" s="2" t="s">
        <v>6213</v>
      </c>
      <c r="D13" s="2"/>
      <c r="E13" s="23">
        <v>35</v>
      </c>
      <c r="F13" s="2">
        <f t="shared" ref="F13:F34" si="0">E13-E12</f>
        <v>11</v>
      </c>
      <c r="G13" s="2"/>
    </row>
    <row r="14" spans="2:7" x14ac:dyDescent="0.25">
      <c r="B14" s="4">
        <v>46018</v>
      </c>
      <c r="C14" s="2" t="s">
        <v>5675</v>
      </c>
      <c r="D14" s="2"/>
      <c r="E14" s="23">
        <v>57</v>
      </c>
      <c r="F14" s="2">
        <f t="shared" si="0"/>
        <v>22</v>
      </c>
      <c r="G14" s="2"/>
    </row>
    <row r="15" spans="2:7" x14ac:dyDescent="0.25">
      <c r="B15" s="4">
        <v>46019</v>
      </c>
      <c r="C15" s="2" t="s">
        <v>6238</v>
      </c>
      <c r="D15" s="2"/>
      <c r="E15" s="23">
        <v>57</v>
      </c>
      <c r="F15" s="2">
        <f t="shared" si="0"/>
        <v>0</v>
      </c>
      <c r="G15" s="2"/>
    </row>
    <row r="16" spans="2:7" x14ac:dyDescent="0.25">
      <c r="B16" s="4">
        <v>46020</v>
      </c>
      <c r="C16" s="2" t="s">
        <v>6243</v>
      </c>
      <c r="D16" s="2" t="s">
        <v>6228</v>
      </c>
      <c r="E16" s="23">
        <v>94</v>
      </c>
      <c r="F16" s="2">
        <f t="shared" si="0"/>
        <v>37</v>
      </c>
      <c r="G16" s="2"/>
    </row>
    <row r="17" spans="2:7" x14ac:dyDescent="0.25">
      <c r="B17" s="4">
        <v>46021</v>
      </c>
      <c r="C17" s="2" t="s">
        <v>6242</v>
      </c>
      <c r="D17" s="2" t="s">
        <v>6239</v>
      </c>
      <c r="E17" s="23">
        <v>106</v>
      </c>
      <c r="F17" s="2">
        <f t="shared" si="0"/>
        <v>12</v>
      </c>
      <c r="G17" s="2"/>
    </row>
    <row r="18" spans="2:7" x14ac:dyDescent="0.25">
      <c r="B18" s="4">
        <v>46022</v>
      </c>
      <c r="C18" s="2" t="s">
        <v>6241</v>
      </c>
      <c r="D18" s="2"/>
      <c r="E18" s="23">
        <v>124</v>
      </c>
      <c r="F18" s="2">
        <f t="shared" si="0"/>
        <v>18</v>
      </c>
      <c r="G18" s="2"/>
    </row>
    <row r="19" spans="2:7" x14ac:dyDescent="0.25">
      <c r="B19" s="4">
        <v>46023</v>
      </c>
      <c r="C19" s="2" t="s">
        <v>480</v>
      </c>
      <c r="D19" s="2"/>
      <c r="E19" s="23">
        <v>124</v>
      </c>
      <c r="F19" s="2">
        <f t="shared" si="0"/>
        <v>0</v>
      </c>
      <c r="G19" s="2"/>
    </row>
    <row r="20" spans="2:7" x14ac:dyDescent="0.25">
      <c r="B20" s="4">
        <v>46024</v>
      </c>
      <c r="C20" s="2" t="s">
        <v>6255</v>
      </c>
      <c r="D20" s="2"/>
      <c r="E20" s="23">
        <v>135</v>
      </c>
      <c r="F20" s="2">
        <f t="shared" si="0"/>
        <v>11</v>
      </c>
      <c r="G20" s="2"/>
    </row>
    <row r="21" spans="2:7" x14ac:dyDescent="0.25">
      <c r="B21" s="4">
        <v>46025</v>
      </c>
      <c r="C21" s="2" t="s">
        <v>6265</v>
      </c>
      <c r="D21" s="2"/>
      <c r="E21" s="23">
        <v>157</v>
      </c>
      <c r="F21" s="2">
        <f t="shared" si="0"/>
        <v>22</v>
      </c>
      <c r="G21" s="2"/>
    </row>
    <row r="22" spans="2:7" x14ac:dyDescent="0.25">
      <c r="B22" s="4">
        <v>46026</v>
      </c>
      <c r="C22" s="2" t="s">
        <v>6265</v>
      </c>
      <c r="D22" s="2" t="s">
        <v>6266</v>
      </c>
      <c r="E22" s="23">
        <v>157</v>
      </c>
      <c r="F22" s="2">
        <f t="shared" si="0"/>
        <v>0</v>
      </c>
      <c r="G22" s="2"/>
    </row>
    <row r="23" spans="2:7" x14ac:dyDescent="0.25">
      <c r="B23" s="4">
        <v>46027</v>
      </c>
      <c r="C23" s="2" t="s">
        <v>6276</v>
      </c>
      <c r="D23" s="2"/>
      <c r="E23" s="23">
        <v>163</v>
      </c>
      <c r="F23" s="2">
        <f t="shared" si="0"/>
        <v>6</v>
      </c>
      <c r="G23" s="2"/>
    </row>
    <row r="24" spans="2:7" x14ac:dyDescent="0.25">
      <c r="B24" s="4">
        <v>46028</v>
      </c>
      <c r="C24" s="2" t="s">
        <v>2181</v>
      </c>
      <c r="D24" s="2" t="s">
        <v>6277</v>
      </c>
      <c r="E24" s="23"/>
      <c r="F24" s="2">
        <f t="shared" si="0"/>
        <v>-163</v>
      </c>
      <c r="G24" s="2"/>
    </row>
    <row r="25" spans="2:7" x14ac:dyDescent="0.25">
      <c r="B25" s="4">
        <v>46029</v>
      </c>
      <c r="C25" s="2" t="s">
        <v>6274</v>
      </c>
      <c r="D25" s="2"/>
      <c r="E25" s="23"/>
      <c r="F25" s="2">
        <f t="shared" si="0"/>
        <v>0</v>
      </c>
      <c r="G25" s="2"/>
    </row>
    <row r="26" spans="2:7" x14ac:dyDescent="0.25">
      <c r="B26" s="4">
        <v>46030</v>
      </c>
      <c r="C26" s="2" t="s">
        <v>6285</v>
      </c>
      <c r="D26" s="2"/>
      <c r="E26" s="23"/>
      <c r="F26" s="2">
        <f t="shared" si="0"/>
        <v>0</v>
      </c>
      <c r="G26" s="2"/>
    </row>
    <row r="27" spans="2:7" x14ac:dyDescent="0.25">
      <c r="B27" s="4">
        <v>46031</v>
      </c>
      <c r="C27" s="2" t="s">
        <v>6298</v>
      </c>
      <c r="D27" s="2"/>
      <c r="E27" s="23"/>
      <c r="F27" s="2">
        <f t="shared" si="0"/>
        <v>0</v>
      </c>
      <c r="G27" s="2"/>
    </row>
    <row r="28" spans="2:7" x14ac:dyDescent="0.25">
      <c r="B28" s="4">
        <v>46032</v>
      </c>
      <c r="C28" s="2" t="s">
        <v>6306</v>
      </c>
      <c r="D28" s="2"/>
      <c r="E28" s="23"/>
      <c r="F28" s="2">
        <f t="shared" si="0"/>
        <v>0</v>
      </c>
      <c r="G28" s="2"/>
    </row>
    <row r="29" spans="2:7" x14ac:dyDescent="0.25">
      <c r="B29" s="4">
        <v>46033</v>
      </c>
      <c r="C29" s="2" t="s">
        <v>6313</v>
      </c>
      <c r="D29" s="2"/>
      <c r="E29" s="23"/>
      <c r="F29" s="2">
        <f t="shared" si="0"/>
        <v>0</v>
      </c>
      <c r="G29" s="2"/>
    </row>
    <row r="30" spans="2:7" x14ac:dyDescent="0.25">
      <c r="B30" s="4">
        <v>46034</v>
      </c>
      <c r="C30" s="2" t="s">
        <v>6320</v>
      </c>
      <c r="D30" s="2"/>
      <c r="E30" s="23"/>
      <c r="F30" s="2">
        <f t="shared" si="0"/>
        <v>0</v>
      </c>
      <c r="G30" s="2"/>
    </row>
    <row r="31" spans="2:7" x14ac:dyDescent="0.25">
      <c r="B31" s="4">
        <v>46035</v>
      </c>
      <c r="C31" s="2" t="s">
        <v>4597</v>
      </c>
      <c r="D31" s="2" t="s">
        <v>6327</v>
      </c>
      <c r="E31" s="23"/>
      <c r="F31" s="2">
        <f t="shared" si="0"/>
        <v>0</v>
      </c>
      <c r="G31" s="2"/>
    </row>
    <row r="32" spans="2:7" x14ac:dyDescent="0.25">
      <c r="B32" s="4">
        <v>46036</v>
      </c>
      <c r="C32" s="2" t="s">
        <v>6336</v>
      </c>
      <c r="D32" s="2"/>
      <c r="E32" s="23"/>
      <c r="F32" s="2">
        <f t="shared" si="0"/>
        <v>0</v>
      </c>
      <c r="G32" s="2"/>
    </row>
    <row r="33" spans="2:7" x14ac:dyDescent="0.25">
      <c r="B33" s="4">
        <v>46037</v>
      </c>
      <c r="C33" s="2" t="s">
        <v>5427</v>
      </c>
      <c r="D33" s="2"/>
      <c r="E33" s="23"/>
      <c r="F33" s="2">
        <f t="shared" si="0"/>
        <v>0</v>
      </c>
      <c r="G33" s="2"/>
    </row>
    <row r="34" spans="2:7" x14ac:dyDescent="0.25">
      <c r="B34" s="4">
        <v>46038</v>
      </c>
      <c r="C34" s="2" t="s">
        <v>6345</v>
      </c>
      <c r="D34" s="2"/>
      <c r="E34" s="23"/>
      <c r="F34" s="2">
        <f t="shared" si="0"/>
        <v>0</v>
      </c>
      <c r="G34" s="2"/>
    </row>
    <row r="35" spans="2:7" x14ac:dyDescent="0.25">
      <c r="B35" s="4">
        <v>46039</v>
      </c>
      <c r="C35" s="2" t="s">
        <v>6344</v>
      </c>
      <c r="D35" s="2"/>
      <c r="E35" s="23"/>
      <c r="F35" s="2"/>
      <c r="G35" s="2"/>
    </row>
    <row r="36" spans="2:7" x14ac:dyDescent="0.25">
      <c r="B36" s="4">
        <v>46040</v>
      </c>
      <c r="C36" s="2" t="s">
        <v>6344</v>
      </c>
      <c r="D36" s="2"/>
      <c r="E36" s="23"/>
      <c r="F36" s="2"/>
      <c r="G36" s="2"/>
    </row>
    <row r="37" spans="2:7" x14ac:dyDescent="0.25">
      <c r="B37" s="4">
        <v>46041</v>
      </c>
      <c r="C37" s="2" t="s">
        <v>5427</v>
      </c>
      <c r="D37" s="2"/>
      <c r="E37" s="23"/>
      <c r="F37" s="2"/>
      <c r="G37" s="2"/>
    </row>
    <row r="38" spans="2:7" x14ac:dyDescent="0.25">
      <c r="B38" s="4">
        <v>46042</v>
      </c>
      <c r="C38" s="2"/>
      <c r="D38" s="2"/>
      <c r="E38" s="23"/>
      <c r="F38" s="2"/>
      <c r="G38" s="2"/>
    </row>
    <row r="39" spans="2:7" x14ac:dyDescent="0.25">
      <c r="B39" s="4">
        <v>46043</v>
      </c>
      <c r="C39" s="2"/>
      <c r="D39" s="2"/>
      <c r="E39" s="23"/>
      <c r="F39" s="2"/>
      <c r="G39" s="2"/>
    </row>
    <row r="40" spans="2:7" x14ac:dyDescent="0.25">
      <c r="B40" s="4">
        <v>46044</v>
      </c>
      <c r="C40" s="2"/>
      <c r="D40" s="2"/>
      <c r="E40" s="23"/>
      <c r="F40" s="2"/>
      <c r="G40" s="2"/>
    </row>
    <row r="41" spans="2:7" x14ac:dyDescent="0.25">
      <c r="B41" s="4">
        <v>46045</v>
      </c>
      <c r="C41" s="2"/>
      <c r="D41" s="2"/>
      <c r="E41" s="23"/>
      <c r="F41" s="2"/>
      <c r="G41" s="2"/>
    </row>
    <row r="42" spans="2:7" x14ac:dyDescent="0.25">
      <c r="B42" s="4">
        <v>46046</v>
      </c>
      <c r="C42" s="2"/>
      <c r="D42" s="2"/>
      <c r="E42" s="23"/>
      <c r="F42" s="2"/>
      <c r="G42" s="2"/>
    </row>
    <row r="43" spans="2:7" x14ac:dyDescent="0.25">
      <c r="B43" s="4">
        <v>46047</v>
      </c>
      <c r="C43" s="2"/>
      <c r="D43" s="2"/>
      <c r="E43" s="23"/>
      <c r="F43" s="2"/>
      <c r="G43" s="2"/>
    </row>
    <row r="44" spans="2:7" x14ac:dyDescent="0.25">
      <c r="E44" s="24"/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B2:G22"/>
  <sheetViews>
    <sheetView topLeftCell="A4" workbookViewId="0">
      <selection activeCell="C21" sqref="C21"/>
    </sheetView>
  </sheetViews>
  <sheetFormatPr defaultRowHeight="15" x14ac:dyDescent="0.25"/>
  <cols>
    <col min="2" max="2" width="17.5703125" bestFit="1" customWidth="1"/>
    <col min="3" max="3" width="72" bestFit="1" customWidth="1"/>
    <col min="4" max="4" width="42.140625" bestFit="1" customWidth="1"/>
    <col min="5" max="5" width="11.85546875" bestFit="1" customWidth="1"/>
  </cols>
  <sheetData>
    <row r="2" spans="2:7" x14ac:dyDescent="0.25">
      <c r="B2" s="144" t="s">
        <v>6001</v>
      </c>
    </row>
    <row r="3" spans="2:7" ht="15.75" x14ac:dyDescent="0.25">
      <c r="B3" s="10" t="s">
        <v>0</v>
      </c>
      <c r="C3" s="11" t="s">
        <v>1</v>
      </c>
      <c r="D3" s="11" t="s">
        <v>2</v>
      </c>
      <c r="E3" s="11" t="s">
        <v>934</v>
      </c>
      <c r="F3" s="11" t="s">
        <v>1095</v>
      </c>
      <c r="G3" s="11" t="s">
        <v>1507</v>
      </c>
    </row>
    <row r="4" spans="2:7" x14ac:dyDescent="0.25">
      <c r="B4" s="4">
        <v>45990</v>
      </c>
      <c r="C4" s="2"/>
      <c r="D4" s="2"/>
      <c r="E4" s="23"/>
      <c r="F4" s="2"/>
      <c r="G4" s="2"/>
    </row>
    <row r="5" spans="2:7" x14ac:dyDescent="0.25">
      <c r="B5" s="4">
        <v>45991</v>
      </c>
      <c r="C5" s="2"/>
      <c r="D5" s="2"/>
      <c r="E5" s="23"/>
      <c r="F5" s="2">
        <f>E5-E4</f>
        <v>0</v>
      </c>
      <c r="G5" s="2"/>
    </row>
    <row r="6" spans="2:7" x14ac:dyDescent="0.25">
      <c r="B6" s="4">
        <v>45992</v>
      </c>
      <c r="C6" s="2" t="s">
        <v>6018</v>
      </c>
      <c r="D6" s="2" t="s">
        <v>6019</v>
      </c>
      <c r="E6" s="23">
        <v>4.5</v>
      </c>
      <c r="F6" s="2">
        <f t="shared" ref="F6:F16" si="0">E6-E5</f>
        <v>4.5</v>
      </c>
      <c r="G6" s="2"/>
    </row>
    <row r="7" spans="2:7" x14ac:dyDescent="0.25">
      <c r="B7" s="4">
        <v>45993</v>
      </c>
      <c r="C7" s="2" t="s">
        <v>6044</v>
      </c>
      <c r="D7" s="58"/>
      <c r="E7" s="23">
        <v>27</v>
      </c>
      <c r="F7" s="2">
        <f t="shared" si="0"/>
        <v>22.5</v>
      </c>
      <c r="G7" s="2"/>
    </row>
    <row r="8" spans="2:7" x14ac:dyDescent="0.25">
      <c r="B8" s="4">
        <v>45994</v>
      </c>
      <c r="C8" s="2" t="s">
        <v>6045</v>
      </c>
      <c r="D8" s="58"/>
      <c r="E8" s="23">
        <v>36</v>
      </c>
      <c r="F8" s="2">
        <f t="shared" si="0"/>
        <v>9</v>
      </c>
      <c r="G8" s="2"/>
    </row>
    <row r="9" spans="2:7" x14ac:dyDescent="0.25">
      <c r="B9" s="4">
        <v>45995</v>
      </c>
      <c r="C9" s="2" t="s">
        <v>6046</v>
      </c>
      <c r="D9" s="58"/>
      <c r="E9" s="23">
        <v>49.5</v>
      </c>
      <c r="F9" s="2">
        <f t="shared" si="0"/>
        <v>13.5</v>
      </c>
      <c r="G9" s="2"/>
    </row>
    <row r="10" spans="2:7" x14ac:dyDescent="0.25">
      <c r="B10" s="4">
        <v>45996</v>
      </c>
      <c r="C10" s="2" t="s">
        <v>6059</v>
      </c>
      <c r="D10" s="2"/>
      <c r="E10" s="23">
        <v>65</v>
      </c>
      <c r="F10" s="2">
        <f t="shared" si="0"/>
        <v>15.5</v>
      </c>
      <c r="G10" s="2"/>
    </row>
    <row r="11" spans="2:7" x14ac:dyDescent="0.25">
      <c r="B11" s="4">
        <v>45997</v>
      </c>
      <c r="C11" s="2" t="s">
        <v>6063</v>
      </c>
      <c r="D11" s="2"/>
      <c r="E11" s="23">
        <v>69.5</v>
      </c>
      <c r="F11" s="2">
        <f t="shared" si="0"/>
        <v>4.5</v>
      </c>
      <c r="G11" s="2"/>
    </row>
    <row r="12" spans="2:7" x14ac:dyDescent="0.25">
      <c r="B12" s="4">
        <v>45998</v>
      </c>
      <c r="C12" s="2" t="s">
        <v>6065</v>
      </c>
      <c r="D12" s="2"/>
      <c r="E12" s="23">
        <v>85.5</v>
      </c>
      <c r="F12" s="2">
        <f t="shared" si="0"/>
        <v>16</v>
      </c>
      <c r="G12" s="2"/>
    </row>
    <row r="13" spans="2:7" x14ac:dyDescent="0.25">
      <c r="B13" s="4">
        <v>45999</v>
      </c>
      <c r="C13" s="2" t="s">
        <v>6074</v>
      </c>
      <c r="D13" s="2" t="s">
        <v>6075</v>
      </c>
      <c r="E13" s="23">
        <v>95</v>
      </c>
      <c r="F13" s="2">
        <f t="shared" si="0"/>
        <v>9.5</v>
      </c>
      <c r="G13" s="2"/>
    </row>
    <row r="14" spans="2:7" x14ac:dyDescent="0.25">
      <c r="B14" s="4">
        <v>46000</v>
      </c>
      <c r="C14" s="2" t="s">
        <v>5481</v>
      </c>
      <c r="D14" s="2" t="s">
        <v>6085</v>
      </c>
      <c r="E14" s="23"/>
      <c r="F14" s="2">
        <f t="shared" si="0"/>
        <v>-95</v>
      </c>
      <c r="G14" s="2"/>
    </row>
    <row r="15" spans="2:7" x14ac:dyDescent="0.25">
      <c r="B15" s="4">
        <v>46001</v>
      </c>
      <c r="C15" s="2" t="s">
        <v>6089</v>
      </c>
      <c r="D15" s="2"/>
      <c r="E15" s="23"/>
      <c r="F15" s="2">
        <f t="shared" si="0"/>
        <v>0</v>
      </c>
      <c r="G15" s="2"/>
    </row>
    <row r="16" spans="2:7" x14ac:dyDescent="0.25">
      <c r="B16" s="4">
        <v>46002</v>
      </c>
      <c r="C16" s="2" t="s">
        <v>6103</v>
      </c>
      <c r="D16" s="2" t="s">
        <v>6090</v>
      </c>
      <c r="E16" s="23"/>
      <c r="F16" s="2">
        <f t="shared" si="0"/>
        <v>0</v>
      </c>
      <c r="G16" s="2"/>
    </row>
    <row r="17" spans="2:7" x14ac:dyDescent="0.25">
      <c r="B17" s="4">
        <v>46003</v>
      </c>
      <c r="C17" s="2" t="s">
        <v>1178</v>
      </c>
      <c r="D17" s="2"/>
      <c r="E17" s="23"/>
      <c r="F17" s="2"/>
      <c r="G17" s="2"/>
    </row>
    <row r="18" spans="2:7" x14ac:dyDescent="0.25">
      <c r="B18" s="4">
        <v>46004</v>
      </c>
      <c r="C18" s="2" t="s">
        <v>4616</v>
      </c>
      <c r="D18" s="2"/>
      <c r="E18" s="2"/>
      <c r="F18" s="2"/>
      <c r="G18" s="2"/>
    </row>
    <row r="19" spans="2:7" x14ac:dyDescent="0.25">
      <c r="B19" s="4">
        <v>46005</v>
      </c>
      <c r="C19" s="2" t="s">
        <v>539</v>
      </c>
      <c r="D19" s="2"/>
      <c r="E19" s="2"/>
      <c r="F19" s="2"/>
      <c r="G19" s="2"/>
    </row>
    <row r="20" spans="2:7" x14ac:dyDescent="0.25">
      <c r="B20" s="4">
        <v>46006</v>
      </c>
      <c r="C20" s="2" t="s">
        <v>5350</v>
      </c>
      <c r="D20" s="2"/>
      <c r="E20" s="2"/>
      <c r="F20" s="2"/>
      <c r="G20" s="2"/>
    </row>
    <row r="21" spans="2:7" x14ac:dyDescent="0.25">
      <c r="B21" s="4">
        <v>46007</v>
      </c>
      <c r="C21" s="2"/>
      <c r="D21" s="2"/>
      <c r="E21" s="2"/>
      <c r="F21" s="2"/>
      <c r="G21" s="2"/>
    </row>
    <row r="22" spans="2:7" x14ac:dyDescent="0.25">
      <c r="B22" s="4">
        <v>46008</v>
      </c>
      <c r="C22" s="2"/>
      <c r="D22" s="2"/>
      <c r="E22" s="2"/>
      <c r="F22" s="2"/>
      <c r="G22" s="2"/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B2:G37"/>
  <sheetViews>
    <sheetView topLeftCell="A17" workbookViewId="0">
      <selection activeCell="C22" sqref="C22"/>
    </sheetView>
  </sheetViews>
  <sheetFormatPr defaultRowHeight="15" x14ac:dyDescent="0.25"/>
  <cols>
    <col min="2" max="2" width="18" bestFit="1" customWidth="1"/>
    <col min="3" max="3" width="72" bestFit="1" customWidth="1"/>
    <col min="4" max="4" width="42.140625" bestFit="1" customWidth="1"/>
    <col min="5" max="5" width="11.85546875" bestFit="1" customWidth="1"/>
    <col min="7" max="7" width="11" bestFit="1" customWidth="1"/>
  </cols>
  <sheetData>
    <row r="2" spans="2:7" x14ac:dyDescent="0.25">
      <c r="B2" s="53" t="s">
        <v>4390</v>
      </c>
    </row>
    <row r="3" spans="2:7" ht="15.75" x14ac:dyDescent="0.25">
      <c r="B3" s="10" t="s">
        <v>0</v>
      </c>
      <c r="C3" s="11" t="s">
        <v>1</v>
      </c>
      <c r="D3" s="11" t="s">
        <v>2</v>
      </c>
      <c r="E3" s="11" t="s">
        <v>934</v>
      </c>
      <c r="F3" s="11" t="s">
        <v>1095</v>
      </c>
      <c r="G3" s="11" t="s">
        <v>1507</v>
      </c>
    </row>
    <row r="4" spans="2:7" x14ac:dyDescent="0.25">
      <c r="B4" s="4">
        <v>45933</v>
      </c>
      <c r="C4" s="2" t="s">
        <v>5545</v>
      </c>
      <c r="D4" s="2" t="s">
        <v>5546</v>
      </c>
      <c r="E4" s="23"/>
      <c r="F4" s="2"/>
      <c r="G4" s="2"/>
    </row>
    <row r="5" spans="2:7" x14ac:dyDescent="0.25">
      <c r="B5" s="4">
        <v>45934</v>
      </c>
      <c r="C5" s="2"/>
      <c r="D5" s="2"/>
      <c r="E5" s="23"/>
      <c r="F5" s="2"/>
      <c r="G5" s="2"/>
    </row>
    <row r="6" spans="2:7" x14ac:dyDescent="0.25">
      <c r="B6" s="4">
        <v>45935</v>
      </c>
      <c r="C6" s="2" t="s">
        <v>4729</v>
      </c>
      <c r="D6" s="2" t="s">
        <v>5577</v>
      </c>
      <c r="E6" s="23"/>
      <c r="F6" s="2"/>
      <c r="G6" s="2"/>
    </row>
    <row r="7" spans="2:7" x14ac:dyDescent="0.25">
      <c r="B7" s="4">
        <v>45936</v>
      </c>
      <c r="C7" s="2" t="s">
        <v>279</v>
      </c>
      <c r="D7" s="58"/>
      <c r="E7" s="23"/>
      <c r="F7" s="2"/>
      <c r="G7" s="2"/>
    </row>
    <row r="8" spans="2:7" x14ac:dyDescent="0.25">
      <c r="B8" s="4">
        <v>45937</v>
      </c>
      <c r="C8" s="2" t="s">
        <v>5589</v>
      </c>
      <c r="D8" s="58"/>
      <c r="E8" s="23">
        <v>10</v>
      </c>
      <c r="F8" s="2">
        <f>E8-E7</f>
        <v>10</v>
      </c>
      <c r="G8" s="2"/>
    </row>
    <row r="9" spans="2:7" x14ac:dyDescent="0.25">
      <c r="B9" s="4">
        <v>45938</v>
      </c>
      <c r="C9" s="2" t="s">
        <v>2777</v>
      </c>
      <c r="D9" s="58"/>
      <c r="E9" s="23"/>
      <c r="F9" s="2">
        <f t="shared" ref="F9" si="0">E9-E8</f>
        <v>-10</v>
      </c>
      <c r="G9" s="2"/>
    </row>
    <row r="10" spans="2:7" x14ac:dyDescent="0.25">
      <c r="B10" s="4">
        <v>45939</v>
      </c>
      <c r="C10" s="2"/>
      <c r="D10" s="2"/>
      <c r="E10" s="2"/>
      <c r="F10" s="2"/>
      <c r="G10" s="2"/>
    </row>
    <row r="11" spans="2:7" x14ac:dyDescent="0.25">
      <c r="B11" s="4">
        <v>45940</v>
      </c>
      <c r="C11" s="2" t="s">
        <v>5615</v>
      </c>
      <c r="D11" s="2"/>
      <c r="E11" s="2"/>
      <c r="F11" s="2"/>
      <c r="G11" s="2"/>
    </row>
    <row r="12" spans="2:7" x14ac:dyDescent="0.25">
      <c r="B12" s="4">
        <v>45941</v>
      </c>
      <c r="C12" s="2" t="s">
        <v>5617</v>
      </c>
      <c r="D12" s="2"/>
      <c r="E12" s="2">
        <v>40</v>
      </c>
      <c r="F12" s="2">
        <f>E12-E11</f>
        <v>40</v>
      </c>
      <c r="G12" s="2"/>
    </row>
    <row r="13" spans="2:7" x14ac:dyDescent="0.25">
      <c r="B13" s="4">
        <v>45942</v>
      </c>
      <c r="C13" s="2" t="s">
        <v>5624</v>
      </c>
      <c r="D13" s="2"/>
      <c r="E13" s="2">
        <v>87</v>
      </c>
      <c r="F13" s="2">
        <f t="shared" ref="F13:F21" si="1">E13-E12</f>
        <v>47</v>
      </c>
      <c r="G13" s="2"/>
    </row>
    <row r="14" spans="2:7" x14ac:dyDescent="0.25">
      <c r="B14" s="4">
        <v>45943</v>
      </c>
      <c r="C14" s="2" t="s">
        <v>5632</v>
      </c>
      <c r="D14" s="2"/>
      <c r="E14" s="2">
        <v>25</v>
      </c>
      <c r="F14" s="2">
        <v>25</v>
      </c>
      <c r="G14" s="2"/>
    </row>
    <row r="15" spans="2:7" x14ac:dyDescent="0.25">
      <c r="B15" s="4">
        <v>45944</v>
      </c>
      <c r="C15" s="2" t="s">
        <v>5639</v>
      </c>
      <c r="D15" s="2"/>
      <c r="E15" s="2">
        <v>45</v>
      </c>
      <c r="F15" s="2">
        <f t="shared" si="1"/>
        <v>20</v>
      </c>
      <c r="G15" s="2"/>
    </row>
    <row r="16" spans="2:7" x14ac:dyDescent="0.25">
      <c r="B16" s="4">
        <v>45945</v>
      </c>
      <c r="C16" s="2" t="s">
        <v>5650</v>
      </c>
      <c r="D16" s="2"/>
      <c r="E16" s="2">
        <v>65</v>
      </c>
      <c r="F16" s="2">
        <f t="shared" si="1"/>
        <v>20</v>
      </c>
      <c r="G16" s="2"/>
    </row>
    <row r="17" spans="2:7" x14ac:dyDescent="0.25">
      <c r="B17" s="4">
        <v>45946</v>
      </c>
      <c r="C17" s="2" t="s">
        <v>5653</v>
      </c>
      <c r="D17" s="2" t="s">
        <v>5654</v>
      </c>
      <c r="E17" s="2">
        <v>85</v>
      </c>
      <c r="F17" s="2">
        <f t="shared" si="1"/>
        <v>20</v>
      </c>
      <c r="G17" s="2"/>
    </row>
    <row r="18" spans="2:7" x14ac:dyDescent="0.25">
      <c r="B18" s="4">
        <v>45947</v>
      </c>
      <c r="C18" s="2" t="s">
        <v>1178</v>
      </c>
      <c r="D18" s="2"/>
      <c r="E18" s="2"/>
      <c r="F18" s="2">
        <f t="shared" si="1"/>
        <v>-85</v>
      </c>
      <c r="G18" s="2"/>
    </row>
    <row r="19" spans="2:7" x14ac:dyDescent="0.25">
      <c r="B19" s="4">
        <v>45948</v>
      </c>
      <c r="C19" s="2" t="s">
        <v>4616</v>
      </c>
      <c r="D19" s="2"/>
      <c r="E19" s="2"/>
      <c r="F19" s="2">
        <f t="shared" si="1"/>
        <v>0</v>
      </c>
      <c r="G19" s="2"/>
    </row>
    <row r="20" spans="2:7" x14ac:dyDescent="0.25">
      <c r="B20" s="4">
        <v>45949</v>
      </c>
      <c r="C20" s="16" t="s">
        <v>5685</v>
      </c>
      <c r="D20" s="2"/>
      <c r="E20" s="2"/>
      <c r="F20" s="2">
        <f t="shared" si="1"/>
        <v>0</v>
      </c>
      <c r="G20" s="2"/>
    </row>
    <row r="21" spans="2:7" x14ac:dyDescent="0.25">
      <c r="B21" s="4">
        <v>45950</v>
      </c>
      <c r="C21" s="2" t="s">
        <v>5686</v>
      </c>
      <c r="D21" s="2"/>
      <c r="E21" s="2"/>
      <c r="F21" s="2">
        <f t="shared" si="1"/>
        <v>0</v>
      </c>
      <c r="G21" s="2"/>
    </row>
    <row r="22" spans="2:7" x14ac:dyDescent="0.25">
      <c r="B22" s="4">
        <v>45951</v>
      </c>
      <c r="C22" s="2"/>
      <c r="D22" s="2"/>
      <c r="E22" s="2"/>
      <c r="F22" s="2"/>
      <c r="G22" s="2"/>
    </row>
    <row r="23" spans="2:7" x14ac:dyDescent="0.25">
      <c r="B23" s="4">
        <v>45952</v>
      </c>
      <c r="C23" s="2"/>
      <c r="D23" s="2"/>
      <c r="E23" s="2"/>
      <c r="F23" s="2"/>
      <c r="G23" s="2"/>
    </row>
    <row r="24" spans="2:7" x14ac:dyDescent="0.25">
      <c r="B24" s="4">
        <v>45953</v>
      </c>
      <c r="C24" s="2"/>
      <c r="D24" s="2"/>
      <c r="E24" s="2"/>
      <c r="F24" s="2"/>
      <c r="G24" s="2"/>
    </row>
    <row r="25" spans="2:7" x14ac:dyDescent="0.25">
      <c r="B25" s="4">
        <v>45954</v>
      </c>
      <c r="C25" s="2"/>
      <c r="D25" s="2"/>
      <c r="E25" s="2"/>
      <c r="F25" s="2"/>
      <c r="G25" s="2"/>
    </row>
    <row r="26" spans="2:7" x14ac:dyDescent="0.25">
      <c r="B26" s="4">
        <v>45955</v>
      </c>
      <c r="C26" s="2"/>
      <c r="D26" s="2"/>
      <c r="E26" s="2"/>
      <c r="F26" s="2"/>
      <c r="G26" s="2"/>
    </row>
    <row r="27" spans="2:7" x14ac:dyDescent="0.25">
      <c r="B27" s="4">
        <v>45956</v>
      </c>
      <c r="C27" s="2"/>
      <c r="D27" s="2"/>
      <c r="E27" s="2"/>
      <c r="F27" s="2"/>
      <c r="G27" s="2"/>
    </row>
    <row r="28" spans="2:7" x14ac:dyDescent="0.25">
      <c r="B28" s="4">
        <v>45957</v>
      </c>
      <c r="C28" s="2"/>
      <c r="D28" s="2"/>
      <c r="E28" s="2"/>
      <c r="F28" s="2"/>
      <c r="G28" s="2"/>
    </row>
    <row r="29" spans="2:7" x14ac:dyDescent="0.25">
      <c r="B29" s="4">
        <v>45958</v>
      </c>
      <c r="C29" s="2"/>
      <c r="D29" s="2"/>
      <c r="E29" s="2"/>
      <c r="F29" s="2"/>
      <c r="G29" s="2"/>
    </row>
    <row r="30" spans="2:7" x14ac:dyDescent="0.25">
      <c r="B30" s="4">
        <v>45959</v>
      </c>
      <c r="C30" s="2"/>
      <c r="D30" s="2"/>
      <c r="E30" s="2"/>
      <c r="F30" s="2"/>
      <c r="G30" s="2"/>
    </row>
    <row r="31" spans="2:7" x14ac:dyDescent="0.25">
      <c r="B31" s="4">
        <v>45960</v>
      </c>
      <c r="C31" s="2"/>
      <c r="D31" s="2"/>
      <c r="E31" s="2"/>
      <c r="F31" s="2"/>
      <c r="G31" s="2"/>
    </row>
    <row r="32" spans="2:7" x14ac:dyDescent="0.25">
      <c r="B32" s="4">
        <v>45961</v>
      </c>
      <c r="C32" s="2"/>
      <c r="D32" s="2"/>
      <c r="E32" s="2"/>
      <c r="F32" s="2"/>
      <c r="G32" s="2"/>
    </row>
    <row r="33" spans="2:7" x14ac:dyDescent="0.25">
      <c r="B33" s="4">
        <v>45962</v>
      </c>
      <c r="C33" s="2"/>
      <c r="D33" s="2"/>
      <c r="E33" s="2"/>
      <c r="F33" s="2"/>
      <c r="G33" s="2"/>
    </row>
    <row r="34" spans="2:7" x14ac:dyDescent="0.25">
      <c r="B34" s="4">
        <v>45963</v>
      </c>
      <c r="C34" s="2"/>
      <c r="D34" s="2"/>
      <c r="E34" s="2"/>
      <c r="F34" s="2"/>
      <c r="G34" s="2"/>
    </row>
    <row r="35" spans="2:7" x14ac:dyDescent="0.25">
      <c r="B35" s="4">
        <v>45964</v>
      </c>
      <c r="C35" s="2"/>
      <c r="D35" s="2"/>
      <c r="E35" s="2"/>
      <c r="F35" s="2"/>
      <c r="G35" s="2"/>
    </row>
    <row r="36" spans="2:7" x14ac:dyDescent="0.25">
      <c r="B36" s="4">
        <v>45965</v>
      </c>
      <c r="C36" s="2"/>
      <c r="D36" s="2"/>
      <c r="E36" s="2"/>
      <c r="F36" s="2"/>
      <c r="G36" s="2"/>
    </row>
    <row r="37" spans="2:7" x14ac:dyDescent="0.25">
      <c r="B37" s="4">
        <v>45966</v>
      </c>
      <c r="C37" s="2"/>
      <c r="D37" s="2"/>
      <c r="E37" s="2"/>
      <c r="F37" s="2"/>
      <c r="G37" s="2"/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B2:G50"/>
  <sheetViews>
    <sheetView topLeftCell="A25" workbookViewId="0">
      <selection activeCell="C37" sqref="C37"/>
    </sheetView>
  </sheetViews>
  <sheetFormatPr defaultRowHeight="15" x14ac:dyDescent="0.25"/>
  <cols>
    <col min="2" max="2" width="16.42578125" bestFit="1" customWidth="1"/>
    <col min="3" max="3" width="72" bestFit="1" customWidth="1"/>
    <col min="4" max="4" width="42.140625" bestFit="1" customWidth="1"/>
  </cols>
  <sheetData>
    <row r="2" spans="2:7" x14ac:dyDescent="0.25">
      <c r="B2" s="53" t="s">
        <v>3913</v>
      </c>
    </row>
    <row r="3" spans="2:7" ht="15.75" x14ac:dyDescent="0.25">
      <c r="B3" s="10" t="s">
        <v>0</v>
      </c>
      <c r="C3" s="11" t="s">
        <v>1</v>
      </c>
      <c r="D3" s="11" t="s">
        <v>2</v>
      </c>
      <c r="E3" s="11" t="s">
        <v>934</v>
      </c>
      <c r="F3" s="11" t="s">
        <v>1095</v>
      </c>
      <c r="G3" s="11" t="s">
        <v>1507</v>
      </c>
    </row>
    <row r="4" spans="2:7" x14ac:dyDescent="0.25">
      <c r="B4" s="4">
        <v>45847</v>
      </c>
      <c r="C4" s="2" t="s">
        <v>1528</v>
      </c>
      <c r="D4" s="2"/>
      <c r="E4" s="23">
        <v>0</v>
      </c>
      <c r="F4" s="2"/>
      <c r="G4" s="2"/>
    </row>
    <row r="5" spans="2:7" x14ac:dyDescent="0.25">
      <c r="B5" s="4">
        <v>45848</v>
      </c>
      <c r="C5" s="2" t="s">
        <v>522</v>
      </c>
      <c r="D5" s="2"/>
      <c r="E5" s="23">
        <v>0</v>
      </c>
      <c r="F5" s="2">
        <f>E5-E4</f>
        <v>0</v>
      </c>
      <c r="G5" s="2"/>
    </row>
    <row r="6" spans="2:7" x14ac:dyDescent="0.25">
      <c r="B6" s="4">
        <v>45849</v>
      </c>
      <c r="C6" s="2" t="s">
        <v>522</v>
      </c>
      <c r="D6" s="2"/>
      <c r="E6" s="23">
        <v>0</v>
      </c>
      <c r="F6" s="2">
        <f t="shared" ref="F6:F36" si="0">E6-E5</f>
        <v>0</v>
      </c>
      <c r="G6" s="2"/>
    </row>
    <row r="7" spans="2:7" x14ac:dyDescent="0.25">
      <c r="B7" s="4">
        <v>45850</v>
      </c>
      <c r="C7" s="2" t="s">
        <v>1398</v>
      </c>
      <c r="D7" s="58"/>
      <c r="E7" s="23">
        <v>0</v>
      </c>
      <c r="F7" s="2">
        <f t="shared" si="0"/>
        <v>0</v>
      </c>
      <c r="G7" s="2"/>
    </row>
    <row r="8" spans="2:7" x14ac:dyDescent="0.25">
      <c r="B8" s="4">
        <v>45851</v>
      </c>
      <c r="C8" s="2" t="s">
        <v>4381</v>
      </c>
      <c r="D8" s="58"/>
      <c r="E8" s="23">
        <v>0</v>
      </c>
      <c r="F8" s="2">
        <f t="shared" si="0"/>
        <v>0</v>
      </c>
      <c r="G8" s="2"/>
    </row>
    <row r="9" spans="2:7" x14ac:dyDescent="0.25">
      <c r="B9" s="4">
        <v>45852</v>
      </c>
      <c r="C9" s="2" t="s">
        <v>4592</v>
      </c>
      <c r="D9" s="58"/>
      <c r="E9" s="23">
        <v>9</v>
      </c>
      <c r="F9" s="2">
        <f t="shared" si="0"/>
        <v>9</v>
      </c>
      <c r="G9" s="2"/>
    </row>
    <row r="10" spans="2:7" x14ac:dyDescent="0.25">
      <c r="B10" s="4">
        <v>45853</v>
      </c>
      <c r="C10" s="2" t="s">
        <v>4593</v>
      </c>
      <c r="D10" s="2"/>
      <c r="E10" s="23">
        <v>21</v>
      </c>
      <c r="F10" s="2">
        <f t="shared" si="0"/>
        <v>12</v>
      </c>
      <c r="G10" s="2"/>
    </row>
    <row r="11" spans="2:7" x14ac:dyDescent="0.25">
      <c r="B11" s="4">
        <v>45854</v>
      </c>
      <c r="C11" s="2" t="s">
        <v>4594</v>
      </c>
      <c r="D11" s="2"/>
      <c r="E11" s="23">
        <v>30</v>
      </c>
      <c r="F11" s="2">
        <f t="shared" si="0"/>
        <v>9</v>
      </c>
      <c r="G11" s="2"/>
    </row>
    <row r="12" spans="2:7" x14ac:dyDescent="0.25">
      <c r="B12" s="4">
        <v>45855</v>
      </c>
      <c r="C12" s="2" t="s">
        <v>4608</v>
      </c>
      <c r="D12" s="2"/>
      <c r="E12" s="23">
        <v>35</v>
      </c>
      <c r="F12" s="2">
        <f t="shared" si="0"/>
        <v>5</v>
      </c>
      <c r="G12" s="2"/>
    </row>
    <row r="13" spans="2:7" x14ac:dyDescent="0.25">
      <c r="B13" s="4">
        <v>45856</v>
      </c>
      <c r="C13" s="2" t="s">
        <v>4667</v>
      </c>
      <c r="D13" s="2"/>
      <c r="E13" s="23">
        <v>37</v>
      </c>
      <c r="F13" s="2">
        <f t="shared" si="0"/>
        <v>2</v>
      </c>
      <c r="G13" s="2"/>
    </row>
    <row r="14" spans="2:7" x14ac:dyDescent="0.25">
      <c r="B14" s="4">
        <v>45857</v>
      </c>
      <c r="C14" s="2" t="s">
        <v>4668</v>
      </c>
      <c r="D14" s="2"/>
      <c r="E14" s="23">
        <v>39</v>
      </c>
      <c r="F14" s="2">
        <f t="shared" si="0"/>
        <v>2</v>
      </c>
      <c r="G14" s="2"/>
    </row>
    <row r="15" spans="2:7" x14ac:dyDescent="0.25">
      <c r="B15" s="4">
        <v>45858</v>
      </c>
      <c r="C15" s="2" t="s">
        <v>4669</v>
      </c>
      <c r="D15" s="2"/>
      <c r="E15" s="23">
        <v>40</v>
      </c>
      <c r="F15" s="2">
        <f t="shared" si="0"/>
        <v>1</v>
      </c>
      <c r="G15" s="2"/>
    </row>
    <row r="16" spans="2:7" x14ac:dyDescent="0.25">
      <c r="B16" s="4">
        <v>45859</v>
      </c>
      <c r="C16" s="2" t="s">
        <v>4670</v>
      </c>
      <c r="D16" s="2"/>
      <c r="E16" s="23">
        <v>41</v>
      </c>
      <c r="F16" s="2">
        <f t="shared" si="0"/>
        <v>1</v>
      </c>
      <c r="G16" s="2"/>
    </row>
    <row r="17" spans="2:7" x14ac:dyDescent="0.25">
      <c r="B17" s="4">
        <v>45860</v>
      </c>
      <c r="C17" s="2" t="s">
        <v>4671</v>
      </c>
      <c r="D17" s="2"/>
      <c r="E17" s="23">
        <v>47</v>
      </c>
      <c r="F17" s="2">
        <f t="shared" si="0"/>
        <v>6</v>
      </c>
      <c r="G17" s="2"/>
    </row>
    <row r="18" spans="2:7" x14ac:dyDescent="0.25">
      <c r="B18" s="4">
        <v>45861</v>
      </c>
      <c r="C18" s="2" t="s">
        <v>4674</v>
      </c>
      <c r="D18" s="2"/>
      <c r="E18" s="23">
        <v>50</v>
      </c>
      <c r="F18" s="2">
        <f t="shared" si="0"/>
        <v>3</v>
      </c>
      <c r="G18" s="2"/>
    </row>
    <row r="19" spans="2:7" x14ac:dyDescent="0.25">
      <c r="B19" s="4">
        <v>45862</v>
      </c>
      <c r="C19" s="2" t="s">
        <v>4714</v>
      </c>
      <c r="D19" s="2"/>
      <c r="E19" s="23">
        <v>41</v>
      </c>
      <c r="F19" s="2">
        <f t="shared" si="0"/>
        <v>-9</v>
      </c>
      <c r="G19" s="2"/>
    </row>
    <row r="20" spans="2:7" x14ac:dyDescent="0.25">
      <c r="B20" s="4">
        <v>45863</v>
      </c>
      <c r="C20" s="2" t="s">
        <v>4698</v>
      </c>
      <c r="D20" s="2"/>
      <c r="E20" s="23">
        <v>45</v>
      </c>
      <c r="F20" s="2">
        <f t="shared" si="0"/>
        <v>4</v>
      </c>
      <c r="G20" s="2"/>
    </row>
    <row r="21" spans="2:7" x14ac:dyDescent="0.25">
      <c r="B21" s="4">
        <v>45864</v>
      </c>
      <c r="C21" s="2" t="s">
        <v>4697</v>
      </c>
      <c r="D21" s="2"/>
      <c r="E21" s="23">
        <v>56</v>
      </c>
      <c r="F21" s="2">
        <f t="shared" si="0"/>
        <v>11</v>
      </c>
      <c r="G21" s="2"/>
    </row>
    <row r="22" spans="2:7" x14ac:dyDescent="0.25">
      <c r="B22" s="4">
        <v>45865</v>
      </c>
      <c r="C22" s="2" t="s">
        <v>4706</v>
      </c>
      <c r="D22" s="2"/>
      <c r="E22" s="23">
        <v>60</v>
      </c>
      <c r="F22" s="2">
        <f t="shared" si="0"/>
        <v>4</v>
      </c>
      <c r="G22" s="2"/>
    </row>
    <row r="23" spans="2:7" x14ac:dyDescent="0.25">
      <c r="B23" s="4">
        <v>45866</v>
      </c>
      <c r="C23" s="2" t="s">
        <v>4713</v>
      </c>
      <c r="D23" s="2"/>
      <c r="E23" s="23">
        <v>62</v>
      </c>
      <c r="F23" s="2">
        <f t="shared" si="0"/>
        <v>2</v>
      </c>
      <c r="G23" s="2"/>
    </row>
    <row r="24" spans="2:7" x14ac:dyDescent="0.25">
      <c r="B24" s="4">
        <v>45867</v>
      </c>
      <c r="C24" s="2" t="s">
        <v>4813</v>
      </c>
      <c r="D24" s="2"/>
      <c r="E24" s="23">
        <v>65</v>
      </c>
      <c r="F24" s="2">
        <f t="shared" si="0"/>
        <v>3</v>
      </c>
      <c r="G24" s="2"/>
    </row>
    <row r="25" spans="2:7" x14ac:dyDescent="0.25">
      <c r="B25" s="4">
        <v>45868</v>
      </c>
      <c r="C25" s="2" t="s">
        <v>4814</v>
      </c>
      <c r="D25" s="2"/>
      <c r="E25" s="23">
        <v>70</v>
      </c>
      <c r="F25" s="2">
        <f t="shared" si="0"/>
        <v>5</v>
      </c>
      <c r="G25" s="2"/>
    </row>
    <row r="26" spans="2:7" x14ac:dyDescent="0.25">
      <c r="B26" s="4">
        <v>45869</v>
      </c>
      <c r="C26" s="2" t="s">
        <v>4815</v>
      </c>
      <c r="D26" s="2" t="s">
        <v>4812</v>
      </c>
      <c r="E26" s="23">
        <v>72</v>
      </c>
      <c r="F26" s="2">
        <f t="shared" si="0"/>
        <v>2</v>
      </c>
      <c r="G26" s="2"/>
    </row>
    <row r="27" spans="2:7" x14ac:dyDescent="0.25">
      <c r="B27" s="4">
        <v>45870</v>
      </c>
      <c r="C27" s="2" t="s">
        <v>4824</v>
      </c>
      <c r="D27" s="2"/>
      <c r="E27" s="23">
        <v>75</v>
      </c>
      <c r="F27" s="2">
        <f t="shared" si="0"/>
        <v>3</v>
      </c>
      <c r="G27" s="2" t="s">
        <v>4833</v>
      </c>
    </row>
    <row r="28" spans="2:7" x14ac:dyDescent="0.25">
      <c r="B28" s="4">
        <v>45871</v>
      </c>
      <c r="C28" s="2" t="s">
        <v>4838</v>
      </c>
      <c r="D28" s="2"/>
      <c r="E28" s="23">
        <v>80</v>
      </c>
      <c r="F28" s="2">
        <f t="shared" si="0"/>
        <v>5</v>
      </c>
      <c r="G28" s="2"/>
    </row>
    <row r="29" spans="2:7" x14ac:dyDescent="0.25">
      <c r="B29" s="4">
        <v>45872</v>
      </c>
      <c r="C29" s="2" t="s">
        <v>4839</v>
      </c>
      <c r="D29" s="2"/>
      <c r="E29" s="23">
        <v>83</v>
      </c>
      <c r="F29" s="2">
        <f t="shared" si="0"/>
        <v>3</v>
      </c>
      <c r="G29" s="2"/>
    </row>
    <row r="30" spans="2:7" x14ac:dyDescent="0.25">
      <c r="B30" s="4">
        <v>45873</v>
      </c>
      <c r="C30" s="2" t="s">
        <v>4852</v>
      </c>
      <c r="D30" s="2" t="s">
        <v>4861</v>
      </c>
      <c r="E30" s="23">
        <v>87</v>
      </c>
      <c r="F30" s="2">
        <f t="shared" si="0"/>
        <v>4</v>
      </c>
      <c r="G30" s="2"/>
    </row>
    <row r="31" spans="2:7" x14ac:dyDescent="0.25">
      <c r="B31" s="4">
        <v>45874</v>
      </c>
      <c r="C31" s="2" t="s">
        <v>4866</v>
      </c>
      <c r="D31" s="2"/>
      <c r="E31" s="23">
        <v>87</v>
      </c>
      <c r="F31" s="2">
        <f t="shared" si="0"/>
        <v>0</v>
      </c>
      <c r="G31" s="2"/>
    </row>
    <row r="32" spans="2:7" x14ac:dyDescent="0.25">
      <c r="B32" s="4">
        <v>45875</v>
      </c>
      <c r="C32" s="2" t="s">
        <v>4893</v>
      </c>
      <c r="D32" s="2"/>
      <c r="E32" s="23">
        <v>87</v>
      </c>
      <c r="F32" s="2">
        <f t="shared" si="0"/>
        <v>0</v>
      </c>
      <c r="G32" s="2"/>
    </row>
    <row r="33" spans="2:7" x14ac:dyDescent="0.25">
      <c r="B33" s="4">
        <v>45876</v>
      </c>
      <c r="C33" s="2" t="s">
        <v>1178</v>
      </c>
      <c r="D33" s="2" t="s">
        <v>4920</v>
      </c>
      <c r="E33" s="23">
        <v>87</v>
      </c>
      <c r="F33" s="2">
        <f t="shared" si="0"/>
        <v>0</v>
      </c>
      <c r="G33" s="2"/>
    </row>
    <row r="34" spans="2:7" x14ac:dyDescent="0.25">
      <c r="B34" s="4">
        <v>45877</v>
      </c>
      <c r="C34" s="2" t="s">
        <v>4935</v>
      </c>
      <c r="D34" s="2"/>
      <c r="E34" s="23">
        <v>87</v>
      </c>
      <c r="F34" s="2">
        <f t="shared" si="0"/>
        <v>0</v>
      </c>
      <c r="G34" s="2"/>
    </row>
    <row r="35" spans="2:7" x14ac:dyDescent="0.25">
      <c r="B35" s="4">
        <v>45878</v>
      </c>
      <c r="C35" s="2" t="s">
        <v>4954</v>
      </c>
      <c r="D35" s="2"/>
      <c r="E35" s="2"/>
      <c r="F35" s="2">
        <f t="shared" si="0"/>
        <v>-87</v>
      </c>
      <c r="G35" s="2"/>
    </row>
    <row r="36" spans="2:7" x14ac:dyDescent="0.25">
      <c r="B36" s="4">
        <v>45879</v>
      </c>
      <c r="C36" s="2" t="s">
        <v>3862</v>
      </c>
      <c r="D36" s="2"/>
      <c r="E36" s="2"/>
      <c r="F36" s="2">
        <f t="shared" si="0"/>
        <v>0</v>
      </c>
      <c r="G36" s="2"/>
    </row>
    <row r="37" spans="2:7" x14ac:dyDescent="0.25">
      <c r="B37" s="2"/>
      <c r="C37" s="2"/>
      <c r="D37" s="2"/>
      <c r="E37" s="2"/>
      <c r="F37" s="2"/>
      <c r="G37" s="2"/>
    </row>
    <row r="38" spans="2:7" x14ac:dyDescent="0.25">
      <c r="B38" s="2"/>
      <c r="C38" s="2"/>
      <c r="D38" s="2"/>
      <c r="E38" s="2"/>
      <c r="F38" s="2"/>
      <c r="G38" s="2"/>
    </row>
    <row r="39" spans="2:7" x14ac:dyDescent="0.25">
      <c r="B39" s="2"/>
      <c r="C39" s="2"/>
      <c r="D39" s="2"/>
      <c r="E39" s="2"/>
      <c r="F39" s="2"/>
      <c r="G39" s="2"/>
    </row>
    <row r="40" spans="2:7" x14ac:dyDescent="0.25">
      <c r="B40" s="2"/>
      <c r="C40" s="2"/>
      <c r="D40" s="2"/>
      <c r="E40" s="2"/>
      <c r="F40" s="2"/>
      <c r="G40" s="2"/>
    </row>
    <row r="41" spans="2:7" x14ac:dyDescent="0.25">
      <c r="B41" s="2"/>
      <c r="C41" s="2"/>
      <c r="D41" s="2"/>
      <c r="E41" s="2"/>
      <c r="F41" s="2"/>
      <c r="G41" s="2"/>
    </row>
    <row r="42" spans="2:7" x14ac:dyDescent="0.25">
      <c r="B42" s="2"/>
      <c r="C42" s="2"/>
      <c r="D42" s="2"/>
      <c r="E42" s="2"/>
      <c r="F42" s="2"/>
      <c r="G42" s="2"/>
    </row>
    <row r="43" spans="2:7" x14ac:dyDescent="0.25">
      <c r="B43" s="2"/>
      <c r="C43" s="2"/>
      <c r="D43" s="2"/>
      <c r="E43" s="2"/>
      <c r="F43" s="2"/>
      <c r="G43" s="2"/>
    </row>
    <row r="44" spans="2:7" x14ac:dyDescent="0.25">
      <c r="B44" s="2"/>
      <c r="C44" s="2"/>
      <c r="D44" s="2"/>
      <c r="E44" s="2"/>
      <c r="F44" s="2"/>
      <c r="G44" s="2"/>
    </row>
    <row r="45" spans="2:7" x14ac:dyDescent="0.25">
      <c r="B45" s="2"/>
      <c r="C45" s="2"/>
      <c r="D45" s="2"/>
      <c r="E45" s="2"/>
      <c r="F45" s="2"/>
      <c r="G45" s="2"/>
    </row>
    <row r="46" spans="2:7" x14ac:dyDescent="0.25">
      <c r="B46" s="2"/>
      <c r="C46" s="2"/>
      <c r="D46" s="2"/>
      <c r="E46" s="2"/>
      <c r="F46" s="2"/>
      <c r="G46" s="2"/>
    </row>
    <row r="47" spans="2:7" x14ac:dyDescent="0.25">
      <c r="B47" s="2"/>
      <c r="C47" s="2"/>
      <c r="D47" s="2"/>
      <c r="E47" s="2"/>
      <c r="F47" s="2"/>
      <c r="G47" s="2"/>
    </row>
    <row r="48" spans="2:7" x14ac:dyDescent="0.25">
      <c r="B48" s="2"/>
      <c r="C48" s="2"/>
      <c r="D48" s="2"/>
      <c r="E48" s="2"/>
      <c r="F48" s="2"/>
      <c r="G48" s="2"/>
    </row>
    <row r="49" spans="2:7" x14ac:dyDescent="0.25">
      <c r="B49" s="2"/>
      <c r="C49" s="2"/>
      <c r="D49" s="2"/>
      <c r="E49" s="2"/>
      <c r="F49" s="2"/>
      <c r="G49" s="2"/>
    </row>
    <row r="50" spans="2:7" x14ac:dyDescent="0.25">
      <c r="B50" s="2"/>
      <c r="C50" s="2"/>
      <c r="D50" s="2"/>
      <c r="E50" s="2"/>
      <c r="F50" s="2"/>
      <c r="G50" s="2"/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B2:G13"/>
  <sheetViews>
    <sheetView workbookViewId="0">
      <selection activeCell="C8" sqref="C8"/>
    </sheetView>
  </sheetViews>
  <sheetFormatPr defaultRowHeight="15" x14ac:dyDescent="0.25"/>
  <cols>
    <col min="2" max="2" width="13.85546875" bestFit="1" customWidth="1"/>
    <col min="3" max="3" width="72" bestFit="1" customWidth="1"/>
  </cols>
  <sheetData>
    <row r="2" spans="2:7" x14ac:dyDescent="0.25">
      <c r="B2" s="53" t="s">
        <v>4415</v>
      </c>
    </row>
    <row r="3" spans="2:7" ht="15.75" x14ac:dyDescent="0.25">
      <c r="B3" s="10" t="s">
        <v>0</v>
      </c>
      <c r="C3" s="11" t="s">
        <v>1</v>
      </c>
      <c r="D3" s="11" t="s">
        <v>2</v>
      </c>
      <c r="E3" s="11" t="s">
        <v>934</v>
      </c>
      <c r="F3" s="11" t="s">
        <v>1095</v>
      </c>
      <c r="G3" s="11" t="s">
        <v>1507</v>
      </c>
    </row>
    <row r="4" spans="2:7" x14ac:dyDescent="0.25">
      <c r="B4" s="4">
        <v>45849</v>
      </c>
      <c r="C4" s="2"/>
      <c r="D4" s="2"/>
      <c r="E4" s="23">
        <v>0</v>
      </c>
      <c r="F4" s="2"/>
      <c r="G4" s="2"/>
    </row>
    <row r="5" spans="2:7" x14ac:dyDescent="0.25">
      <c r="B5" s="4">
        <v>45850</v>
      </c>
      <c r="C5" s="2" t="s">
        <v>4619</v>
      </c>
      <c r="D5" s="2"/>
      <c r="E5" s="23">
        <v>60</v>
      </c>
      <c r="F5" s="2">
        <f>E5-E4</f>
        <v>60</v>
      </c>
      <c r="G5" s="2"/>
    </row>
    <row r="6" spans="2:7" x14ac:dyDescent="0.25">
      <c r="B6" s="4">
        <v>45851</v>
      </c>
      <c r="C6" s="2" t="s">
        <v>4132</v>
      </c>
      <c r="D6" s="2"/>
      <c r="E6" s="23">
        <v>100</v>
      </c>
      <c r="F6" s="2">
        <f t="shared" ref="F6:F11" si="0">E6-E5</f>
        <v>40</v>
      </c>
      <c r="G6" s="2"/>
    </row>
    <row r="7" spans="2:7" x14ac:dyDescent="0.25">
      <c r="B7" s="4">
        <v>45852</v>
      </c>
      <c r="C7" s="2" t="s">
        <v>4618</v>
      </c>
      <c r="D7" s="2"/>
      <c r="E7" s="23">
        <v>140</v>
      </c>
      <c r="F7" s="2">
        <f t="shared" si="0"/>
        <v>40</v>
      </c>
      <c r="G7" s="2"/>
    </row>
    <row r="8" spans="2:7" x14ac:dyDescent="0.25">
      <c r="B8" s="4">
        <v>45853</v>
      </c>
      <c r="C8" s="2" t="s">
        <v>4617</v>
      </c>
      <c r="D8" s="2"/>
      <c r="E8" s="23">
        <v>150</v>
      </c>
      <c r="F8" s="2">
        <f t="shared" si="0"/>
        <v>10</v>
      </c>
      <c r="G8" s="2"/>
    </row>
    <row r="9" spans="2:7" x14ac:dyDescent="0.25">
      <c r="B9" s="4">
        <v>45854</v>
      </c>
      <c r="C9" s="2" t="s">
        <v>4616</v>
      </c>
      <c r="D9" s="2"/>
      <c r="E9" s="23"/>
      <c r="F9" s="2">
        <f t="shared" si="0"/>
        <v>-150</v>
      </c>
      <c r="G9" s="2"/>
    </row>
    <row r="10" spans="2:7" x14ac:dyDescent="0.25">
      <c r="B10" s="4">
        <v>45855</v>
      </c>
      <c r="C10" s="2" t="s">
        <v>3565</v>
      </c>
      <c r="D10" s="2"/>
      <c r="E10" s="23"/>
      <c r="F10" s="2">
        <f t="shared" si="0"/>
        <v>0</v>
      </c>
      <c r="G10" s="2"/>
    </row>
    <row r="11" spans="2:7" x14ac:dyDescent="0.25">
      <c r="B11" s="4">
        <v>45856</v>
      </c>
      <c r="C11" s="2"/>
      <c r="D11" s="2"/>
      <c r="E11" s="23"/>
      <c r="F11" s="2">
        <f t="shared" si="0"/>
        <v>0</v>
      </c>
      <c r="G11" s="2"/>
    </row>
    <row r="12" spans="2:7" x14ac:dyDescent="0.25">
      <c r="B12" s="4">
        <v>45857</v>
      </c>
      <c r="C12" s="2"/>
      <c r="D12" s="2"/>
      <c r="E12" s="23"/>
      <c r="F12" s="2"/>
      <c r="G12" s="2"/>
    </row>
    <row r="13" spans="2:7" x14ac:dyDescent="0.25">
      <c r="B13" s="4">
        <v>45858</v>
      </c>
      <c r="C13" s="2"/>
      <c r="D13" s="2"/>
      <c r="E13" s="23"/>
      <c r="F13" s="2"/>
      <c r="G13" s="2"/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B2:G66"/>
  <sheetViews>
    <sheetView workbookViewId="0">
      <pane ySplit="3" topLeftCell="A40" activePane="bottomLeft" state="frozen"/>
      <selection pane="bottomLeft" activeCell="C56" sqref="C56"/>
    </sheetView>
  </sheetViews>
  <sheetFormatPr defaultRowHeight="15" x14ac:dyDescent="0.25"/>
  <cols>
    <col min="2" max="2" width="18" bestFit="1" customWidth="1"/>
    <col min="3" max="3" width="72" bestFit="1" customWidth="1"/>
    <col min="4" max="4" width="42.140625" bestFit="1" customWidth="1"/>
    <col min="5" max="5" width="11.85546875" bestFit="1" customWidth="1"/>
    <col min="7" max="7" width="11" bestFit="1" customWidth="1"/>
  </cols>
  <sheetData>
    <row r="2" spans="2:7" x14ac:dyDescent="0.25">
      <c r="B2" s="53" t="s">
        <v>4500</v>
      </c>
    </row>
    <row r="3" spans="2:7" ht="15.75" x14ac:dyDescent="0.25">
      <c r="B3" s="10" t="s">
        <v>0</v>
      </c>
      <c r="C3" s="11" t="s">
        <v>1</v>
      </c>
      <c r="D3" s="11" t="s">
        <v>2</v>
      </c>
      <c r="E3" s="11" t="s">
        <v>934</v>
      </c>
      <c r="F3" s="11" t="s">
        <v>1095</v>
      </c>
      <c r="G3" s="11" t="s">
        <v>1507</v>
      </c>
    </row>
    <row r="4" spans="2:7" ht="15.75" x14ac:dyDescent="0.25">
      <c r="B4" s="10"/>
      <c r="C4" s="11"/>
      <c r="D4" s="11" t="s">
        <v>5103</v>
      </c>
      <c r="E4" s="11"/>
      <c r="F4" s="11"/>
      <c r="G4" s="11"/>
    </row>
    <row r="5" spans="2:7" ht="15.75" x14ac:dyDescent="0.25">
      <c r="B5" s="4">
        <v>45869</v>
      </c>
      <c r="C5" s="107" t="s">
        <v>629</v>
      </c>
      <c r="D5" s="106"/>
      <c r="E5" s="106"/>
      <c r="F5" s="106"/>
      <c r="G5" s="106"/>
    </row>
    <row r="6" spans="2:7" x14ac:dyDescent="0.25">
      <c r="B6" s="4">
        <v>45870</v>
      </c>
      <c r="C6" s="2"/>
      <c r="D6" s="2"/>
      <c r="E6" s="23">
        <v>0</v>
      </c>
      <c r="F6" s="2"/>
      <c r="G6" s="2"/>
    </row>
    <row r="7" spans="2:7" x14ac:dyDescent="0.25">
      <c r="B7" s="4">
        <v>45871</v>
      </c>
      <c r="C7" s="2"/>
      <c r="D7" s="2" t="s">
        <v>4834</v>
      </c>
      <c r="E7" s="23">
        <v>0</v>
      </c>
      <c r="F7" s="2">
        <f>E7-E6</f>
        <v>0</v>
      </c>
      <c r="G7" s="2"/>
    </row>
    <row r="8" spans="2:7" x14ac:dyDescent="0.25">
      <c r="B8" s="4">
        <v>45872</v>
      </c>
      <c r="C8" s="2" t="s">
        <v>1528</v>
      </c>
      <c r="D8" s="2"/>
      <c r="E8" s="23">
        <v>0</v>
      </c>
      <c r="F8" s="2">
        <f t="shared" ref="F8:F12" si="0">E8-E7</f>
        <v>0</v>
      </c>
      <c r="G8" s="2"/>
    </row>
    <row r="9" spans="2:7" x14ac:dyDescent="0.25">
      <c r="B9" s="4">
        <v>45873</v>
      </c>
      <c r="C9" s="2" t="s">
        <v>4851</v>
      </c>
      <c r="D9" s="58"/>
      <c r="E9" s="23">
        <v>0</v>
      </c>
      <c r="F9" s="2">
        <f t="shared" si="0"/>
        <v>0</v>
      </c>
      <c r="G9" s="2"/>
    </row>
    <row r="10" spans="2:7" x14ac:dyDescent="0.25">
      <c r="B10" s="4">
        <v>45874</v>
      </c>
      <c r="C10" s="2" t="s">
        <v>4894</v>
      </c>
      <c r="D10" s="58"/>
      <c r="E10" s="23">
        <v>15</v>
      </c>
      <c r="F10" s="2">
        <f t="shared" si="0"/>
        <v>15</v>
      </c>
      <c r="G10" s="2"/>
    </row>
    <row r="11" spans="2:7" x14ac:dyDescent="0.25">
      <c r="B11" s="4">
        <v>45875</v>
      </c>
      <c r="C11" s="2" t="s">
        <v>4895</v>
      </c>
      <c r="D11" s="58"/>
      <c r="E11" s="23">
        <v>30</v>
      </c>
      <c r="F11" s="2">
        <f t="shared" si="0"/>
        <v>15</v>
      </c>
      <c r="G11" s="2"/>
    </row>
    <row r="12" spans="2:7" x14ac:dyDescent="0.25">
      <c r="B12" s="4">
        <v>45876</v>
      </c>
      <c r="C12" s="2" t="s">
        <v>4924</v>
      </c>
      <c r="D12" s="2"/>
      <c r="E12" s="23">
        <v>30.2</v>
      </c>
      <c r="F12" s="2">
        <f t="shared" si="0"/>
        <v>0.19999999999999929</v>
      </c>
      <c r="G12" s="2"/>
    </row>
    <row r="13" spans="2:7" x14ac:dyDescent="0.25">
      <c r="B13" s="4">
        <v>45877</v>
      </c>
      <c r="C13" s="2" t="s">
        <v>5003</v>
      </c>
      <c r="D13" s="2"/>
      <c r="E13" s="23">
        <v>25</v>
      </c>
      <c r="F13" s="2">
        <v>25</v>
      </c>
      <c r="G13" s="2"/>
    </row>
    <row r="14" spans="2:7" x14ac:dyDescent="0.25">
      <c r="B14" s="4">
        <v>45878</v>
      </c>
      <c r="C14" s="2" t="s">
        <v>5004</v>
      </c>
      <c r="D14" s="2"/>
      <c r="E14" s="23">
        <v>40</v>
      </c>
      <c r="F14" s="2">
        <f t="shared" ref="F14:F47" si="1">E14-E13</f>
        <v>15</v>
      </c>
      <c r="G14" s="2"/>
    </row>
    <row r="15" spans="2:7" x14ac:dyDescent="0.25">
      <c r="B15" s="4">
        <v>45879</v>
      </c>
      <c r="C15" s="2" t="s">
        <v>5005</v>
      </c>
      <c r="D15" s="2"/>
      <c r="E15" s="23">
        <v>45</v>
      </c>
      <c r="F15" s="2">
        <f t="shared" si="1"/>
        <v>5</v>
      </c>
      <c r="G15" s="2"/>
    </row>
    <row r="16" spans="2:7" x14ac:dyDescent="0.25">
      <c r="B16" s="4">
        <v>45880</v>
      </c>
      <c r="C16" s="2" t="s">
        <v>5006</v>
      </c>
      <c r="D16" s="2"/>
      <c r="E16" s="23">
        <v>60</v>
      </c>
      <c r="F16" s="2">
        <f t="shared" si="1"/>
        <v>15</v>
      </c>
      <c r="G16" s="2"/>
    </row>
    <row r="17" spans="2:7" x14ac:dyDescent="0.25">
      <c r="B17" s="4">
        <v>45881</v>
      </c>
      <c r="C17" s="2" t="s">
        <v>5007</v>
      </c>
      <c r="D17" s="2"/>
      <c r="E17" s="23">
        <v>65</v>
      </c>
      <c r="F17" s="2">
        <f t="shared" si="1"/>
        <v>5</v>
      </c>
      <c r="G17" s="2"/>
    </row>
    <row r="18" spans="2:7" x14ac:dyDescent="0.25">
      <c r="B18" s="4">
        <v>45882</v>
      </c>
      <c r="C18" s="2" t="s">
        <v>5008</v>
      </c>
      <c r="D18" s="2"/>
      <c r="E18" s="23">
        <v>90</v>
      </c>
      <c r="F18" s="2">
        <f t="shared" si="1"/>
        <v>25</v>
      </c>
      <c r="G18" s="2"/>
    </row>
    <row r="19" spans="2:7" x14ac:dyDescent="0.25">
      <c r="B19" s="4">
        <v>45883</v>
      </c>
      <c r="C19" s="2" t="s">
        <v>5008</v>
      </c>
      <c r="D19" s="2"/>
      <c r="E19" s="23">
        <v>90</v>
      </c>
      <c r="F19" s="2">
        <f t="shared" si="1"/>
        <v>0</v>
      </c>
      <c r="G19" s="2"/>
    </row>
    <row r="20" spans="2:7" x14ac:dyDescent="0.25">
      <c r="B20" s="4">
        <v>45884</v>
      </c>
      <c r="C20" s="2" t="s">
        <v>5027</v>
      </c>
      <c r="D20" s="2"/>
      <c r="E20" s="23">
        <v>131</v>
      </c>
      <c r="F20" s="2">
        <f t="shared" si="1"/>
        <v>41</v>
      </c>
      <c r="G20" s="2"/>
    </row>
    <row r="21" spans="2:7" x14ac:dyDescent="0.25">
      <c r="B21" s="4">
        <v>45885</v>
      </c>
      <c r="C21" s="2" t="s">
        <v>480</v>
      </c>
      <c r="D21" s="2"/>
      <c r="E21" s="23">
        <v>131</v>
      </c>
      <c r="F21" s="2">
        <f t="shared" si="1"/>
        <v>0</v>
      </c>
      <c r="G21" s="2"/>
    </row>
    <row r="22" spans="2:7" x14ac:dyDescent="0.25">
      <c r="B22" s="4">
        <v>45886</v>
      </c>
      <c r="C22" s="2" t="s">
        <v>5043</v>
      </c>
      <c r="D22" s="2" t="s">
        <v>5046</v>
      </c>
      <c r="E22" s="23">
        <v>135</v>
      </c>
      <c r="F22" s="2">
        <f t="shared" si="1"/>
        <v>4</v>
      </c>
      <c r="G22" s="2"/>
    </row>
    <row r="23" spans="2:7" x14ac:dyDescent="0.25">
      <c r="B23" s="4">
        <v>45887</v>
      </c>
      <c r="C23" s="2" t="s">
        <v>5060</v>
      </c>
      <c r="D23" s="2"/>
      <c r="E23" s="23">
        <v>40</v>
      </c>
      <c r="F23" s="2">
        <f t="shared" si="1"/>
        <v>-95</v>
      </c>
      <c r="G23" s="2"/>
    </row>
    <row r="24" spans="2:7" x14ac:dyDescent="0.25">
      <c r="B24" s="4">
        <v>45888</v>
      </c>
      <c r="C24" s="2" t="s">
        <v>5074</v>
      </c>
      <c r="D24" s="2" t="s">
        <v>5075</v>
      </c>
      <c r="E24" s="23">
        <v>40</v>
      </c>
      <c r="F24" s="2">
        <f t="shared" si="1"/>
        <v>0</v>
      </c>
      <c r="G24" s="2"/>
    </row>
    <row r="25" spans="2:7" x14ac:dyDescent="0.25">
      <c r="B25" s="4">
        <v>45889</v>
      </c>
      <c r="C25" s="2" t="s">
        <v>5083</v>
      </c>
      <c r="D25" s="2"/>
      <c r="E25" s="23">
        <v>40</v>
      </c>
      <c r="F25" s="2">
        <f t="shared" si="1"/>
        <v>0</v>
      </c>
      <c r="G25" s="2"/>
    </row>
    <row r="26" spans="2:7" x14ac:dyDescent="0.25">
      <c r="B26" s="4">
        <v>45890</v>
      </c>
      <c r="C26" s="2" t="s">
        <v>5088</v>
      </c>
      <c r="D26" s="2"/>
      <c r="E26" s="23">
        <v>40</v>
      </c>
      <c r="F26" s="2">
        <f t="shared" si="1"/>
        <v>0</v>
      </c>
      <c r="G26" s="2"/>
    </row>
    <row r="27" spans="2:7" x14ac:dyDescent="0.25">
      <c r="B27" s="4">
        <v>45891</v>
      </c>
      <c r="C27" s="2" t="s">
        <v>5130</v>
      </c>
      <c r="D27" s="2"/>
      <c r="E27" s="23">
        <v>40</v>
      </c>
      <c r="F27" s="2">
        <f t="shared" si="1"/>
        <v>0</v>
      </c>
      <c r="G27" s="2"/>
    </row>
    <row r="28" spans="2:7" x14ac:dyDescent="0.25">
      <c r="B28" s="4">
        <v>45892</v>
      </c>
      <c r="C28" s="2" t="s">
        <v>5131</v>
      </c>
      <c r="D28" s="2"/>
      <c r="E28" s="23">
        <v>46</v>
      </c>
      <c r="F28" s="2">
        <f t="shared" si="1"/>
        <v>6</v>
      </c>
      <c r="G28" s="2"/>
    </row>
    <row r="29" spans="2:7" x14ac:dyDescent="0.25">
      <c r="B29" s="4">
        <v>45893</v>
      </c>
      <c r="C29" s="2" t="s">
        <v>5135</v>
      </c>
      <c r="D29" s="2"/>
      <c r="E29" s="23">
        <v>90</v>
      </c>
      <c r="F29" s="2">
        <f t="shared" si="1"/>
        <v>44</v>
      </c>
      <c r="G29" s="2"/>
    </row>
    <row r="30" spans="2:7" x14ac:dyDescent="0.25">
      <c r="B30" s="4">
        <v>45894</v>
      </c>
      <c r="C30" s="2" t="s">
        <v>5165</v>
      </c>
      <c r="D30" s="2"/>
      <c r="E30" s="23">
        <v>105</v>
      </c>
      <c r="F30" s="2">
        <f t="shared" si="1"/>
        <v>15</v>
      </c>
      <c r="G30" s="2"/>
    </row>
    <row r="31" spans="2:7" x14ac:dyDescent="0.25">
      <c r="B31" s="4">
        <v>45895</v>
      </c>
      <c r="C31" s="2" t="s">
        <v>5178</v>
      </c>
      <c r="D31" s="2"/>
      <c r="E31" s="23">
        <v>106</v>
      </c>
      <c r="F31" s="2">
        <f t="shared" si="1"/>
        <v>1</v>
      </c>
      <c r="G31" s="2"/>
    </row>
    <row r="32" spans="2:7" x14ac:dyDescent="0.25">
      <c r="B32" s="4">
        <v>45896</v>
      </c>
      <c r="C32" s="2" t="s">
        <v>5199</v>
      </c>
      <c r="D32" s="2"/>
      <c r="E32" s="23">
        <v>110</v>
      </c>
      <c r="F32" s="2">
        <f t="shared" si="1"/>
        <v>4</v>
      </c>
      <c r="G32" s="2"/>
    </row>
    <row r="33" spans="2:7" x14ac:dyDescent="0.25">
      <c r="B33" s="4">
        <v>45897</v>
      </c>
      <c r="C33" s="2" t="s">
        <v>5198</v>
      </c>
      <c r="D33" s="2"/>
      <c r="E33" s="23">
        <v>112</v>
      </c>
      <c r="F33" s="2">
        <f t="shared" si="1"/>
        <v>2</v>
      </c>
      <c r="G33" s="2"/>
    </row>
    <row r="34" spans="2:7" x14ac:dyDescent="0.25">
      <c r="B34" s="4">
        <v>45898</v>
      </c>
      <c r="C34" s="2" t="s">
        <v>5210</v>
      </c>
      <c r="D34" s="2"/>
      <c r="E34" s="23">
        <v>112</v>
      </c>
      <c r="F34" s="2">
        <f t="shared" si="1"/>
        <v>0</v>
      </c>
      <c r="G34" s="2"/>
    </row>
    <row r="35" spans="2:7" x14ac:dyDescent="0.25">
      <c r="B35" s="4">
        <v>45899</v>
      </c>
      <c r="C35" s="2" t="s">
        <v>5227</v>
      </c>
      <c r="D35" s="2" t="s">
        <v>5235</v>
      </c>
      <c r="E35" s="23">
        <v>40</v>
      </c>
      <c r="F35" s="2">
        <v>40</v>
      </c>
      <c r="G35" s="2"/>
    </row>
    <row r="36" spans="2:7" x14ac:dyDescent="0.25">
      <c r="B36" s="4">
        <v>45900</v>
      </c>
      <c r="C36" s="2"/>
      <c r="D36" s="2"/>
      <c r="E36" s="2"/>
      <c r="F36" s="2">
        <f t="shared" si="1"/>
        <v>-40</v>
      </c>
      <c r="G36" s="2"/>
    </row>
    <row r="37" spans="2:7" x14ac:dyDescent="0.25">
      <c r="B37" s="4">
        <v>45901</v>
      </c>
      <c r="C37" s="2" t="s">
        <v>5252</v>
      </c>
      <c r="D37" s="2"/>
      <c r="E37" s="2"/>
      <c r="F37" s="2">
        <f t="shared" si="1"/>
        <v>0</v>
      </c>
      <c r="G37" s="2"/>
    </row>
    <row r="38" spans="2:7" x14ac:dyDescent="0.25">
      <c r="B38" s="4">
        <v>45902</v>
      </c>
      <c r="C38" s="2" t="s">
        <v>5252</v>
      </c>
      <c r="D38" s="2"/>
      <c r="E38" s="2"/>
      <c r="F38" s="2">
        <f t="shared" si="1"/>
        <v>0</v>
      </c>
      <c r="G38" s="2"/>
    </row>
    <row r="39" spans="2:7" x14ac:dyDescent="0.25">
      <c r="B39" s="4">
        <v>45903</v>
      </c>
      <c r="C39" s="2" t="s">
        <v>5252</v>
      </c>
      <c r="D39" s="2"/>
      <c r="E39" s="2"/>
      <c r="F39" s="2">
        <f t="shared" si="1"/>
        <v>0</v>
      </c>
      <c r="G39" s="2"/>
    </row>
    <row r="40" spans="2:7" x14ac:dyDescent="0.25">
      <c r="B40" s="4">
        <v>45904</v>
      </c>
      <c r="C40" s="2" t="s">
        <v>5252</v>
      </c>
      <c r="D40" s="2"/>
      <c r="E40" s="2"/>
      <c r="F40" s="2">
        <f t="shared" si="1"/>
        <v>0</v>
      </c>
      <c r="G40" s="2"/>
    </row>
    <row r="41" spans="2:7" x14ac:dyDescent="0.25">
      <c r="B41" s="4">
        <v>45905</v>
      </c>
      <c r="C41" s="2" t="s">
        <v>5279</v>
      </c>
      <c r="D41" s="2"/>
      <c r="E41" s="2">
        <v>40</v>
      </c>
      <c r="F41" s="2">
        <f t="shared" si="1"/>
        <v>40</v>
      </c>
      <c r="G41" s="2"/>
    </row>
    <row r="42" spans="2:7" x14ac:dyDescent="0.25">
      <c r="B42" s="4">
        <v>45906</v>
      </c>
      <c r="C42" s="2" t="s">
        <v>5311</v>
      </c>
      <c r="D42" s="2" t="s">
        <v>5290</v>
      </c>
      <c r="E42" s="2">
        <v>60</v>
      </c>
      <c r="F42" s="2">
        <f t="shared" si="1"/>
        <v>20</v>
      </c>
      <c r="G42" s="2"/>
    </row>
    <row r="43" spans="2:7" x14ac:dyDescent="0.25">
      <c r="B43" s="4">
        <v>45907</v>
      </c>
      <c r="C43" s="2" t="s">
        <v>5312</v>
      </c>
      <c r="D43" s="2" t="s">
        <v>5314</v>
      </c>
      <c r="E43" s="2">
        <v>61</v>
      </c>
      <c r="F43" s="2">
        <f t="shared" si="1"/>
        <v>1</v>
      </c>
      <c r="G43" s="2"/>
    </row>
    <row r="44" spans="2:7" x14ac:dyDescent="0.25">
      <c r="B44" s="4">
        <v>45908</v>
      </c>
      <c r="C44" s="2" t="s">
        <v>5312</v>
      </c>
      <c r="D44" s="2"/>
      <c r="E44" s="2">
        <v>61</v>
      </c>
      <c r="F44" s="2">
        <f t="shared" si="1"/>
        <v>0</v>
      </c>
      <c r="G44" s="2"/>
    </row>
    <row r="45" spans="2:7" x14ac:dyDescent="0.25">
      <c r="B45" s="4">
        <v>45909</v>
      </c>
      <c r="C45" s="2" t="s">
        <v>5338</v>
      </c>
      <c r="D45" s="2"/>
      <c r="E45" s="2">
        <v>71</v>
      </c>
      <c r="F45" s="2">
        <f t="shared" si="1"/>
        <v>10</v>
      </c>
      <c r="G45" s="2"/>
    </row>
    <row r="46" spans="2:7" x14ac:dyDescent="0.25">
      <c r="B46" s="4">
        <v>45910</v>
      </c>
      <c r="C46" s="2"/>
      <c r="D46" s="2"/>
      <c r="E46" s="2">
        <v>71</v>
      </c>
      <c r="F46" s="2">
        <f t="shared" si="1"/>
        <v>0</v>
      </c>
      <c r="G46" s="2"/>
    </row>
    <row r="47" spans="2:7" x14ac:dyDescent="0.25">
      <c r="B47" s="4">
        <v>45911</v>
      </c>
      <c r="C47" s="2"/>
      <c r="D47" s="2"/>
      <c r="E47" s="2">
        <v>71</v>
      </c>
      <c r="F47" s="2">
        <f t="shared" si="1"/>
        <v>0</v>
      </c>
      <c r="G47" s="2"/>
    </row>
    <row r="48" spans="2:7" x14ac:dyDescent="0.25">
      <c r="B48" s="4">
        <v>45912</v>
      </c>
      <c r="C48" s="2" t="s">
        <v>5359</v>
      </c>
      <c r="D48" s="2"/>
      <c r="E48" s="2">
        <v>90</v>
      </c>
      <c r="F48" s="2">
        <f>E48-E47</f>
        <v>19</v>
      </c>
      <c r="G48" s="2"/>
    </row>
    <row r="49" spans="2:7" x14ac:dyDescent="0.25">
      <c r="B49" s="4">
        <v>45913</v>
      </c>
      <c r="C49" s="2" t="s">
        <v>5370</v>
      </c>
      <c r="D49" s="2"/>
      <c r="E49" s="2">
        <v>101</v>
      </c>
      <c r="F49" s="2">
        <f t="shared" ref="F49:F56" si="2">E49-E48</f>
        <v>11</v>
      </c>
      <c r="G49" s="2"/>
    </row>
    <row r="50" spans="2:7" x14ac:dyDescent="0.25">
      <c r="B50" s="4">
        <v>45914</v>
      </c>
      <c r="C50" s="2"/>
      <c r="D50" s="2"/>
      <c r="E50" s="2"/>
      <c r="F50" s="2">
        <f t="shared" si="2"/>
        <v>-101</v>
      </c>
      <c r="G50" s="2"/>
    </row>
    <row r="51" spans="2:7" x14ac:dyDescent="0.25">
      <c r="B51" s="4">
        <v>45915</v>
      </c>
      <c r="C51" s="2" t="s">
        <v>1178</v>
      </c>
      <c r="D51" s="2"/>
      <c r="E51" s="2"/>
      <c r="F51" s="2">
        <f t="shared" si="2"/>
        <v>0</v>
      </c>
      <c r="G51" s="2"/>
    </row>
    <row r="52" spans="2:7" x14ac:dyDescent="0.25">
      <c r="B52" s="4">
        <v>45916</v>
      </c>
      <c r="C52" s="2" t="s">
        <v>5393</v>
      </c>
      <c r="D52" s="2"/>
      <c r="E52" s="2"/>
      <c r="F52" s="2">
        <f t="shared" si="2"/>
        <v>0</v>
      </c>
      <c r="G52" s="2"/>
    </row>
    <row r="53" spans="2:7" x14ac:dyDescent="0.25">
      <c r="B53" s="4">
        <v>45917</v>
      </c>
      <c r="C53" s="2" t="s">
        <v>3862</v>
      </c>
      <c r="D53" s="2"/>
      <c r="E53" s="2"/>
      <c r="F53" s="2">
        <f t="shared" si="2"/>
        <v>0</v>
      </c>
      <c r="G53" s="2"/>
    </row>
    <row r="54" spans="2:7" x14ac:dyDescent="0.25">
      <c r="B54" s="4">
        <v>45918</v>
      </c>
      <c r="C54" s="2"/>
      <c r="D54" s="2"/>
      <c r="E54" s="2"/>
      <c r="F54" s="2">
        <f t="shared" si="2"/>
        <v>0</v>
      </c>
      <c r="G54" s="2"/>
    </row>
    <row r="55" spans="2:7" x14ac:dyDescent="0.25">
      <c r="B55" s="4">
        <v>45919</v>
      </c>
      <c r="C55" s="2"/>
      <c r="D55" s="2"/>
      <c r="E55" s="2"/>
      <c r="F55" s="2">
        <f t="shared" si="2"/>
        <v>0</v>
      </c>
      <c r="G55" s="2"/>
    </row>
    <row r="56" spans="2:7" x14ac:dyDescent="0.25">
      <c r="B56" s="4">
        <v>45920</v>
      </c>
      <c r="C56" s="2"/>
      <c r="D56" s="2"/>
      <c r="E56" s="2"/>
      <c r="F56" s="2">
        <f t="shared" si="2"/>
        <v>0</v>
      </c>
      <c r="G56" s="2"/>
    </row>
    <row r="57" spans="2:7" x14ac:dyDescent="0.25">
      <c r="B57" s="4">
        <v>45921</v>
      </c>
      <c r="C57" s="2"/>
      <c r="D57" s="2"/>
      <c r="E57" s="2"/>
      <c r="F57" s="2"/>
      <c r="G57" s="2"/>
    </row>
    <row r="58" spans="2:7" x14ac:dyDescent="0.25">
      <c r="B58" s="4">
        <v>45922</v>
      </c>
      <c r="C58" s="2"/>
      <c r="D58" s="2"/>
      <c r="E58" s="2"/>
      <c r="F58" s="2"/>
      <c r="G58" s="2"/>
    </row>
    <row r="59" spans="2:7" x14ac:dyDescent="0.25">
      <c r="B59" s="4">
        <v>45923</v>
      </c>
      <c r="C59" s="2"/>
      <c r="D59" s="2"/>
      <c r="E59" s="2"/>
      <c r="F59" s="2"/>
      <c r="G59" s="2"/>
    </row>
    <row r="60" spans="2:7" x14ac:dyDescent="0.25">
      <c r="B60" s="4">
        <v>45924</v>
      </c>
      <c r="C60" s="2"/>
      <c r="D60" s="2"/>
      <c r="E60" s="2"/>
      <c r="F60" s="2"/>
      <c r="G60" s="2"/>
    </row>
    <row r="61" spans="2:7" x14ac:dyDescent="0.25">
      <c r="B61" s="4">
        <v>45925</v>
      </c>
      <c r="C61" s="2"/>
      <c r="D61" s="2"/>
      <c r="E61" s="2"/>
      <c r="F61" s="2"/>
      <c r="G61" s="2"/>
    </row>
    <row r="62" spans="2:7" x14ac:dyDescent="0.25">
      <c r="B62" s="4">
        <v>45926</v>
      </c>
      <c r="C62" s="2"/>
      <c r="D62" s="2"/>
      <c r="E62" s="2"/>
      <c r="F62" s="2"/>
      <c r="G62" s="2"/>
    </row>
    <row r="63" spans="2:7" x14ac:dyDescent="0.25">
      <c r="B63" s="4">
        <v>45927</v>
      </c>
      <c r="C63" s="2"/>
      <c r="D63" s="2"/>
      <c r="E63" s="2"/>
      <c r="F63" s="2"/>
      <c r="G63" s="2"/>
    </row>
    <row r="64" spans="2:7" x14ac:dyDescent="0.25">
      <c r="B64" s="4">
        <v>45928</v>
      </c>
      <c r="C64" s="2"/>
      <c r="D64" s="2"/>
      <c r="E64" s="2"/>
      <c r="F64" s="2"/>
      <c r="G64" s="2"/>
    </row>
    <row r="65" spans="2:7" x14ac:dyDescent="0.25">
      <c r="B65" s="4">
        <v>45929</v>
      </c>
      <c r="C65" s="2"/>
      <c r="D65" s="2"/>
      <c r="E65" s="2"/>
      <c r="F65" s="2"/>
      <c r="G65" s="2"/>
    </row>
    <row r="66" spans="2:7" x14ac:dyDescent="0.25">
      <c r="B66" s="4">
        <v>45930</v>
      </c>
      <c r="C66" s="2"/>
      <c r="D66" s="2"/>
      <c r="E66" s="2"/>
      <c r="F66" s="2"/>
      <c r="G66" s="2"/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B2:G28"/>
  <sheetViews>
    <sheetView workbookViewId="0">
      <selection activeCell="C21" sqref="C21"/>
    </sheetView>
  </sheetViews>
  <sheetFormatPr defaultRowHeight="15" x14ac:dyDescent="0.25"/>
  <cols>
    <col min="2" max="2" width="13.85546875" bestFit="1" customWidth="1"/>
    <col min="3" max="3" width="72" bestFit="1" customWidth="1"/>
    <col min="4" max="4" width="42.140625" bestFit="1" customWidth="1"/>
    <col min="5" max="5" width="11.85546875" bestFit="1" customWidth="1"/>
    <col min="7" max="7" width="11" bestFit="1" customWidth="1"/>
  </cols>
  <sheetData>
    <row r="2" spans="2:7" x14ac:dyDescent="0.25">
      <c r="B2" s="53" t="s">
        <v>4732</v>
      </c>
    </row>
    <row r="3" spans="2:7" ht="15.75" x14ac:dyDescent="0.25">
      <c r="B3" s="10" t="s">
        <v>0</v>
      </c>
      <c r="C3" s="11" t="s">
        <v>1</v>
      </c>
      <c r="D3" s="11" t="s">
        <v>2</v>
      </c>
      <c r="E3" s="11" t="s">
        <v>934</v>
      </c>
      <c r="F3" s="11" t="s">
        <v>1095</v>
      </c>
      <c r="G3" s="11" t="s">
        <v>1507</v>
      </c>
    </row>
    <row r="4" spans="2:7" x14ac:dyDescent="0.25">
      <c r="B4" s="4">
        <v>45867</v>
      </c>
      <c r="C4" s="2" t="s">
        <v>1528</v>
      </c>
      <c r="D4" s="2"/>
      <c r="E4" s="23">
        <v>0</v>
      </c>
      <c r="F4" s="2"/>
      <c r="G4" s="2"/>
    </row>
    <row r="5" spans="2:7" x14ac:dyDescent="0.25">
      <c r="B5" s="4">
        <v>45868</v>
      </c>
      <c r="C5" s="2" t="s">
        <v>4796</v>
      </c>
      <c r="D5" s="2"/>
      <c r="E5" s="23">
        <v>0</v>
      </c>
      <c r="F5" s="2">
        <f>E5-E4</f>
        <v>0</v>
      </c>
      <c r="G5" s="2"/>
    </row>
    <row r="6" spans="2:7" x14ac:dyDescent="0.25">
      <c r="B6" s="4">
        <v>45869</v>
      </c>
      <c r="C6" s="2" t="s">
        <v>4825</v>
      </c>
      <c r="D6" s="2"/>
      <c r="E6" s="23">
        <v>0</v>
      </c>
      <c r="F6" s="2">
        <f t="shared" ref="F6:F8" si="0">E6-E5</f>
        <v>0</v>
      </c>
      <c r="G6" s="2"/>
    </row>
    <row r="7" spans="2:7" x14ac:dyDescent="0.25">
      <c r="B7" s="4">
        <v>45870</v>
      </c>
      <c r="C7" s="2" t="s">
        <v>279</v>
      </c>
      <c r="D7" s="58"/>
      <c r="E7" s="23">
        <v>0</v>
      </c>
      <c r="F7" s="2">
        <f t="shared" si="0"/>
        <v>0</v>
      </c>
      <c r="G7" s="2"/>
    </row>
    <row r="8" spans="2:7" x14ac:dyDescent="0.25">
      <c r="B8" s="4">
        <v>45871</v>
      </c>
      <c r="C8" s="2" t="s">
        <v>279</v>
      </c>
      <c r="D8" s="58"/>
      <c r="E8" s="23">
        <v>0</v>
      </c>
      <c r="F8" s="2">
        <f t="shared" si="0"/>
        <v>0</v>
      </c>
      <c r="G8" s="2"/>
    </row>
    <row r="9" spans="2:7" x14ac:dyDescent="0.25">
      <c r="B9" s="4">
        <v>45872</v>
      </c>
      <c r="C9" s="2" t="s">
        <v>4837</v>
      </c>
      <c r="D9" s="58"/>
      <c r="E9" s="23">
        <v>1</v>
      </c>
      <c r="F9" s="2">
        <f>E10-E9</f>
        <v>1</v>
      </c>
      <c r="G9" s="2"/>
    </row>
    <row r="10" spans="2:7" x14ac:dyDescent="0.25">
      <c r="B10" s="4">
        <v>45873</v>
      </c>
      <c r="C10" s="2" t="s">
        <v>4862</v>
      </c>
      <c r="D10" s="2"/>
      <c r="E10" s="23">
        <v>2</v>
      </c>
      <c r="F10" s="2">
        <f>E10-E9</f>
        <v>1</v>
      </c>
      <c r="G10" s="2"/>
    </row>
    <row r="11" spans="2:7" x14ac:dyDescent="0.25">
      <c r="B11" s="4">
        <v>45874</v>
      </c>
      <c r="C11" s="2" t="s">
        <v>4881</v>
      </c>
      <c r="D11" s="2"/>
      <c r="E11" s="23">
        <v>3</v>
      </c>
      <c r="F11" s="2">
        <f t="shared" ref="F11:F20" si="1">E11-E10</f>
        <v>1</v>
      </c>
      <c r="G11" s="2"/>
    </row>
    <row r="12" spans="2:7" x14ac:dyDescent="0.25">
      <c r="B12" s="4">
        <v>45875</v>
      </c>
      <c r="C12" s="2" t="s">
        <v>4896</v>
      </c>
      <c r="D12" s="2"/>
      <c r="E12" s="23">
        <v>6</v>
      </c>
      <c r="F12" s="2">
        <f t="shared" si="1"/>
        <v>3</v>
      </c>
      <c r="G12" s="2"/>
    </row>
    <row r="13" spans="2:7" x14ac:dyDescent="0.25">
      <c r="B13" s="4">
        <v>45876</v>
      </c>
      <c r="C13" s="2" t="s">
        <v>4921</v>
      </c>
      <c r="D13" s="2" t="s">
        <v>4922</v>
      </c>
      <c r="E13" s="23">
        <v>7</v>
      </c>
      <c r="F13" s="2">
        <f t="shared" si="1"/>
        <v>1</v>
      </c>
      <c r="G13" s="2"/>
    </row>
    <row r="14" spans="2:7" x14ac:dyDescent="0.25">
      <c r="B14" s="4">
        <v>45877</v>
      </c>
      <c r="C14" s="2" t="s">
        <v>4958</v>
      </c>
      <c r="D14" s="2"/>
      <c r="E14" s="23">
        <v>1</v>
      </c>
      <c r="F14" s="2">
        <f t="shared" si="1"/>
        <v>-6</v>
      </c>
      <c r="G14" s="2"/>
    </row>
    <row r="15" spans="2:7" x14ac:dyDescent="0.25">
      <c r="B15" s="4">
        <v>45878</v>
      </c>
      <c r="C15" s="2" t="s">
        <v>4957</v>
      </c>
      <c r="D15" s="2"/>
      <c r="E15" s="23">
        <v>2</v>
      </c>
      <c r="F15" s="2">
        <f t="shared" si="1"/>
        <v>1</v>
      </c>
      <c r="G15" s="2"/>
    </row>
    <row r="16" spans="2:7" x14ac:dyDescent="0.25">
      <c r="B16" s="4">
        <v>45879</v>
      </c>
      <c r="C16" s="2" t="s">
        <v>4956</v>
      </c>
      <c r="D16" s="2"/>
      <c r="E16" s="23">
        <v>2.2999999999999998</v>
      </c>
      <c r="F16" s="2">
        <f t="shared" si="1"/>
        <v>0.29999999999999982</v>
      </c>
      <c r="G16" s="2"/>
    </row>
    <row r="17" spans="2:7" x14ac:dyDescent="0.25">
      <c r="B17" s="4">
        <v>45880</v>
      </c>
      <c r="C17" s="2" t="s">
        <v>4971</v>
      </c>
      <c r="D17" s="2"/>
      <c r="E17" s="23">
        <v>5.4</v>
      </c>
      <c r="F17" s="2">
        <f t="shared" si="1"/>
        <v>3.1000000000000005</v>
      </c>
      <c r="G17" s="92"/>
    </row>
    <row r="18" spans="2:7" x14ac:dyDescent="0.25">
      <c r="B18" s="4">
        <v>45881</v>
      </c>
      <c r="C18" s="2" t="s">
        <v>480</v>
      </c>
      <c r="D18" s="2"/>
      <c r="E18" s="2">
        <v>5.4</v>
      </c>
      <c r="F18" s="2">
        <f t="shared" si="1"/>
        <v>0</v>
      </c>
    </row>
    <row r="19" spans="2:7" x14ac:dyDescent="0.25">
      <c r="B19" s="4">
        <v>45882</v>
      </c>
      <c r="C19" s="2" t="s">
        <v>5009</v>
      </c>
      <c r="D19" s="2" t="s">
        <v>5012</v>
      </c>
      <c r="E19" s="2">
        <v>6</v>
      </c>
      <c r="F19" s="2">
        <f t="shared" si="1"/>
        <v>0.59999999999999964</v>
      </c>
    </row>
    <row r="20" spans="2:7" x14ac:dyDescent="0.25">
      <c r="B20" s="4">
        <v>45883</v>
      </c>
      <c r="C20" s="2" t="s">
        <v>3926</v>
      </c>
      <c r="D20" s="2"/>
      <c r="E20" s="2"/>
      <c r="F20" s="2">
        <f t="shared" si="1"/>
        <v>-6</v>
      </c>
    </row>
    <row r="21" spans="2:7" x14ac:dyDescent="0.25">
      <c r="B21" s="4">
        <v>45884</v>
      </c>
      <c r="C21" s="2"/>
      <c r="D21" s="2"/>
      <c r="E21" s="2"/>
      <c r="F21" s="2"/>
    </row>
    <row r="22" spans="2:7" x14ac:dyDescent="0.25">
      <c r="B22" s="4">
        <v>45885</v>
      </c>
      <c r="C22" s="2"/>
      <c r="D22" s="2"/>
      <c r="E22" s="2"/>
      <c r="F22" s="2"/>
    </row>
    <row r="23" spans="2:7" x14ac:dyDescent="0.25">
      <c r="B23" s="4">
        <v>45886</v>
      </c>
      <c r="C23" s="2"/>
      <c r="D23" s="2"/>
      <c r="E23" s="2"/>
      <c r="F23" s="2"/>
    </row>
    <row r="24" spans="2:7" x14ac:dyDescent="0.25">
      <c r="B24" s="2"/>
      <c r="C24" s="2"/>
      <c r="D24" s="2"/>
      <c r="E24" s="2"/>
      <c r="F24" s="2"/>
    </row>
    <row r="25" spans="2:7" x14ac:dyDescent="0.25">
      <c r="B25" s="2"/>
      <c r="C25" s="2"/>
      <c r="D25" s="2"/>
      <c r="E25" s="2"/>
      <c r="F25" s="2"/>
    </row>
    <row r="26" spans="2:7" x14ac:dyDescent="0.25">
      <c r="B26" s="2"/>
      <c r="C26" s="2"/>
      <c r="D26" s="2"/>
      <c r="E26" s="2"/>
      <c r="F26" s="2"/>
    </row>
    <row r="27" spans="2:7" x14ac:dyDescent="0.25">
      <c r="B27" s="2"/>
      <c r="C27" s="2"/>
      <c r="D27" s="2"/>
      <c r="E27" s="2"/>
      <c r="F27" s="2"/>
    </row>
    <row r="28" spans="2:7" x14ac:dyDescent="0.25">
      <c r="B28" s="2"/>
      <c r="C28" s="2"/>
      <c r="D28" s="2"/>
      <c r="E28" s="2"/>
      <c r="F28" s="2"/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B2:G41"/>
  <sheetViews>
    <sheetView workbookViewId="0">
      <pane ySplit="3" topLeftCell="A19" activePane="bottomLeft" state="frozen"/>
      <selection pane="bottomLeft" activeCell="C30" sqref="C30"/>
    </sheetView>
  </sheetViews>
  <sheetFormatPr defaultRowHeight="15" x14ac:dyDescent="0.25"/>
  <cols>
    <col min="2" max="2" width="18" bestFit="1" customWidth="1"/>
    <col min="3" max="3" width="72" bestFit="1" customWidth="1"/>
    <col min="4" max="4" width="42.140625" bestFit="1" customWidth="1"/>
    <col min="5" max="5" width="11.85546875" bestFit="1" customWidth="1"/>
    <col min="7" max="7" width="11" bestFit="1" customWidth="1"/>
  </cols>
  <sheetData>
    <row r="2" spans="2:7" x14ac:dyDescent="0.25">
      <c r="B2" s="53" t="s">
        <v>954</v>
      </c>
    </row>
    <row r="3" spans="2:7" ht="15.75" x14ac:dyDescent="0.25">
      <c r="B3" s="10" t="s">
        <v>0</v>
      </c>
      <c r="C3" s="11" t="s">
        <v>1</v>
      </c>
      <c r="D3" s="11" t="s">
        <v>2</v>
      </c>
      <c r="E3" s="11" t="s">
        <v>934</v>
      </c>
      <c r="F3" s="11" t="s">
        <v>1095</v>
      </c>
      <c r="G3" s="11" t="s">
        <v>1507</v>
      </c>
    </row>
    <row r="4" spans="2:7" ht="15.75" x14ac:dyDescent="0.25">
      <c r="B4" s="10"/>
      <c r="C4" s="11"/>
      <c r="D4" s="11" t="s">
        <v>5102</v>
      </c>
      <c r="E4" s="11"/>
      <c r="F4" s="11"/>
      <c r="G4" s="11"/>
    </row>
    <row r="5" spans="2:7" x14ac:dyDescent="0.25">
      <c r="B5" s="4">
        <v>45867</v>
      </c>
      <c r="C5" s="2" t="s">
        <v>1528</v>
      </c>
      <c r="D5" s="2"/>
      <c r="E5" s="23">
        <v>0</v>
      </c>
      <c r="F5" s="2"/>
      <c r="G5" s="2"/>
    </row>
    <row r="6" spans="2:7" x14ac:dyDescent="0.25">
      <c r="B6" s="4">
        <v>45874</v>
      </c>
      <c r="C6" s="2" t="s">
        <v>4897</v>
      </c>
      <c r="D6" s="2"/>
      <c r="E6" s="23">
        <v>15</v>
      </c>
      <c r="F6" s="2">
        <f>E6-E5</f>
        <v>15</v>
      </c>
      <c r="G6" s="2"/>
    </row>
    <row r="7" spans="2:7" x14ac:dyDescent="0.25">
      <c r="B7" s="4">
        <v>45875</v>
      </c>
      <c r="C7" s="2" t="s">
        <v>4898</v>
      </c>
      <c r="D7" s="2"/>
      <c r="E7" s="23">
        <v>40</v>
      </c>
      <c r="F7" s="2">
        <f t="shared" ref="F7:F28" si="0">E7-E6</f>
        <v>25</v>
      </c>
      <c r="G7" s="2"/>
    </row>
    <row r="8" spans="2:7" x14ac:dyDescent="0.25">
      <c r="B8" s="4">
        <v>45876</v>
      </c>
      <c r="C8" s="2" t="s">
        <v>4923</v>
      </c>
      <c r="D8" s="58"/>
      <c r="E8" s="23">
        <v>50</v>
      </c>
      <c r="F8" s="2">
        <f t="shared" si="0"/>
        <v>10</v>
      </c>
      <c r="G8" s="2"/>
    </row>
    <row r="9" spans="2:7" x14ac:dyDescent="0.25">
      <c r="B9" s="4">
        <v>45877</v>
      </c>
      <c r="C9" s="2" t="s">
        <v>4936</v>
      </c>
      <c r="D9" s="58"/>
      <c r="E9" s="23">
        <v>65</v>
      </c>
      <c r="F9" s="2">
        <f t="shared" si="0"/>
        <v>15</v>
      </c>
      <c r="G9" s="2"/>
    </row>
    <row r="10" spans="2:7" x14ac:dyDescent="0.25">
      <c r="B10" s="4">
        <v>45878</v>
      </c>
      <c r="C10" s="2" t="s">
        <v>4942</v>
      </c>
      <c r="D10" s="58"/>
      <c r="E10" s="23">
        <v>85</v>
      </c>
      <c r="F10" s="2">
        <f t="shared" si="0"/>
        <v>20</v>
      </c>
      <c r="G10" s="2"/>
    </row>
    <row r="11" spans="2:7" x14ac:dyDescent="0.25">
      <c r="B11" s="4">
        <v>45879</v>
      </c>
      <c r="C11" s="2"/>
      <c r="D11" s="2"/>
      <c r="E11" s="23">
        <v>85</v>
      </c>
      <c r="F11" s="2">
        <f t="shared" si="0"/>
        <v>0</v>
      </c>
      <c r="G11" s="2"/>
    </row>
    <row r="12" spans="2:7" x14ac:dyDescent="0.25">
      <c r="B12" s="4">
        <v>45880</v>
      </c>
      <c r="C12" s="2" t="s">
        <v>4993</v>
      </c>
      <c r="D12" s="2"/>
      <c r="E12" s="23">
        <v>120</v>
      </c>
      <c r="F12" s="2">
        <f t="shared" si="0"/>
        <v>35</v>
      </c>
      <c r="G12" s="2"/>
    </row>
    <row r="13" spans="2:7" x14ac:dyDescent="0.25">
      <c r="B13" s="4">
        <v>45881</v>
      </c>
      <c r="C13" s="2" t="s">
        <v>4986</v>
      </c>
      <c r="D13" s="2"/>
      <c r="E13" s="23">
        <v>6</v>
      </c>
      <c r="F13" s="2">
        <f t="shared" si="0"/>
        <v>-114</v>
      </c>
      <c r="G13" s="2"/>
    </row>
    <row r="14" spans="2:7" x14ac:dyDescent="0.25">
      <c r="B14" s="4">
        <v>45882</v>
      </c>
      <c r="C14" s="2" t="s">
        <v>5010</v>
      </c>
      <c r="D14" s="2"/>
      <c r="E14" s="23">
        <v>25</v>
      </c>
      <c r="F14" s="2">
        <f t="shared" si="0"/>
        <v>19</v>
      </c>
      <c r="G14" s="2"/>
    </row>
    <row r="15" spans="2:7" x14ac:dyDescent="0.25">
      <c r="B15" s="4">
        <v>45883</v>
      </c>
      <c r="C15" s="2" t="s">
        <v>5017</v>
      </c>
      <c r="D15" s="2"/>
      <c r="E15" s="23">
        <v>35</v>
      </c>
      <c r="F15" s="2">
        <f t="shared" si="0"/>
        <v>10</v>
      </c>
      <c r="G15" s="2"/>
    </row>
    <row r="16" spans="2:7" x14ac:dyDescent="0.25">
      <c r="B16" s="4">
        <v>45884</v>
      </c>
      <c r="C16" s="2" t="s">
        <v>5024</v>
      </c>
      <c r="D16" s="2"/>
      <c r="E16" s="23">
        <v>40</v>
      </c>
      <c r="F16" s="2">
        <f t="shared" si="0"/>
        <v>5</v>
      </c>
      <c r="G16" s="2"/>
    </row>
    <row r="17" spans="2:7" x14ac:dyDescent="0.25">
      <c r="B17" s="4">
        <v>45885</v>
      </c>
      <c r="C17" s="2" t="s">
        <v>5041</v>
      </c>
      <c r="D17" s="2"/>
      <c r="E17" s="23">
        <v>40</v>
      </c>
      <c r="F17" s="2">
        <f t="shared" si="0"/>
        <v>0</v>
      </c>
      <c r="G17" s="2"/>
    </row>
    <row r="18" spans="2:7" x14ac:dyDescent="0.25">
      <c r="B18" s="4">
        <v>45886</v>
      </c>
      <c r="C18" s="2" t="s">
        <v>5052</v>
      </c>
      <c r="D18" s="2"/>
      <c r="E18" s="23">
        <v>40</v>
      </c>
      <c r="F18" s="2">
        <f t="shared" si="0"/>
        <v>0</v>
      </c>
      <c r="G18" s="2"/>
    </row>
    <row r="19" spans="2:7" x14ac:dyDescent="0.25">
      <c r="B19" s="4">
        <v>45887</v>
      </c>
      <c r="C19" s="2" t="s">
        <v>5051</v>
      </c>
      <c r="D19" s="2"/>
      <c r="E19" s="23">
        <v>50</v>
      </c>
      <c r="F19" s="2">
        <f t="shared" si="0"/>
        <v>10</v>
      </c>
      <c r="G19" s="2"/>
    </row>
    <row r="20" spans="2:7" x14ac:dyDescent="0.25">
      <c r="B20" s="4">
        <v>45888</v>
      </c>
      <c r="C20" s="2" t="s">
        <v>5064</v>
      </c>
      <c r="D20" s="2"/>
      <c r="E20" s="23">
        <v>50</v>
      </c>
      <c r="F20" s="2">
        <f t="shared" si="0"/>
        <v>0</v>
      </c>
      <c r="G20" s="2"/>
    </row>
    <row r="21" spans="2:7" x14ac:dyDescent="0.25">
      <c r="B21" s="4">
        <v>45889</v>
      </c>
      <c r="C21" s="2" t="s">
        <v>5079</v>
      </c>
      <c r="D21" s="2"/>
      <c r="E21" s="23">
        <v>70</v>
      </c>
      <c r="F21" s="2">
        <f t="shared" si="0"/>
        <v>20</v>
      </c>
      <c r="G21" s="2"/>
    </row>
    <row r="22" spans="2:7" x14ac:dyDescent="0.25">
      <c r="B22" s="4">
        <v>45890</v>
      </c>
      <c r="C22" s="2" t="s">
        <v>5093</v>
      </c>
      <c r="D22" s="2"/>
      <c r="E22" s="23">
        <v>105</v>
      </c>
      <c r="F22" s="2">
        <f t="shared" si="0"/>
        <v>35</v>
      </c>
      <c r="G22" s="2"/>
    </row>
    <row r="23" spans="2:7" x14ac:dyDescent="0.25">
      <c r="B23" s="4">
        <v>45891</v>
      </c>
      <c r="C23" s="2" t="s">
        <v>5116</v>
      </c>
      <c r="D23" s="2"/>
      <c r="E23" s="23">
        <v>120</v>
      </c>
      <c r="F23" s="2">
        <f t="shared" si="0"/>
        <v>15</v>
      </c>
      <c r="G23" s="2"/>
    </row>
    <row r="24" spans="2:7" x14ac:dyDescent="0.25">
      <c r="B24" s="4">
        <v>45892</v>
      </c>
      <c r="C24" s="2" t="s">
        <v>5132</v>
      </c>
      <c r="D24" s="2"/>
      <c r="E24" s="23">
        <v>120</v>
      </c>
      <c r="F24" s="2">
        <f>E24-E23</f>
        <v>0</v>
      </c>
      <c r="G24" s="2"/>
    </row>
    <row r="25" spans="2:7" x14ac:dyDescent="0.25">
      <c r="B25" s="4">
        <v>45893</v>
      </c>
      <c r="C25" s="2"/>
      <c r="D25" s="2" t="s">
        <v>5136</v>
      </c>
      <c r="E25" s="23"/>
      <c r="F25" s="2">
        <f t="shared" si="0"/>
        <v>-120</v>
      </c>
      <c r="G25" s="2"/>
    </row>
    <row r="26" spans="2:7" x14ac:dyDescent="0.25">
      <c r="B26" s="4">
        <v>45894</v>
      </c>
      <c r="C26" s="2"/>
      <c r="D26" s="2"/>
      <c r="E26" s="23"/>
      <c r="F26" s="2">
        <f t="shared" si="0"/>
        <v>0</v>
      </c>
      <c r="G26" s="2"/>
    </row>
    <row r="27" spans="2:7" x14ac:dyDescent="0.25">
      <c r="B27" s="4">
        <v>45895</v>
      </c>
      <c r="C27" s="2"/>
      <c r="D27" s="2"/>
      <c r="E27" s="23"/>
      <c r="F27" s="2">
        <f t="shared" si="0"/>
        <v>0</v>
      </c>
      <c r="G27" s="2"/>
    </row>
    <row r="28" spans="2:7" x14ac:dyDescent="0.25">
      <c r="B28" s="4">
        <v>45896</v>
      </c>
      <c r="C28" s="2" t="s">
        <v>5169</v>
      </c>
      <c r="D28" s="2" t="s">
        <v>5170</v>
      </c>
      <c r="E28" s="23"/>
      <c r="F28" s="2">
        <f t="shared" si="0"/>
        <v>0</v>
      </c>
      <c r="G28" s="2"/>
    </row>
    <row r="29" spans="2:7" x14ac:dyDescent="0.25">
      <c r="B29" s="4">
        <v>45897</v>
      </c>
      <c r="C29" s="2"/>
      <c r="D29" s="2"/>
      <c r="E29" s="23"/>
      <c r="F29" s="2"/>
      <c r="G29" s="2"/>
    </row>
    <row r="30" spans="2:7" x14ac:dyDescent="0.25">
      <c r="B30" s="4">
        <v>45898</v>
      </c>
      <c r="C30" s="2" t="s">
        <v>5234</v>
      </c>
      <c r="D30" s="2"/>
      <c r="E30" s="2"/>
      <c r="F30" s="2"/>
      <c r="G30" s="2"/>
    </row>
    <row r="31" spans="2:7" x14ac:dyDescent="0.25">
      <c r="B31" s="4">
        <v>45899</v>
      </c>
      <c r="C31" s="2"/>
      <c r="D31" s="2"/>
      <c r="E31" s="2"/>
      <c r="F31" s="2"/>
      <c r="G31" s="2"/>
    </row>
    <row r="32" spans="2:7" x14ac:dyDescent="0.25">
      <c r="B32" s="4">
        <v>45900</v>
      </c>
      <c r="C32" s="2"/>
      <c r="D32" s="2"/>
      <c r="E32" s="2"/>
      <c r="F32" s="2"/>
      <c r="G32" s="2"/>
    </row>
    <row r="33" spans="2:7" x14ac:dyDescent="0.25">
      <c r="B33" s="4">
        <v>45901</v>
      </c>
      <c r="C33" s="2"/>
      <c r="D33" s="2"/>
      <c r="E33" s="2"/>
      <c r="F33" s="2"/>
      <c r="G33" s="2"/>
    </row>
    <row r="34" spans="2:7" x14ac:dyDescent="0.25">
      <c r="B34" s="4">
        <v>45902</v>
      </c>
      <c r="C34" s="2"/>
      <c r="D34" s="2"/>
      <c r="E34" s="2"/>
      <c r="F34" s="2"/>
      <c r="G34" s="2"/>
    </row>
    <row r="35" spans="2:7" x14ac:dyDescent="0.25">
      <c r="B35" s="4">
        <v>45903</v>
      </c>
      <c r="C35" s="2"/>
      <c r="D35" s="2"/>
      <c r="E35" s="2"/>
      <c r="F35" s="2"/>
      <c r="G35" s="2"/>
    </row>
    <row r="36" spans="2:7" x14ac:dyDescent="0.25">
      <c r="B36" s="4">
        <v>45904</v>
      </c>
      <c r="C36" s="2"/>
      <c r="D36" s="2"/>
      <c r="E36" s="2"/>
      <c r="F36" s="2"/>
      <c r="G36" s="2"/>
    </row>
    <row r="37" spans="2:7" x14ac:dyDescent="0.25">
      <c r="B37" s="4">
        <v>45905</v>
      </c>
      <c r="C37" s="2"/>
      <c r="D37" s="2"/>
      <c r="E37" s="2"/>
      <c r="F37" s="2"/>
      <c r="G37" s="2"/>
    </row>
    <row r="38" spans="2:7" x14ac:dyDescent="0.25">
      <c r="B38" s="4">
        <v>45906</v>
      </c>
      <c r="C38" s="2"/>
      <c r="D38" s="2"/>
      <c r="E38" s="2"/>
      <c r="F38" s="2"/>
      <c r="G38" s="2"/>
    </row>
    <row r="39" spans="2:7" x14ac:dyDescent="0.25">
      <c r="B39" s="4">
        <v>45907</v>
      </c>
      <c r="C39" s="2"/>
      <c r="D39" s="2"/>
      <c r="E39" s="2"/>
      <c r="F39" s="2"/>
      <c r="G39" s="2"/>
    </row>
    <row r="40" spans="2:7" x14ac:dyDescent="0.25">
      <c r="B40" s="4">
        <v>45908</v>
      </c>
      <c r="C40" s="2"/>
      <c r="D40" s="2"/>
      <c r="E40" s="2"/>
      <c r="F40" s="2"/>
      <c r="G40" s="2"/>
    </row>
    <row r="41" spans="2:7" x14ac:dyDescent="0.25">
      <c r="B41" s="4">
        <v>45909</v>
      </c>
      <c r="C41" s="2"/>
      <c r="D41" s="2"/>
      <c r="E41" s="2"/>
      <c r="F41" s="2"/>
      <c r="G41" s="2"/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B1:G43"/>
  <sheetViews>
    <sheetView workbookViewId="0">
      <pane ySplit="2" topLeftCell="A15" activePane="bottomLeft" state="frozen"/>
      <selection pane="bottomLeft" activeCell="C27" sqref="C27"/>
    </sheetView>
  </sheetViews>
  <sheetFormatPr defaultRowHeight="15" x14ac:dyDescent="0.25"/>
  <cols>
    <col min="2" max="2" width="18" bestFit="1" customWidth="1"/>
    <col min="3" max="3" width="72" bestFit="1" customWidth="1"/>
    <col min="4" max="4" width="42.140625" bestFit="1" customWidth="1"/>
    <col min="5" max="5" width="11.85546875" bestFit="1" customWidth="1"/>
    <col min="6" max="6" width="11.5703125" customWidth="1"/>
    <col min="7" max="7" width="11" bestFit="1" customWidth="1"/>
  </cols>
  <sheetData>
    <row r="1" spans="2:7" x14ac:dyDescent="0.25">
      <c r="B1" s="53" t="s">
        <v>4963</v>
      </c>
    </row>
    <row r="2" spans="2:7" ht="15.75" x14ac:dyDescent="0.25">
      <c r="B2" s="10" t="s">
        <v>0</v>
      </c>
      <c r="C2" s="11" t="s">
        <v>1</v>
      </c>
      <c r="D2" s="11" t="s">
        <v>2</v>
      </c>
      <c r="E2" s="11" t="s">
        <v>934</v>
      </c>
      <c r="F2" s="11" t="s">
        <v>1095</v>
      </c>
      <c r="G2" s="11" t="s">
        <v>1507</v>
      </c>
    </row>
    <row r="3" spans="2:7" x14ac:dyDescent="0.25">
      <c r="B3" s="4">
        <v>45883</v>
      </c>
      <c r="C3" s="2"/>
      <c r="D3" s="2" t="s">
        <v>5101</v>
      </c>
      <c r="E3" s="23"/>
      <c r="F3" s="2"/>
      <c r="G3" s="2"/>
    </row>
    <row r="4" spans="2:7" x14ac:dyDescent="0.25">
      <c r="B4" s="4">
        <v>45884</v>
      </c>
      <c r="C4" s="2" t="s">
        <v>5047</v>
      </c>
      <c r="D4" s="2"/>
      <c r="E4" s="23"/>
      <c r="F4" s="2"/>
      <c r="G4" s="2"/>
    </row>
    <row r="5" spans="2:7" x14ac:dyDescent="0.25">
      <c r="B5" s="4">
        <v>45885</v>
      </c>
      <c r="C5" s="2" t="s">
        <v>5048</v>
      </c>
      <c r="D5" s="2"/>
      <c r="E5" s="23"/>
      <c r="F5" s="2"/>
      <c r="G5" s="2"/>
    </row>
    <row r="6" spans="2:7" x14ac:dyDescent="0.25">
      <c r="B6" s="4">
        <v>45886</v>
      </c>
      <c r="C6" s="2" t="s">
        <v>5049</v>
      </c>
      <c r="D6" s="58"/>
      <c r="E6" s="23"/>
      <c r="F6" s="2"/>
      <c r="G6" s="2"/>
    </row>
    <row r="7" spans="2:7" x14ac:dyDescent="0.25">
      <c r="B7" s="4">
        <v>45887</v>
      </c>
      <c r="C7" s="2" t="s">
        <v>5056</v>
      </c>
      <c r="D7" s="58"/>
      <c r="E7" s="23"/>
      <c r="F7" s="2"/>
      <c r="G7" s="2"/>
    </row>
    <row r="8" spans="2:7" x14ac:dyDescent="0.25">
      <c r="B8" s="4">
        <v>45888</v>
      </c>
      <c r="C8" s="2" t="s">
        <v>5070</v>
      </c>
      <c r="D8" s="58"/>
      <c r="E8" s="23">
        <v>30</v>
      </c>
      <c r="F8" s="2">
        <f>E8-F7</f>
        <v>30</v>
      </c>
      <c r="G8" s="2"/>
    </row>
    <row r="9" spans="2:7" x14ac:dyDescent="0.25">
      <c r="B9" s="4">
        <v>45889</v>
      </c>
      <c r="C9" s="2" t="s">
        <v>5086</v>
      </c>
      <c r="D9" s="2"/>
      <c r="E9" s="23">
        <v>68</v>
      </c>
      <c r="F9" s="2">
        <f t="shared" ref="F9" si="0">E9-F8</f>
        <v>38</v>
      </c>
      <c r="G9" s="2"/>
    </row>
    <row r="10" spans="2:7" x14ac:dyDescent="0.25">
      <c r="B10" s="4">
        <v>45890</v>
      </c>
      <c r="C10" s="2" t="s">
        <v>5099</v>
      </c>
      <c r="D10" s="2"/>
      <c r="E10" s="23">
        <v>84.98</v>
      </c>
      <c r="F10" s="2">
        <f>E10-E9</f>
        <v>16.980000000000004</v>
      </c>
      <c r="G10" s="2"/>
    </row>
    <row r="11" spans="2:7" x14ac:dyDescent="0.25">
      <c r="B11" s="4">
        <v>45891</v>
      </c>
      <c r="C11" s="2" t="s">
        <v>5117</v>
      </c>
      <c r="D11" s="2"/>
      <c r="E11" s="23">
        <v>107.05</v>
      </c>
      <c r="F11" s="2">
        <f t="shared" ref="F11:F25" si="1">E11-E10</f>
        <v>22.069999999999993</v>
      </c>
      <c r="G11" s="2"/>
    </row>
    <row r="12" spans="2:7" x14ac:dyDescent="0.25">
      <c r="B12" s="4">
        <v>45892</v>
      </c>
      <c r="C12" s="2" t="s">
        <v>5134</v>
      </c>
      <c r="D12" s="2"/>
      <c r="E12" s="23">
        <v>118</v>
      </c>
      <c r="F12" s="2">
        <f t="shared" si="1"/>
        <v>10.950000000000003</v>
      </c>
      <c r="G12" s="2"/>
    </row>
    <row r="13" spans="2:7" x14ac:dyDescent="0.25">
      <c r="B13" s="4">
        <v>45893</v>
      </c>
      <c r="C13" s="2" t="s">
        <v>5144</v>
      </c>
      <c r="D13" s="2" t="s">
        <v>5137</v>
      </c>
      <c r="E13" s="23"/>
      <c r="F13" s="2">
        <f t="shared" si="1"/>
        <v>-118</v>
      </c>
      <c r="G13" s="2"/>
    </row>
    <row r="14" spans="2:7" x14ac:dyDescent="0.25">
      <c r="B14" s="4">
        <v>45894</v>
      </c>
      <c r="C14" s="2" t="s">
        <v>5154</v>
      </c>
      <c r="D14" s="2"/>
      <c r="E14" s="23">
        <v>66</v>
      </c>
      <c r="F14" s="2">
        <f t="shared" si="1"/>
        <v>66</v>
      </c>
      <c r="G14" s="2"/>
    </row>
    <row r="15" spans="2:7" x14ac:dyDescent="0.25">
      <c r="B15" s="4">
        <v>45895</v>
      </c>
      <c r="C15" s="2" t="s">
        <v>5166</v>
      </c>
      <c r="D15" s="2"/>
      <c r="E15" s="23">
        <v>78</v>
      </c>
      <c r="F15" s="2">
        <f t="shared" si="1"/>
        <v>12</v>
      </c>
      <c r="G15" s="2"/>
    </row>
    <row r="16" spans="2:7" x14ac:dyDescent="0.25">
      <c r="B16" s="4">
        <v>45896</v>
      </c>
      <c r="C16" s="2" t="s">
        <v>5179</v>
      </c>
      <c r="D16" s="2"/>
      <c r="E16" s="23">
        <v>84</v>
      </c>
      <c r="F16" s="2">
        <f t="shared" si="1"/>
        <v>6</v>
      </c>
      <c r="G16" s="2"/>
    </row>
    <row r="17" spans="2:7" x14ac:dyDescent="0.25">
      <c r="B17" s="4">
        <v>45897</v>
      </c>
      <c r="C17" s="2" t="s">
        <v>5195</v>
      </c>
      <c r="D17" s="2"/>
      <c r="E17" s="23">
        <v>102</v>
      </c>
      <c r="F17" s="2">
        <f t="shared" si="1"/>
        <v>18</v>
      </c>
      <c r="G17" s="2"/>
    </row>
    <row r="18" spans="2:7" x14ac:dyDescent="0.25">
      <c r="B18" s="4">
        <v>45898</v>
      </c>
      <c r="C18" s="2" t="s">
        <v>5212</v>
      </c>
      <c r="D18" s="2" t="s">
        <v>5213</v>
      </c>
      <c r="E18" s="23">
        <v>120</v>
      </c>
      <c r="F18" s="2">
        <f t="shared" si="1"/>
        <v>18</v>
      </c>
      <c r="G18" s="2"/>
    </row>
    <row r="19" spans="2:7" x14ac:dyDescent="0.25">
      <c r="B19" s="4">
        <v>45899</v>
      </c>
      <c r="C19" s="2" t="s">
        <v>1178</v>
      </c>
      <c r="D19" s="2"/>
      <c r="E19" s="23"/>
      <c r="F19" s="2">
        <f t="shared" si="1"/>
        <v>-120</v>
      </c>
      <c r="G19" s="2"/>
    </row>
    <row r="20" spans="2:7" x14ac:dyDescent="0.25">
      <c r="B20" s="4">
        <v>45900</v>
      </c>
      <c r="C20" s="2" t="s">
        <v>5217</v>
      </c>
      <c r="D20" s="2"/>
      <c r="E20" s="23"/>
      <c r="F20" s="2">
        <f t="shared" si="1"/>
        <v>0</v>
      </c>
      <c r="G20" s="2"/>
    </row>
    <row r="21" spans="2:7" x14ac:dyDescent="0.25">
      <c r="B21" s="4">
        <v>45901</v>
      </c>
      <c r="C21" s="2" t="s">
        <v>5259</v>
      </c>
      <c r="D21" s="2" t="s">
        <v>5260</v>
      </c>
      <c r="E21" s="23"/>
      <c r="F21" s="2">
        <f t="shared" si="1"/>
        <v>0</v>
      </c>
      <c r="G21" s="2"/>
    </row>
    <row r="22" spans="2:7" x14ac:dyDescent="0.25">
      <c r="B22" s="4">
        <v>45902</v>
      </c>
      <c r="C22" s="2" t="s">
        <v>5259</v>
      </c>
      <c r="D22" s="2"/>
      <c r="E22" s="23"/>
      <c r="F22" s="2">
        <f t="shared" si="1"/>
        <v>0</v>
      </c>
      <c r="G22" s="2"/>
    </row>
    <row r="23" spans="2:7" x14ac:dyDescent="0.25">
      <c r="B23" s="4">
        <v>45903</v>
      </c>
      <c r="C23" s="2" t="s">
        <v>5267</v>
      </c>
      <c r="D23" s="2"/>
      <c r="E23" s="23"/>
      <c r="F23" s="2">
        <f t="shared" si="1"/>
        <v>0</v>
      </c>
      <c r="G23" s="2"/>
    </row>
    <row r="24" spans="2:7" x14ac:dyDescent="0.25">
      <c r="B24" s="4">
        <v>45904</v>
      </c>
      <c r="C24" s="2" t="s">
        <v>5271</v>
      </c>
      <c r="D24" s="2"/>
      <c r="E24" s="23"/>
      <c r="F24" s="2">
        <f t="shared" si="1"/>
        <v>0</v>
      </c>
      <c r="G24" s="2"/>
    </row>
    <row r="25" spans="2:7" x14ac:dyDescent="0.25">
      <c r="B25" s="4">
        <v>45905</v>
      </c>
      <c r="C25" s="2" t="s">
        <v>5278</v>
      </c>
      <c r="D25" s="2" t="s">
        <v>4729</v>
      </c>
      <c r="E25" s="23"/>
      <c r="F25" s="2">
        <f t="shared" si="1"/>
        <v>0</v>
      </c>
      <c r="G25" s="2"/>
    </row>
    <row r="26" spans="2:7" x14ac:dyDescent="0.25">
      <c r="B26" s="4">
        <v>45906</v>
      </c>
      <c r="C26" s="2" t="s">
        <v>3862</v>
      </c>
      <c r="D26" s="2" t="s">
        <v>5291</v>
      </c>
      <c r="E26" s="2"/>
      <c r="F26" s="2"/>
      <c r="G26" s="2"/>
    </row>
    <row r="27" spans="2:7" x14ac:dyDescent="0.25">
      <c r="B27" s="4">
        <v>45907</v>
      </c>
      <c r="C27" s="2"/>
      <c r="D27" s="2"/>
      <c r="E27" s="2"/>
      <c r="F27" s="2"/>
      <c r="G27" s="2"/>
    </row>
    <row r="28" spans="2:7" x14ac:dyDescent="0.25">
      <c r="B28" s="4">
        <v>45908</v>
      </c>
      <c r="C28" s="2"/>
      <c r="D28" s="2"/>
      <c r="E28" s="2"/>
      <c r="F28" s="2"/>
      <c r="G28" s="2"/>
    </row>
    <row r="29" spans="2:7" x14ac:dyDescent="0.25">
      <c r="B29" s="4">
        <v>45909</v>
      </c>
      <c r="C29" s="2"/>
      <c r="D29" s="2"/>
      <c r="E29" s="2"/>
      <c r="F29" s="2"/>
      <c r="G29" s="2"/>
    </row>
    <row r="30" spans="2:7" x14ac:dyDescent="0.25">
      <c r="B30" s="4">
        <v>45910</v>
      </c>
      <c r="C30" s="2"/>
      <c r="D30" s="2"/>
      <c r="E30" s="2"/>
      <c r="F30" s="2"/>
      <c r="G30" s="2"/>
    </row>
    <row r="31" spans="2:7" x14ac:dyDescent="0.25">
      <c r="B31" s="4">
        <v>45911</v>
      </c>
      <c r="C31" s="2"/>
      <c r="D31" s="2"/>
      <c r="E31" s="2"/>
      <c r="F31" s="2"/>
      <c r="G31" s="2"/>
    </row>
    <row r="32" spans="2:7" x14ac:dyDescent="0.25">
      <c r="B32" s="4">
        <v>45912</v>
      </c>
      <c r="C32" s="2"/>
      <c r="D32" s="2"/>
      <c r="E32" s="2"/>
      <c r="F32" s="2"/>
      <c r="G32" s="2"/>
    </row>
    <row r="33" spans="2:7" x14ac:dyDescent="0.25">
      <c r="B33" s="4">
        <v>45913</v>
      </c>
      <c r="C33" s="2"/>
      <c r="D33" s="2"/>
      <c r="E33" s="2"/>
      <c r="F33" s="2"/>
      <c r="G33" s="2"/>
    </row>
    <row r="34" spans="2:7" x14ac:dyDescent="0.25">
      <c r="B34" s="4">
        <v>45914</v>
      </c>
      <c r="C34" s="2"/>
      <c r="D34" s="2"/>
      <c r="E34" s="2"/>
      <c r="F34" s="2"/>
      <c r="G34" s="2"/>
    </row>
    <row r="35" spans="2:7" x14ac:dyDescent="0.25">
      <c r="B35" s="4">
        <v>45915</v>
      </c>
      <c r="C35" s="2"/>
      <c r="D35" s="2"/>
      <c r="E35" s="2"/>
      <c r="F35" s="2"/>
      <c r="G35" s="2"/>
    </row>
    <row r="36" spans="2:7" x14ac:dyDescent="0.25">
      <c r="B36" s="4">
        <v>45916</v>
      </c>
      <c r="C36" s="2"/>
      <c r="D36" s="2"/>
      <c r="E36" s="2"/>
      <c r="F36" s="2"/>
      <c r="G36" s="2"/>
    </row>
    <row r="37" spans="2:7" x14ac:dyDescent="0.25">
      <c r="B37" s="4">
        <v>45917</v>
      </c>
      <c r="C37" s="2"/>
      <c r="D37" s="2"/>
      <c r="E37" s="2"/>
      <c r="F37" s="2"/>
      <c r="G37" s="2"/>
    </row>
    <row r="38" spans="2:7" x14ac:dyDescent="0.25">
      <c r="B38" s="4">
        <v>45918</v>
      </c>
      <c r="C38" s="2"/>
      <c r="D38" s="2"/>
      <c r="E38" s="2"/>
      <c r="F38" s="2"/>
      <c r="G38" s="2"/>
    </row>
    <row r="39" spans="2:7" x14ac:dyDescent="0.25">
      <c r="B39" s="4">
        <v>45919</v>
      </c>
      <c r="C39" s="2"/>
      <c r="D39" s="2"/>
      <c r="E39" s="2"/>
      <c r="F39" s="2"/>
      <c r="G39" s="2"/>
    </row>
    <row r="40" spans="2:7" x14ac:dyDescent="0.25">
      <c r="B40" s="4">
        <v>45920</v>
      </c>
      <c r="C40" s="2"/>
      <c r="D40" s="2"/>
      <c r="E40" s="2"/>
      <c r="F40" s="2"/>
      <c r="G40" s="2"/>
    </row>
    <row r="41" spans="2:7" x14ac:dyDescent="0.25">
      <c r="B41" s="4">
        <v>45921</v>
      </c>
      <c r="C41" s="2"/>
      <c r="D41" s="2"/>
      <c r="E41" s="2"/>
      <c r="F41" s="2"/>
      <c r="G41" s="2"/>
    </row>
    <row r="42" spans="2:7" x14ac:dyDescent="0.25">
      <c r="B42" s="4">
        <v>45922</v>
      </c>
      <c r="C42" s="2"/>
      <c r="D42" s="2"/>
      <c r="E42" s="2"/>
      <c r="F42" s="2"/>
      <c r="G42" s="2"/>
    </row>
    <row r="43" spans="2:7" x14ac:dyDescent="0.25">
      <c r="B43" s="4">
        <v>45923</v>
      </c>
      <c r="C43" s="2"/>
      <c r="D43" s="2"/>
      <c r="E43" s="2"/>
      <c r="F43" s="2"/>
      <c r="G43" s="2"/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B1:G36"/>
  <sheetViews>
    <sheetView workbookViewId="0">
      <pane ySplit="2" topLeftCell="A9" activePane="bottomLeft" state="frozen"/>
      <selection pane="bottomLeft" activeCell="C20" sqref="C20"/>
    </sheetView>
  </sheetViews>
  <sheetFormatPr defaultRowHeight="15" x14ac:dyDescent="0.25"/>
  <cols>
    <col min="2" max="2" width="18" bestFit="1" customWidth="1"/>
    <col min="3" max="3" width="72" bestFit="1" customWidth="1"/>
    <col min="4" max="4" width="42.140625" bestFit="1" customWidth="1"/>
    <col min="5" max="5" width="11.85546875" bestFit="1" customWidth="1"/>
    <col min="6" max="6" width="11.5703125" customWidth="1"/>
    <col min="7" max="7" width="11" bestFit="1" customWidth="1"/>
  </cols>
  <sheetData>
    <row r="1" spans="2:7" x14ac:dyDescent="0.25">
      <c r="B1" s="53" t="s">
        <v>3913</v>
      </c>
    </row>
    <row r="2" spans="2:7" ht="15.75" x14ac:dyDescent="0.25">
      <c r="B2" s="10" t="s">
        <v>0</v>
      </c>
      <c r="C2" s="11" t="s">
        <v>1</v>
      </c>
      <c r="D2" s="11" t="s">
        <v>2</v>
      </c>
      <c r="E2" s="11" t="s">
        <v>934</v>
      </c>
      <c r="F2" s="11" t="s">
        <v>1095</v>
      </c>
      <c r="G2" s="11" t="s">
        <v>1507</v>
      </c>
    </row>
    <row r="3" spans="2:7" ht="15.75" x14ac:dyDescent="0.25">
      <c r="B3" s="10"/>
      <c r="C3" s="11"/>
      <c r="D3" s="11" t="s">
        <v>5101</v>
      </c>
      <c r="E3" s="11"/>
      <c r="F3" s="11"/>
      <c r="G3" s="11"/>
    </row>
    <row r="4" spans="2:7" x14ac:dyDescent="0.25">
      <c r="B4" s="4">
        <v>45890</v>
      </c>
      <c r="C4" s="2" t="s">
        <v>5087</v>
      </c>
      <c r="D4" s="2"/>
      <c r="E4" s="23"/>
      <c r="F4" s="2"/>
      <c r="G4" s="2"/>
    </row>
    <row r="5" spans="2:7" x14ac:dyDescent="0.25">
      <c r="B5" s="4">
        <v>45891</v>
      </c>
      <c r="C5" s="2" t="s">
        <v>5110</v>
      </c>
      <c r="D5" s="2" t="s">
        <v>5119</v>
      </c>
      <c r="E5" s="23"/>
      <c r="F5" s="2"/>
      <c r="G5" s="2"/>
    </row>
    <row r="6" spans="2:7" x14ac:dyDescent="0.25">
      <c r="B6" s="4">
        <v>45892</v>
      </c>
      <c r="C6" s="2" t="s">
        <v>5138</v>
      </c>
      <c r="D6" s="2"/>
      <c r="E6" s="23"/>
      <c r="F6" s="2"/>
      <c r="G6" s="2"/>
    </row>
    <row r="7" spans="2:7" x14ac:dyDescent="0.25">
      <c r="B7" s="4">
        <v>45893</v>
      </c>
      <c r="C7" s="2" t="s">
        <v>5155</v>
      </c>
      <c r="D7" s="58" t="s">
        <v>5143</v>
      </c>
      <c r="E7" s="23"/>
      <c r="F7" s="2"/>
      <c r="G7" s="2"/>
    </row>
    <row r="8" spans="2:7" x14ac:dyDescent="0.25">
      <c r="B8" s="4">
        <v>45894</v>
      </c>
      <c r="C8" s="2" t="s">
        <v>5167</v>
      </c>
      <c r="D8" s="58"/>
      <c r="E8" s="23">
        <v>36</v>
      </c>
      <c r="F8" s="2">
        <f>E8-F7</f>
        <v>36</v>
      </c>
      <c r="G8" s="2"/>
    </row>
    <row r="9" spans="2:7" x14ac:dyDescent="0.25">
      <c r="B9" s="4">
        <v>45895</v>
      </c>
      <c r="C9" s="2" t="s">
        <v>5168</v>
      </c>
      <c r="D9" s="58"/>
      <c r="E9" s="23">
        <v>52</v>
      </c>
      <c r="F9" s="2">
        <f>E9-F8</f>
        <v>16</v>
      </c>
      <c r="G9" s="2"/>
    </row>
    <row r="10" spans="2:7" x14ac:dyDescent="0.25">
      <c r="B10" s="4">
        <v>45896</v>
      </c>
      <c r="C10" s="2" t="s">
        <v>5181</v>
      </c>
      <c r="D10" s="2" t="s">
        <v>5180</v>
      </c>
      <c r="E10" s="23">
        <v>87</v>
      </c>
      <c r="F10" s="2">
        <f>E10-E9</f>
        <v>35</v>
      </c>
      <c r="G10" s="2"/>
    </row>
    <row r="11" spans="2:7" x14ac:dyDescent="0.25">
      <c r="B11" s="4">
        <v>45897</v>
      </c>
      <c r="C11" s="2" t="s">
        <v>5181</v>
      </c>
      <c r="D11" s="2" t="s">
        <v>1919</v>
      </c>
      <c r="E11" s="23">
        <v>87</v>
      </c>
      <c r="F11" s="2">
        <f>E11-E10</f>
        <v>0</v>
      </c>
      <c r="G11" s="2"/>
    </row>
    <row r="12" spans="2:7" x14ac:dyDescent="0.25">
      <c r="B12" s="4">
        <v>45898</v>
      </c>
      <c r="C12" s="2" t="s">
        <v>5203</v>
      </c>
      <c r="D12" s="2"/>
      <c r="E12" s="23">
        <v>100</v>
      </c>
      <c r="F12" s="2">
        <f>E12-E11</f>
        <v>13</v>
      </c>
      <c r="G12" s="2"/>
    </row>
    <row r="13" spans="2:7" x14ac:dyDescent="0.25">
      <c r="B13" s="4">
        <v>45899</v>
      </c>
      <c r="C13" s="2" t="s">
        <v>5230</v>
      </c>
      <c r="D13" s="2"/>
      <c r="E13" s="23">
        <v>86</v>
      </c>
      <c r="F13" s="2">
        <v>86</v>
      </c>
      <c r="G13" s="2"/>
    </row>
    <row r="14" spans="2:7" x14ac:dyDescent="0.25">
      <c r="B14" s="4">
        <v>45900</v>
      </c>
      <c r="C14" s="2" t="s">
        <v>5229</v>
      </c>
      <c r="D14" s="2"/>
      <c r="E14" s="23">
        <v>95</v>
      </c>
      <c r="F14" s="2">
        <f t="shared" ref="F14:F17" si="0">E14-E13</f>
        <v>9</v>
      </c>
      <c r="G14" s="2"/>
    </row>
    <row r="15" spans="2:7" x14ac:dyDescent="0.25">
      <c r="B15" s="4">
        <v>45901</v>
      </c>
      <c r="C15" s="2" t="s">
        <v>5246</v>
      </c>
      <c r="D15" s="2" t="s">
        <v>5253</v>
      </c>
      <c r="E15" s="23"/>
      <c r="F15" s="2">
        <f t="shared" si="0"/>
        <v>-95</v>
      </c>
      <c r="G15" s="2"/>
    </row>
    <row r="16" spans="2:7" x14ac:dyDescent="0.25">
      <c r="B16" s="4">
        <v>45902</v>
      </c>
      <c r="C16" s="2" t="s">
        <v>5261</v>
      </c>
      <c r="D16" s="2"/>
      <c r="E16" s="23"/>
      <c r="F16" s="2">
        <f t="shared" si="0"/>
        <v>0</v>
      </c>
      <c r="G16" s="2"/>
    </row>
    <row r="17" spans="2:7" x14ac:dyDescent="0.25">
      <c r="B17" s="4">
        <v>45903</v>
      </c>
      <c r="C17" s="2" t="s">
        <v>2355</v>
      </c>
      <c r="D17" s="2"/>
      <c r="E17" s="23"/>
      <c r="F17" s="2">
        <f t="shared" si="0"/>
        <v>0</v>
      </c>
      <c r="G17" s="2"/>
    </row>
    <row r="18" spans="2:7" x14ac:dyDescent="0.25">
      <c r="B18" s="4">
        <v>45904</v>
      </c>
      <c r="C18" s="2" t="s">
        <v>3565</v>
      </c>
      <c r="D18" s="2"/>
      <c r="E18" s="2"/>
      <c r="F18" s="2"/>
      <c r="G18" s="2"/>
    </row>
    <row r="19" spans="2:7" x14ac:dyDescent="0.25">
      <c r="B19" s="4">
        <v>45905</v>
      </c>
      <c r="C19" s="2" t="s">
        <v>5276</v>
      </c>
      <c r="D19" s="2"/>
      <c r="E19" s="2"/>
      <c r="F19" s="2"/>
      <c r="G19" s="2"/>
    </row>
    <row r="20" spans="2:7" x14ac:dyDescent="0.25">
      <c r="B20" s="4">
        <v>45906</v>
      </c>
      <c r="C20" s="2"/>
      <c r="D20" s="2"/>
      <c r="E20" s="2"/>
      <c r="F20" s="2"/>
      <c r="G20" s="2"/>
    </row>
    <row r="21" spans="2:7" x14ac:dyDescent="0.25">
      <c r="B21" s="4">
        <v>45907</v>
      </c>
      <c r="C21" s="2"/>
      <c r="D21" s="2"/>
      <c r="E21" s="2"/>
      <c r="F21" s="2"/>
      <c r="G21" s="2"/>
    </row>
    <row r="22" spans="2:7" x14ac:dyDescent="0.25">
      <c r="B22" s="4">
        <v>45908</v>
      </c>
      <c r="C22" s="2"/>
      <c r="D22" s="2"/>
      <c r="E22" s="2"/>
      <c r="F22" s="2"/>
      <c r="G22" s="2"/>
    </row>
    <row r="23" spans="2:7" x14ac:dyDescent="0.25">
      <c r="B23" s="4">
        <v>45909</v>
      </c>
      <c r="C23" s="2"/>
      <c r="D23" s="2"/>
      <c r="E23" s="2"/>
      <c r="F23" s="2"/>
      <c r="G23" s="2"/>
    </row>
    <row r="24" spans="2:7" x14ac:dyDescent="0.25">
      <c r="B24" s="4">
        <v>45910</v>
      </c>
      <c r="C24" s="2"/>
      <c r="D24" s="2"/>
      <c r="E24" s="2"/>
      <c r="F24" s="2"/>
      <c r="G24" s="2"/>
    </row>
    <row r="25" spans="2:7" x14ac:dyDescent="0.25">
      <c r="B25" s="4">
        <v>45911</v>
      </c>
      <c r="C25" s="2"/>
      <c r="D25" s="2"/>
      <c r="E25" s="2"/>
      <c r="F25" s="2"/>
      <c r="G25" s="2"/>
    </row>
    <row r="26" spans="2:7" x14ac:dyDescent="0.25">
      <c r="B26" s="4">
        <v>45912</v>
      </c>
      <c r="C26" s="2"/>
      <c r="D26" s="2"/>
      <c r="E26" s="2"/>
      <c r="F26" s="2"/>
      <c r="G26" s="2"/>
    </row>
    <row r="27" spans="2:7" x14ac:dyDescent="0.25">
      <c r="B27" s="4">
        <v>45913</v>
      </c>
      <c r="C27" s="2"/>
      <c r="D27" s="2"/>
      <c r="E27" s="2"/>
      <c r="F27" s="2"/>
      <c r="G27" s="2"/>
    </row>
    <row r="28" spans="2:7" x14ac:dyDescent="0.25">
      <c r="B28" s="4">
        <v>45914</v>
      </c>
      <c r="C28" s="2"/>
      <c r="D28" s="2"/>
      <c r="E28" s="2"/>
      <c r="F28" s="2"/>
      <c r="G28" s="2"/>
    </row>
    <row r="29" spans="2:7" x14ac:dyDescent="0.25">
      <c r="B29" s="4">
        <v>45915</v>
      </c>
      <c r="C29" s="2"/>
      <c r="D29" s="2"/>
      <c r="E29" s="2"/>
      <c r="F29" s="2"/>
      <c r="G29" s="2"/>
    </row>
    <row r="30" spans="2:7" x14ac:dyDescent="0.25">
      <c r="B30" s="4">
        <v>45916</v>
      </c>
      <c r="C30" s="2"/>
      <c r="D30" s="2"/>
      <c r="E30" s="2"/>
      <c r="F30" s="2"/>
      <c r="G30" s="2"/>
    </row>
    <row r="31" spans="2:7" x14ac:dyDescent="0.25">
      <c r="B31" s="4">
        <v>45917</v>
      </c>
      <c r="C31" s="2"/>
      <c r="D31" s="2"/>
      <c r="E31" s="2"/>
      <c r="F31" s="2"/>
      <c r="G31" s="2"/>
    </row>
    <row r="32" spans="2:7" x14ac:dyDescent="0.25">
      <c r="B32" s="4">
        <v>45918</v>
      </c>
      <c r="C32" s="2"/>
      <c r="D32" s="2"/>
      <c r="E32" s="2"/>
      <c r="F32" s="2"/>
      <c r="G32" s="2"/>
    </row>
    <row r="33" spans="2:7" x14ac:dyDescent="0.25">
      <c r="B33" s="4">
        <v>45919</v>
      </c>
      <c r="C33" s="2"/>
      <c r="D33" s="2"/>
      <c r="E33" s="2"/>
      <c r="F33" s="2"/>
      <c r="G33" s="2"/>
    </row>
    <row r="34" spans="2:7" x14ac:dyDescent="0.25">
      <c r="B34" s="4">
        <v>45920</v>
      </c>
      <c r="C34" s="2"/>
      <c r="D34" s="2"/>
      <c r="E34" s="2"/>
      <c r="F34" s="2"/>
      <c r="G34" s="2"/>
    </row>
    <row r="35" spans="2:7" x14ac:dyDescent="0.25">
      <c r="B35" s="4">
        <v>45921</v>
      </c>
      <c r="C35" s="2"/>
      <c r="D35" s="2"/>
      <c r="E35" s="2"/>
      <c r="F35" s="2"/>
      <c r="G35" s="2"/>
    </row>
    <row r="36" spans="2:7" x14ac:dyDescent="0.25">
      <c r="B36" s="4">
        <v>45922</v>
      </c>
      <c r="C36" s="2"/>
      <c r="D36" s="2"/>
      <c r="E36" s="2"/>
      <c r="F36" s="2"/>
      <c r="G36" s="2"/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B1:G36"/>
  <sheetViews>
    <sheetView workbookViewId="0">
      <pane ySplit="2" topLeftCell="A3" activePane="bottomLeft" state="frozen"/>
      <selection pane="bottomLeft" activeCell="C19" sqref="C19"/>
    </sheetView>
  </sheetViews>
  <sheetFormatPr defaultRowHeight="15" x14ac:dyDescent="0.25"/>
  <cols>
    <col min="2" max="2" width="18" bestFit="1" customWidth="1"/>
    <col min="3" max="3" width="72" bestFit="1" customWidth="1"/>
    <col min="4" max="4" width="42.140625" bestFit="1" customWidth="1"/>
    <col min="5" max="5" width="11.85546875" bestFit="1" customWidth="1"/>
    <col min="6" max="6" width="8.7109375" customWidth="1"/>
    <col min="7" max="7" width="11" bestFit="1" customWidth="1"/>
  </cols>
  <sheetData>
    <row r="1" spans="2:7" x14ac:dyDescent="0.25">
      <c r="B1" s="53" t="s">
        <v>954</v>
      </c>
    </row>
    <row r="2" spans="2:7" ht="15.75" x14ac:dyDescent="0.25">
      <c r="B2" s="10" t="s">
        <v>0</v>
      </c>
      <c r="C2" s="11" t="s">
        <v>1</v>
      </c>
      <c r="D2" s="11" t="s">
        <v>2</v>
      </c>
      <c r="E2" s="11" t="s">
        <v>934</v>
      </c>
      <c r="F2" s="11" t="s">
        <v>1095</v>
      </c>
      <c r="G2" s="11" t="s">
        <v>1507</v>
      </c>
    </row>
    <row r="3" spans="2:7" x14ac:dyDescent="0.25">
      <c r="B3" s="4">
        <v>45897</v>
      </c>
      <c r="C3" s="2" t="s">
        <v>5186</v>
      </c>
      <c r="D3" s="2"/>
      <c r="E3" s="23"/>
      <c r="F3" s="2"/>
      <c r="G3" s="2"/>
    </row>
    <row r="4" spans="2:7" x14ac:dyDescent="0.25">
      <c r="B4" s="4">
        <v>45898</v>
      </c>
      <c r="C4" s="2" t="s">
        <v>5211</v>
      </c>
      <c r="D4" s="2"/>
      <c r="E4" s="23">
        <v>23</v>
      </c>
      <c r="F4" s="2">
        <f>E4-E3</f>
        <v>23</v>
      </c>
      <c r="G4" s="2"/>
    </row>
    <row r="5" spans="2:7" x14ac:dyDescent="0.25">
      <c r="B5" s="4">
        <v>45899</v>
      </c>
      <c r="C5" s="2" t="s">
        <v>5228</v>
      </c>
      <c r="D5" s="2"/>
      <c r="E5" s="23">
        <v>45</v>
      </c>
      <c r="F5" s="2">
        <f t="shared" ref="F5:F15" si="0">E5-E4</f>
        <v>22</v>
      </c>
      <c r="G5" s="2"/>
    </row>
    <row r="6" spans="2:7" x14ac:dyDescent="0.25">
      <c r="B6" s="4">
        <v>45900</v>
      </c>
      <c r="C6" s="2" t="s">
        <v>5247</v>
      </c>
      <c r="D6" s="58"/>
      <c r="E6" s="23">
        <v>45</v>
      </c>
      <c r="F6" s="2">
        <f t="shared" si="0"/>
        <v>0</v>
      </c>
      <c r="G6" s="2"/>
    </row>
    <row r="7" spans="2:7" x14ac:dyDescent="0.25">
      <c r="B7" s="4">
        <v>45901</v>
      </c>
      <c r="C7" s="2" t="s">
        <v>2269</v>
      </c>
      <c r="D7" s="58"/>
      <c r="E7" s="23">
        <v>45</v>
      </c>
      <c r="F7" s="2">
        <f t="shared" si="0"/>
        <v>0</v>
      </c>
      <c r="G7" s="2"/>
    </row>
    <row r="8" spans="2:7" x14ac:dyDescent="0.25">
      <c r="B8" s="4">
        <v>45902</v>
      </c>
      <c r="C8" s="2" t="s">
        <v>5255</v>
      </c>
      <c r="D8" s="58"/>
      <c r="E8" s="23">
        <v>45</v>
      </c>
      <c r="F8" s="2">
        <f t="shared" si="0"/>
        <v>0</v>
      </c>
      <c r="G8" s="2"/>
    </row>
    <row r="9" spans="2:7" x14ac:dyDescent="0.25">
      <c r="B9" s="4">
        <v>45903</v>
      </c>
      <c r="C9" s="2" t="s">
        <v>1787</v>
      </c>
      <c r="D9" s="2"/>
      <c r="E9" s="23">
        <v>103</v>
      </c>
      <c r="F9" s="2">
        <f t="shared" si="0"/>
        <v>58</v>
      </c>
      <c r="G9" s="2"/>
    </row>
    <row r="10" spans="2:7" x14ac:dyDescent="0.25">
      <c r="B10" s="4">
        <v>45904</v>
      </c>
      <c r="C10" s="2" t="s">
        <v>5270</v>
      </c>
      <c r="D10" s="2"/>
      <c r="E10" s="23">
        <v>110</v>
      </c>
      <c r="F10" s="2">
        <f t="shared" si="0"/>
        <v>7</v>
      </c>
      <c r="G10" s="2"/>
    </row>
    <row r="11" spans="2:7" x14ac:dyDescent="0.25">
      <c r="B11" s="4">
        <v>45905</v>
      </c>
      <c r="C11" s="2" t="s">
        <v>5277</v>
      </c>
      <c r="D11" s="2"/>
      <c r="E11" s="23"/>
      <c r="F11" s="2">
        <f t="shared" si="0"/>
        <v>-110</v>
      </c>
      <c r="G11" s="2"/>
    </row>
    <row r="12" spans="2:7" x14ac:dyDescent="0.25">
      <c r="B12" s="4">
        <v>45906</v>
      </c>
      <c r="C12" s="2" t="s">
        <v>480</v>
      </c>
      <c r="D12" s="2"/>
      <c r="E12" s="23"/>
      <c r="F12" s="2">
        <f t="shared" si="0"/>
        <v>0</v>
      </c>
      <c r="G12" s="2"/>
    </row>
    <row r="13" spans="2:7" x14ac:dyDescent="0.25">
      <c r="B13" s="4">
        <v>45907</v>
      </c>
      <c r="C13" s="2" t="s">
        <v>5322</v>
      </c>
      <c r="D13" s="2" t="s">
        <v>5313</v>
      </c>
      <c r="E13" s="23"/>
      <c r="F13" s="2">
        <f t="shared" si="0"/>
        <v>0</v>
      </c>
      <c r="G13" s="2"/>
    </row>
    <row r="14" spans="2:7" x14ac:dyDescent="0.25">
      <c r="B14" s="4">
        <v>45908</v>
      </c>
      <c r="C14" s="2" t="s">
        <v>5316</v>
      </c>
      <c r="D14" s="2"/>
      <c r="E14" s="23"/>
      <c r="F14" s="2">
        <f t="shared" si="0"/>
        <v>0</v>
      </c>
      <c r="G14" s="2"/>
    </row>
    <row r="15" spans="2:7" x14ac:dyDescent="0.25">
      <c r="B15" s="4">
        <v>45909</v>
      </c>
      <c r="C15" s="2" t="s">
        <v>480</v>
      </c>
      <c r="D15" s="2"/>
      <c r="E15" s="23"/>
      <c r="F15" s="2">
        <f t="shared" si="0"/>
        <v>0</v>
      </c>
      <c r="G15" s="2"/>
    </row>
    <row r="16" spans="2:7" x14ac:dyDescent="0.25">
      <c r="B16" s="4">
        <v>45910</v>
      </c>
      <c r="C16" s="2" t="s">
        <v>3060</v>
      </c>
      <c r="D16" s="2"/>
      <c r="E16" s="23"/>
      <c r="F16" s="2"/>
      <c r="G16" s="2"/>
    </row>
    <row r="17" spans="2:7" x14ac:dyDescent="0.25">
      <c r="B17" s="4">
        <v>45911</v>
      </c>
      <c r="C17" s="2" t="s">
        <v>5348</v>
      </c>
      <c r="D17" s="2"/>
      <c r="E17" s="2"/>
      <c r="F17" s="2"/>
      <c r="G17" s="2"/>
    </row>
    <row r="18" spans="2:7" x14ac:dyDescent="0.25">
      <c r="B18" s="4">
        <v>45912</v>
      </c>
      <c r="C18" s="2" t="s">
        <v>5350</v>
      </c>
      <c r="D18" s="2"/>
      <c r="E18" s="2"/>
      <c r="F18" s="2"/>
      <c r="G18" s="2"/>
    </row>
    <row r="19" spans="2:7" x14ac:dyDescent="0.25">
      <c r="B19" s="4">
        <v>45913</v>
      </c>
      <c r="C19" s="2"/>
      <c r="D19" s="2"/>
      <c r="E19" s="2"/>
      <c r="F19" s="2"/>
      <c r="G19" s="2"/>
    </row>
    <row r="20" spans="2:7" x14ac:dyDescent="0.25">
      <c r="B20" s="4">
        <v>45914</v>
      </c>
      <c r="C20" s="2"/>
      <c r="D20" s="2"/>
      <c r="E20" s="2"/>
      <c r="F20" s="2"/>
      <c r="G20" s="2"/>
    </row>
    <row r="21" spans="2:7" x14ac:dyDescent="0.25">
      <c r="B21" s="4">
        <v>45915</v>
      </c>
      <c r="C21" s="2"/>
      <c r="D21" s="2"/>
      <c r="E21" s="2"/>
      <c r="F21" s="2"/>
      <c r="G21" s="2"/>
    </row>
    <row r="22" spans="2:7" x14ac:dyDescent="0.25">
      <c r="B22" s="4">
        <v>45916</v>
      </c>
      <c r="C22" s="2"/>
      <c r="D22" s="2"/>
      <c r="E22" s="2"/>
      <c r="F22" s="2"/>
      <c r="G22" s="2"/>
    </row>
    <row r="23" spans="2:7" x14ac:dyDescent="0.25">
      <c r="B23" s="4">
        <v>45917</v>
      </c>
      <c r="C23" s="2"/>
      <c r="D23" s="2"/>
      <c r="E23" s="2"/>
      <c r="F23" s="2"/>
      <c r="G23" s="2"/>
    </row>
    <row r="24" spans="2:7" x14ac:dyDescent="0.25">
      <c r="B24" s="4">
        <v>45918</v>
      </c>
      <c r="C24" s="2"/>
      <c r="D24" s="2"/>
      <c r="E24" s="2"/>
      <c r="F24" s="2"/>
      <c r="G24" s="2"/>
    </row>
    <row r="25" spans="2:7" x14ac:dyDescent="0.25">
      <c r="B25" s="4">
        <v>45919</v>
      </c>
      <c r="C25" s="2"/>
      <c r="D25" s="2"/>
      <c r="E25" s="2"/>
      <c r="F25" s="2"/>
      <c r="G25" s="2"/>
    </row>
    <row r="26" spans="2:7" x14ac:dyDescent="0.25">
      <c r="B26" s="4">
        <v>45920</v>
      </c>
      <c r="C26" s="2"/>
      <c r="D26" s="2"/>
      <c r="E26" s="2"/>
      <c r="F26" s="2"/>
      <c r="G26" s="2"/>
    </row>
    <row r="27" spans="2:7" x14ac:dyDescent="0.25">
      <c r="B27" s="4">
        <v>45921</v>
      </c>
      <c r="C27" s="2"/>
      <c r="D27" s="2"/>
      <c r="E27" s="2"/>
      <c r="F27" s="2"/>
      <c r="G27" s="2"/>
    </row>
    <row r="28" spans="2:7" x14ac:dyDescent="0.25">
      <c r="B28" s="4">
        <v>45922</v>
      </c>
      <c r="C28" s="2"/>
      <c r="D28" s="2"/>
      <c r="E28" s="2"/>
      <c r="F28" s="2"/>
      <c r="G28" s="2"/>
    </row>
    <row r="29" spans="2:7" x14ac:dyDescent="0.25">
      <c r="B29" s="4">
        <v>45923</v>
      </c>
      <c r="C29" s="2"/>
      <c r="D29" s="2"/>
      <c r="E29" s="2"/>
      <c r="F29" s="2"/>
      <c r="G29" s="2"/>
    </row>
    <row r="30" spans="2:7" x14ac:dyDescent="0.25">
      <c r="B30" s="4">
        <v>45924</v>
      </c>
      <c r="C30" s="2"/>
      <c r="D30" s="2"/>
      <c r="E30" s="2"/>
      <c r="F30" s="2"/>
      <c r="G30" s="2"/>
    </row>
    <row r="31" spans="2:7" x14ac:dyDescent="0.25">
      <c r="B31" s="4">
        <v>45925</v>
      </c>
      <c r="C31" s="2"/>
      <c r="D31" s="2"/>
      <c r="E31" s="2"/>
      <c r="F31" s="2"/>
      <c r="G31" s="2"/>
    </row>
    <row r="32" spans="2:7" x14ac:dyDescent="0.25">
      <c r="B32" s="4">
        <v>45926</v>
      </c>
      <c r="C32" s="2"/>
      <c r="D32" s="2"/>
      <c r="E32" s="2"/>
      <c r="F32" s="2"/>
      <c r="G32" s="2"/>
    </row>
    <row r="33" spans="2:7" x14ac:dyDescent="0.25">
      <c r="B33" s="4">
        <v>45927</v>
      </c>
      <c r="C33" s="2"/>
      <c r="D33" s="2"/>
      <c r="E33" s="2"/>
      <c r="F33" s="2"/>
      <c r="G33" s="2"/>
    </row>
    <row r="34" spans="2:7" x14ac:dyDescent="0.25">
      <c r="B34" s="4">
        <v>45928</v>
      </c>
      <c r="C34" s="2"/>
      <c r="D34" s="2"/>
      <c r="E34" s="2"/>
      <c r="F34" s="2"/>
      <c r="G34" s="2"/>
    </row>
    <row r="35" spans="2:7" x14ac:dyDescent="0.25">
      <c r="B35" s="4">
        <v>45929</v>
      </c>
      <c r="C35" s="2"/>
      <c r="D35" s="2"/>
      <c r="E35" s="2"/>
      <c r="F35" s="2"/>
      <c r="G35" s="2"/>
    </row>
    <row r="36" spans="2:7" x14ac:dyDescent="0.25">
      <c r="B36" s="4">
        <v>45930</v>
      </c>
      <c r="C36" s="2"/>
      <c r="D36" s="2"/>
      <c r="E36" s="2"/>
      <c r="F36" s="2"/>
      <c r="G36" s="2"/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H86"/>
  <sheetViews>
    <sheetView topLeftCell="A61" workbookViewId="0">
      <selection activeCell="B73" sqref="B73"/>
    </sheetView>
  </sheetViews>
  <sheetFormatPr defaultRowHeight="15" x14ac:dyDescent="0.25"/>
  <cols>
    <col min="1" max="1" width="24.5703125" style="150" bestFit="1" customWidth="1"/>
    <col min="2" max="2" width="60.42578125" customWidth="1"/>
    <col min="3" max="3" width="43.140625" customWidth="1"/>
    <col min="4" max="4" width="12.140625" customWidth="1"/>
    <col min="5" max="5" width="9.140625" style="24"/>
    <col min="6" max="6" width="19.140625" bestFit="1" customWidth="1"/>
  </cols>
  <sheetData>
    <row r="1" spans="1:8" x14ac:dyDescent="0.25">
      <c r="A1" s="147" t="s">
        <v>6729</v>
      </c>
    </row>
    <row r="2" spans="1:8" ht="15.75" x14ac:dyDescent="0.25">
      <c r="A2" s="148" t="s">
        <v>0</v>
      </c>
      <c r="B2" s="11" t="s">
        <v>1</v>
      </c>
      <c r="C2" s="11" t="s">
        <v>2</v>
      </c>
      <c r="D2" s="151" t="s">
        <v>934</v>
      </c>
      <c r="E2" s="11" t="s">
        <v>1095</v>
      </c>
      <c r="F2" s="11" t="s">
        <v>1507</v>
      </c>
    </row>
    <row r="3" spans="1:8" hidden="1" x14ac:dyDescent="0.25">
      <c r="A3" s="149">
        <v>46113</v>
      </c>
      <c r="B3" s="2" t="s">
        <v>279</v>
      </c>
      <c r="C3" s="2" t="s">
        <v>6785</v>
      </c>
      <c r="D3" s="23">
        <f>E3</f>
        <v>0</v>
      </c>
      <c r="E3" s="23">
        <v>0</v>
      </c>
      <c r="F3" s="2"/>
    </row>
    <row r="4" spans="1:8" hidden="1" x14ac:dyDescent="0.25">
      <c r="A4" s="149">
        <v>46114</v>
      </c>
      <c r="B4" s="2" t="s">
        <v>5110</v>
      </c>
      <c r="C4" s="2" t="s">
        <v>6785</v>
      </c>
      <c r="D4" s="23">
        <f>E3+E4</f>
        <v>0</v>
      </c>
      <c r="E4" s="23">
        <v>0</v>
      </c>
      <c r="F4" s="2"/>
    </row>
    <row r="5" spans="1:8" hidden="1" x14ac:dyDescent="0.25">
      <c r="A5" s="149">
        <v>46115</v>
      </c>
      <c r="B5" s="2" t="s">
        <v>5110</v>
      </c>
      <c r="C5" s="2" t="s">
        <v>6785</v>
      </c>
      <c r="D5" s="23">
        <f>D4+E5</f>
        <v>0</v>
      </c>
      <c r="E5" s="23">
        <v>0</v>
      </c>
      <c r="F5" s="2"/>
    </row>
    <row r="6" spans="1:8" hidden="1" x14ac:dyDescent="0.25">
      <c r="A6" s="149">
        <v>46116</v>
      </c>
      <c r="B6" s="2" t="s">
        <v>5110</v>
      </c>
      <c r="C6" s="2" t="s">
        <v>6785</v>
      </c>
      <c r="D6" s="23">
        <f>D5+E6</f>
        <v>0</v>
      </c>
      <c r="E6" s="23">
        <v>0</v>
      </c>
      <c r="F6" s="2"/>
    </row>
    <row r="7" spans="1:8" x14ac:dyDescent="0.25">
      <c r="A7" s="155">
        <v>46117</v>
      </c>
      <c r="B7" s="2" t="s">
        <v>6731</v>
      </c>
      <c r="C7" s="58" t="s">
        <v>6786</v>
      </c>
      <c r="D7" s="23">
        <v>0</v>
      </c>
      <c r="E7" s="23">
        <v>0</v>
      </c>
      <c r="F7" s="2"/>
    </row>
    <row r="8" spans="1:8" x14ac:dyDescent="0.25">
      <c r="A8" s="155">
        <v>46118</v>
      </c>
      <c r="B8" s="2" t="s">
        <v>6733</v>
      </c>
      <c r="C8" s="58"/>
      <c r="D8" s="23">
        <v>0</v>
      </c>
      <c r="E8" s="23">
        <f>D8-D7</f>
        <v>0</v>
      </c>
      <c r="F8" s="2"/>
    </row>
    <row r="9" spans="1:8" ht="15.75" x14ac:dyDescent="0.25">
      <c r="A9" s="155">
        <v>46119</v>
      </c>
      <c r="B9" s="2" t="s">
        <v>6734</v>
      </c>
      <c r="C9" s="146" t="s">
        <v>6735</v>
      </c>
      <c r="D9" s="23"/>
      <c r="E9" s="23">
        <f>D9-D8</f>
        <v>0</v>
      </c>
      <c r="F9" s="2"/>
      <c r="G9">
        <v>0</v>
      </c>
      <c r="H9">
        <v>0</v>
      </c>
    </row>
    <row r="10" spans="1:8" x14ac:dyDescent="0.25">
      <c r="A10" s="155">
        <v>46120</v>
      </c>
      <c r="B10" s="2" t="s">
        <v>6738</v>
      </c>
      <c r="C10" s="2"/>
      <c r="D10" s="23">
        <v>1</v>
      </c>
      <c r="E10" s="23">
        <f t="shared" ref="E10:E43" si="0">D10-D9</f>
        <v>1</v>
      </c>
      <c r="F10" s="2"/>
      <c r="G10">
        <v>1</v>
      </c>
      <c r="H10">
        <v>1</v>
      </c>
    </row>
    <row r="11" spans="1:8" x14ac:dyDescent="0.25">
      <c r="A11" s="155">
        <v>46121</v>
      </c>
      <c r="B11" s="2" t="s">
        <v>6739</v>
      </c>
      <c r="C11" s="2" t="s">
        <v>6740</v>
      </c>
      <c r="D11" s="23">
        <v>1</v>
      </c>
      <c r="E11" s="23">
        <f t="shared" si="0"/>
        <v>0</v>
      </c>
      <c r="F11" s="2"/>
      <c r="G11">
        <v>1</v>
      </c>
      <c r="H11">
        <v>0</v>
      </c>
    </row>
    <row r="12" spans="1:8" x14ac:dyDescent="0.25">
      <c r="A12" s="155">
        <v>46122</v>
      </c>
      <c r="B12" s="2" t="s">
        <v>6739</v>
      </c>
      <c r="C12" s="2"/>
      <c r="D12" s="23">
        <v>1</v>
      </c>
      <c r="E12" s="23">
        <f t="shared" si="0"/>
        <v>0</v>
      </c>
      <c r="F12" s="2"/>
      <c r="G12">
        <v>1</v>
      </c>
      <c r="H12">
        <v>0</v>
      </c>
    </row>
    <row r="13" spans="1:8" x14ac:dyDescent="0.25">
      <c r="A13" s="155">
        <v>46123</v>
      </c>
      <c r="B13" s="2" t="s">
        <v>6746</v>
      </c>
      <c r="C13" s="2" t="s">
        <v>6747</v>
      </c>
      <c r="D13" s="23">
        <v>1</v>
      </c>
      <c r="E13" s="23">
        <f t="shared" si="0"/>
        <v>0</v>
      </c>
      <c r="F13" s="2"/>
      <c r="G13">
        <v>1</v>
      </c>
      <c r="H13">
        <v>0</v>
      </c>
    </row>
    <row r="14" spans="1:8" x14ac:dyDescent="0.25">
      <c r="A14" s="155">
        <v>46124</v>
      </c>
      <c r="B14" s="2" t="s">
        <v>6748</v>
      </c>
      <c r="C14" s="2"/>
      <c r="D14" s="23">
        <v>12</v>
      </c>
      <c r="E14" s="23">
        <f t="shared" si="0"/>
        <v>11</v>
      </c>
      <c r="F14" s="2"/>
      <c r="G14">
        <v>12</v>
      </c>
      <c r="H14">
        <v>11</v>
      </c>
    </row>
    <row r="15" spans="1:8" x14ac:dyDescent="0.25">
      <c r="A15" s="155">
        <v>46125</v>
      </c>
      <c r="B15" s="2" t="s">
        <v>6748</v>
      </c>
      <c r="C15" s="2" t="s">
        <v>2777</v>
      </c>
      <c r="D15" s="23">
        <v>12.4</v>
      </c>
      <c r="E15" s="23">
        <f t="shared" si="0"/>
        <v>0.40000000000000036</v>
      </c>
      <c r="F15" s="2"/>
      <c r="G15">
        <v>12</v>
      </c>
      <c r="H15">
        <v>0</v>
      </c>
    </row>
    <row r="16" spans="1:8" x14ac:dyDescent="0.25">
      <c r="A16" s="155">
        <v>46126</v>
      </c>
      <c r="B16" s="2" t="s">
        <v>6813</v>
      </c>
      <c r="C16" s="2" t="s">
        <v>6784</v>
      </c>
      <c r="D16" s="23">
        <v>12.4</v>
      </c>
      <c r="E16" s="23">
        <f t="shared" si="0"/>
        <v>0</v>
      </c>
      <c r="F16" s="2" t="s">
        <v>6806</v>
      </c>
      <c r="G16">
        <v>0</v>
      </c>
      <c r="H16">
        <v>0.4</v>
      </c>
    </row>
    <row r="17" spans="1:8" x14ac:dyDescent="0.25">
      <c r="A17" s="155">
        <v>46127</v>
      </c>
      <c r="B17" s="2" t="s">
        <v>6813</v>
      </c>
      <c r="C17" s="2" t="s">
        <v>6784</v>
      </c>
      <c r="D17" s="23">
        <v>12.4</v>
      </c>
      <c r="E17" s="23">
        <f t="shared" si="0"/>
        <v>0</v>
      </c>
      <c r="F17" s="2"/>
      <c r="G17">
        <v>0</v>
      </c>
      <c r="H17">
        <v>0</v>
      </c>
    </row>
    <row r="18" spans="1:8" x14ac:dyDescent="0.25">
      <c r="A18" s="155">
        <v>46128</v>
      </c>
      <c r="B18" s="2" t="s">
        <v>6813</v>
      </c>
      <c r="C18" s="2" t="s">
        <v>6789</v>
      </c>
      <c r="D18" s="23">
        <v>12.6</v>
      </c>
      <c r="E18" s="23">
        <f t="shared" si="0"/>
        <v>0.19999999999999929</v>
      </c>
      <c r="F18" s="2"/>
      <c r="G18">
        <v>0</v>
      </c>
      <c r="H18">
        <v>0</v>
      </c>
    </row>
    <row r="19" spans="1:8" x14ac:dyDescent="0.25">
      <c r="A19" s="155">
        <v>46129</v>
      </c>
      <c r="B19" s="2" t="s">
        <v>6796</v>
      </c>
      <c r="C19" s="2" t="s">
        <v>6797</v>
      </c>
      <c r="D19" s="23">
        <v>12.6</v>
      </c>
      <c r="E19" s="23">
        <f t="shared" si="0"/>
        <v>0</v>
      </c>
      <c r="F19" s="2"/>
      <c r="G19">
        <v>0</v>
      </c>
    </row>
    <row r="20" spans="1:8" x14ac:dyDescent="0.25">
      <c r="A20" s="155">
        <v>46130</v>
      </c>
      <c r="B20" s="2" t="s">
        <v>230</v>
      </c>
      <c r="C20" s="2"/>
      <c r="D20" s="23">
        <v>12.6</v>
      </c>
      <c r="E20" s="23">
        <f t="shared" si="0"/>
        <v>0</v>
      </c>
      <c r="F20" s="2"/>
    </row>
    <row r="21" spans="1:8" x14ac:dyDescent="0.25">
      <c r="A21" s="155">
        <v>46131</v>
      </c>
      <c r="B21" s="2" t="s">
        <v>230</v>
      </c>
      <c r="C21" s="2"/>
      <c r="D21" s="23">
        <v>12.6</v>
      </c>
      <c r="E21" s="23">
        <f t="shared" si="0"/>
        <v>0</v>
      </c>
      <c r="F21" s="2"/>
    </row>
    <row r="22" spans="1:8" x14ac:dyDescent="0.25">
      <c r="A22" s="155">
        <v>46132</v>
      </c>
      <c r="B22" s="2" t="s">
        <v>6842</v>
      </c>
      <c r="C22" s="2"/>
      <c r="D22" s="23">
        <v>13.5</v>
      </c>
      <c r="E22" s="23">
        <f t="shared" si="0"/>
        <v>0.90000000000000036</v>
      </c>
      <c r="F22" s="2"/>
    </row>
    <row r="23" spans="1:8" x14ac:dyDescent="0.25">
      <c r="A23" s="155">
        <v>46133</v>
      </c>
      <c r="B23" s="2" t="s">
        <v>6845</v>
      </c>
      <c r="C23" s="2" t="s">
        <v>6846</v>
      </c>
      <c r="D23" s="23">
        <v>13.7</v>
      </c>
      <c r="E23" s="23">
        <f t="shared" si="0"/>
        <v>0.19999999999999929</v>
      </c>
      <c r="F23" s="2"/>
    </row>
    <row r="24" spans="1:8" x14ac:dyDescent="0.25">
      <c r="A24" s="155">
        <v>46134</v>
      </c>
      <c r="B24" s="2" t="s">
        <v>6862</v>
      </c>
      <c r="C24" s="2" t="s">
        <v>6863</v>
      </c>
      <c r="D24" s="23">
        <v>13.7</v>
      </c>
      <c r="E24" s="23">
        <f t="shared" si="0"/>
        <v>0</v>
      </c>
      <c r="F24" s="2"/>
    </row>
    <row r="25" spans="1:8" x14ac:dyDescent="0.25">
      <c r="A25" s="155">
        <v>46135</v>
      </c>
      <c r="B25" s="2" t="s">
        <v>6876</v>
      </c>
      <c r="C25" s="2"/>
      <c r="D25" s="23">
        <v>13.7</v>
      </c>
      <c r="E25" s="23">
        <f t="shared" si="0"/>
        <v>0</v>
      </c>
      <c r="F25" s="2"/>
    </row>
    <row r="26" spans="1:8" x14ac:dyDescent="0.25">
      <c r="A26" s="155">
        <v>46136</v>
      </c>
      <c r="B26" s="2" t="s">
        <v>6882</v>
      </c>
      <c r="C26" s="2"/>
      <c r="D26" s="23">
        <v>14.2</v>
      </c>
      <c r="E26" s="23">
        <f t="shared" si="0"/>
        <v>0.5</v>
      </c>
      <c r="F26" s="2"/>
    </row>
    <row r="27" spans="1:8" x14ac:dyDescent="0.25">
      <c r="A27" s="155">
        <v>46137</v>
      </c>
      <c r="B27" s="2" t="s">
        <v>6899</v>
      </c>
      <c r="C27" s="2" t="s">
        <v>6900</v>
      </c>
      <c r="D27" s="23">
        <v>14.2</v>
      </c>
      <c r="E27" s="23">
        <f t="shared" si="0"/>
        <v>0</v>
      </c>
      <c r="F27" s="2"/>
    </row>
    <row r="28" spans="1:8" x14ac:dyDescent="0.25">
      <c r="A28" s="155">
        <v>46138</v>
      </c>
      <c r="B28" s="2" t="s">
        <v>6901</v>
      </c>
      <c r="C28" s="2"/>
      <c r="D28" s="23">
        <v>14.5</v>
      </c>
      <c r="E28" s="23">
        <f t="shared" si="0"/>
        <v>0.30000000000000071</v>
      </c>
      <c r="F28" s="2"/>
    </row>
    <row r="29" spans="1:8" x14ac:dyDescent="0.25">
      <c r="A29" s="155">
        <v>46139</v>
      </c>
      <c r="B29" s="2" t="s">
        <v>6902</v>
      </c>
      <c r="C29" s="2"/>
      <c r="D29" s="23">
        <v>14.5</v>
      </c>
      <c r="E29" s="23">
        <f t="shared" si="0"/>
        <v>0</v>
      </c>
      <c r="F29" s="2"/>
    </row>
    <row r="30" spans="1:8" x14ac:dyDescent="0.25">
      <c r="A30" s="155">
        <v>46140</v>
      </c>
      <c r="B30" s="2" t="s">
        <v>6928</v>
      </c>
      <c r="C30" s="2"/>
      <c r="D30" s="23">
        <v>15.6</v>
      </c>
      <c r="E30" s="23">
        <f t="shared" si="0"/>
        <v>1.0999999999999996</v>
      </c>
      <c r="F30" s="2"/>
    </row>
    <row r="31" spans="1:8" x14ac:dyDescent="0.25">
      <c r="A31" s="155">
        <v>46141</v>
      </c>
      <c r="B31" s="2" t="s">
        <v>6945</v>
      </c>
      <c r="C31" s="2"/>
      <c r="D31" s="23">
        <v>23</v>
      </c>
      <c r="E31" s="23">
        <f t="shared" si="0"/>
        <v>7.4</v>
      </c>
      <c r="F31" s="2"/>
    </row>
    <row r="32" spans="1:8" x14ac:dyDescent="0.25">
      <c r="A32" s="155">
        <v>46142</v>
      </c>
      <c r="B32" s="2" t="s">
        <v>6946</v>
      </c>
      <c r="C32" s="2"/>
      <c r="D32" s="23">
        <v>30</v>
      </c>
      <c r="E32" s="23">
        <f t="shared" si="0"/>
        <v>7</v>
      </c>
      <c r="F32" s="2"/>
    </row>
    <row r="33" spans="1:6" x14ac:dyDescent="0.25">
      <c r="A33" s="155">
        <v>46143</v>
      </c>
      <c r="B33" s="2" t="s">
        <v>6967</v>
      </c>
      <c r="C33" s="2"/>
      <c r="D33" s="23">
        <v>35.6</v>
      </c>
      <c r="E33" s="23">
        <f t="shared" si="0"/>
        <v>5.6000000000000014</v>
      </c>
      <c r="F33" s="2"/>
    </row>
    <row r="34" spans="1:6" x14ac:dyDescent="0.25">
      <c r="A34" s="155">
        <v>46144</v>
      </c>
      <c r="B34" s="2" t="s">
        <v>6949</v>
      </c>
      <c r="C34" s="2" t="s">
        <v>6950</v>
      </c>
      <c r="D34" s="23">
        <v>38.200000000000003</v>
      </c>
      <c r="E34" s="23">
        <f t="shared" si="0"/>
        <v>2.6000000000000014</v>
      </c>
      <c r="F34" s="2"/>
    </row>
    <row r="35" spans="1:6" x14ac:dyDescent="0.25">
      <c r="A35" s="155">
        <v>46145</v>
      </c>
      <c r="B35" s="2" t="s">
        <v>480</v>
      </c>
      <c r="C35" s="2"/>
      <c r="D35" s="23">
        <v>38.200000000000003</v>
      </c>
      <c r="E35" s="23">
        <f t="shared" si="0"/>
        <v>0</v>
      </c>
      <c r="F35" s="2"/>
    </row>
    <row r="36" spans="1:6" x14ac:dyDescent="0.25">
      <c r="A36" s="155">
        <v>46146</v>
      </c>
      <c r="B36" s="2" t="s">
        <v>6963</v>
      </c>
      <c r="C36" s="2"/>
      <c r="D36" s="23">
        <v>46.3</v>
      </c>
      <c r="E36" s="23">
        <f t="shared" si="0"/>
        <v>8.0999999999999943</v>
      </c>
      <c r="F36" s="2"/>
    </row>
    <row r="37" spans="1:6" x14ac:dyDescent="0.25">
      <c r="A37" s="155">
        <v>46147</v>
      </c>
      <c r="B37" s="2" t="s">
        <v>6972</v>
      </c>
      <c r="C37" s="2" t="s">
        <v>6973</v>
      </c>
      <c r="D37" s="23">
        <v>58</v>
      </c>
      <c r="E37" s="23">
        <f t="shared" si="0"/>
        <v>11.700000000000003</v>
      </c>
      <c r="F37" s="2"/>
    </row>
    <row r="38" spans="1:6" x14ac:dyDescent="0.25">
      <c r="A38" s="155">
        <v>46148</v>
      </c>
      <c r="B38" s="2" t="s">
        <v>6980</v>
      </c>
      <c r="C38" s="2" t="s">
        <v>6981</v>
      </c>
      <c r="D38" s="23">
        <v>71</v>
      </c>
      <c r="E38" s="23">
        <f t="shared" si="0"/>
        <v>13</v>
      </c>
      <c r="F38" s="2"/>
    </row>
    <row r="39" spans="1:6" x14ac:dyDescent="0.25">
      <c r="A39" s="155">
        <v>46149</v>
      </c>
      <c r="B39" s="2" t="s">
        <v>6985</v>
      </c>
      <c r="C39" s="2" t="s">
        <v>6986</v>
      </c>
      <c r="D39" s="23">
        <v>79</v>
      </c>
      <c r="E39" s="23">
        <f t="shared" si="0"/>
        <v>8</v>
      </c>
      <c r="F39" s="2"/>
    </row>
    <row r="40" spans="1:6" x14ac:dyDescent="0.25">
      <c r="A40" s="155">
        <v>46150</v>
      </c>
      <c r="B40" s="2" t="s">
        <v>6993</v>
      </c>
      <c r="C40" s="2"/>
      <c r="D40" s="23">
        <v>82.2</v>
      </c>
      <c r="E40" s="23">
        <f t="shared" si="0"/>
        <v>3.2000000000000028</v>
      </c>
      <c r="F40" s="2"/>
    </row>
    <row r="41" spans="1:6" x14ac:dyDescent="0.25">
      <c r="A41" s="155">
        <v>46151</v>
      </c>
      <c r="B41" s="2" t="s">
        <v>6813</v>
      </c>
      <c r="C41" s="2"/>
      <c r="D41" s="23">
        <v>82.2</v>
      </c>
      <c r="E41" s="23">
        <f t="shared" si="0"/>
        <v>0</v>
      </c>
      <c r="F41" s="2"/>
    </row>
    <row r="42" spans="1:6" x14ac:dyDescent="0.25">
      <c r="A42" s="155">
        <v>46152</v>
      </c>
      <c r="B42" s="2" t="s">
        <v>7012</v>
      </c>
      <c r="C42" s="2"/>
      <c r="D42" s="23">
        <v>87</v>
      </c>
      <c r="E42" s="23">
        <f t="shared" si="0"/>
        <v>4.7999999999999972</v>
      </c>
      <c r="F42" s="2"/>
    </row>
    <row r="43" spans="1:6" x14ac:dyDescent="0.25">
      <c r="A43" s="155">
        <v>46153</v>
      </c>
      <c r="B43" s="2" t="s">
        <v>7029</v>
      </c>
      <c r="C43" s="2" t="s">
        <v>7017</v>
      </c>
      <c r="D43" s="23">
        <v>89</v>
      </c>
      <c r="E43" s="23">
        <f t="shared" si="0"/>
        <v>2</v>
      </c>
      <c r="F43" s="2"/>
    </row>
    <row r="44" spans="1:6" x14ac:dyDescent="0.25">
      <c r="A44" s="155">
        <v>46154</v>
      </c>
      <c r="B44" s="2" t="s">
        <v>7030</v>
      </c>
      <c r="C44" s="2" t="s">
        <v>7017</v>
      </c>
      <c r="D44" s="23">
        <v>93</v>
      </c>
      <c r="E44" s="23">
        <f t="shared" ref="E44:E57" si="1">D44-D43</f>
        <v>4</v>
      </c>
      <c r="F44" s="2"/>
    </row>
    <row r="45" spans="1:6" x14ac:dyDescent="0.25">
      <c r="A45" s="155">
        <v>46155</v>
      </c>
      <c r="B45" s="2" t="s">
        <v>7031</v>
      </c>
      <c r="C45" s="2" t="s">
        <v>7032</v>
      </c>
      <c r="D45" s="23">
        <v>97.3</v>
      </c>
      <c r="E45" s="23">
        <f t="shared" si="1"/>
        <v>4.2999999999999972</v>
      </c>
      <c r="F45" s="2"/>
    </row>
    <row r="46" spans="1:6" x14ac:dyDescent="0.25">
      <c r="A46" s="155">
        <v>46156</v>
      </c>
      <c r="B46" s="2" t="s">
        <v>7039</v>
      </c>
      <c r="C46" s="2"/>
      <c r="D46" s="23">
        <v>101.1</v>
      </c>
      <c r="E46" s="23">
        <f t="shared" si="1"/>
        <v>3.7999999999999972</v>
      </c>
      <c r="F46" s="2"/>
    </row>
    <row r="47" spans="1:6" x14ac:dyDescent="0.25">
      <c r="A47" s="155">
        <v>46157</v>
      </c>
      <c r="B47" s="2" t="s">
        <v>7046</v>
      </c>
      <c r="C47" s="2" t="s">
        <v>7047</v>
      </c>
      <c r="D47" s="23">
        <v>105</v>
      </c>
      <c r="E47" s="23">
        <f t="shared" si="1"/>
        <v>3.9000000000000057</v>
      </c>
      <c r="F47" s="2"/>
    </row>
    <row r="48" spans="1:6" x14ac:dyDescent="0.25">
      <c r="A48" s="155">
        <v>46158</v>
      </c>
      <c r="B48" s="2" t="s">
        <v>7056</v>
      </c>
      <c r="C48" s="2"/>
      <c r="D48" s="23">
        <v>109.7</v>
      </c>
      <c r="E48" s="23">
        <f t="shared" si="1"/>
        <v>4.7000000000000028</v>
      </c>
      <c r="F48" s="2"/>
    </row>
    <row r="49" spans="1:7" x14ac:dyDescent="0.25">
      <c r="A49" s="155">
        <v>46159</v>
      </c>
      <c r="B49" s="2" t="s">
        <v>7057</v>
      </c>
      <c r="C49" s="2"/>
      <c r="D49" s="23">
        <v>114</v>
      </c>
      <c r="E49" s="23">
        <f t="shared" si="1"/>
        <v>4.2999999999999972</v>
      </c>
      <c r="F49" s="2"/>
      <c r="G49">
        <v>140</v>
      </c>
    </row>
    <row r="50" spans="1:7" x14ac:dyDescent="0.25">
      <c r="A50" s="155">
        <v>46160</v>
      </c>
      <c r="B50" s="2" t="s">
        <v>7064</v>
      </c>
      <c r="C50" s="2"/>
      <c r="D50" s="23">
        <v>119</v>
      </c>
      <c r="E50" s="23">
        <f t="shared" si="1"/>
        <v>5</v>
      </c>
      <c r="F50" s="2"/>
      <c r="G50">
        <f>G49-D49</f>
        <v>26</v>
      </c>
    </row>
    <row r="51" spans="1:7" x14ac:dyDescent="0.25">
      <c r="A51" s="155">
        <v>46161</v>
      </c>
      <c r="B51" s="2" t="s">
        <v>7066</v>
      </c>
      <c r="C51" s="2" t="s">
        <v>7067</v>
      </c>
      <c r="D51" s="23">
        <v>120.3</v>
      </c>
      <c r="E51" s="23">
        <f t="shared" si="1"/>
        <v>1.2999999999999972</v>
      </c>
      <c r="F51" s="2"/>
      <c r="G51">
        <v>2</v>
      </c>
    </row>
    <row r="52" spans="1:7" x14ac:dyDescent="0.25">
      <c r="A52" s="155">
        <v>46162</v>
      </c>
      <c r="B52" s="2" t="s">
        <v>7068</v>
      </c>
      <c r="C52" s="2"/>
      <c r="D52" s="23">
        <v>122.1</v>
      </c>
      <c r="E52" s="23">
        <f t="shared" si="1"/>
        <v>1.7999999999999972</v>
      </c>
      <c r="F52" s="2"/>
      <c r="G52">
        <f>G50/G51</f>
        <v>13</v>
      </c>
    </row>
    <row r="53" spans="1:7" x14ac:dyDescent="0.25">
      <c r="A53" s="155">
        <v>46163</v>
      </c>
      <c r="B53" s="2" t="s">
        <v>7078</v>
      </c>
      <c r="C53" s="2" t="s">
        <v>7079</v>
      </c>
      <c r="D53" s="23">
        <v>125.3</v>
      </c>
      <c r="E53" s="23">
        <f t="shared" si="1"/>
        <v>3.2000000000000028</v>
      </c>
      <c r="F53" s="2"/>
    </row>
    <row r="54" spans="1:7" x14ac:dyDescent="0.25">
      <c r="A54" s="155">
        <v>46164</v>
      </c>
      <c r="B54" s="2" t="s">
        <v>7091</v>
      </c>
      <c r="C54" s="2"/>
      <c r="D54" s="23">
        <v>125.3</v>
      </c>
      <c r="E54" s="23">
        <f t="shared" si="1"/>
        <v>0</v>
      </c>
      <c r="F54" s="2"/>
    </row>
    <row r="55" spans="1:7" x14ac:dyDescent="0.25">
      <c r="A55" s="155">
        <v>46165</v>
      </c>
      <c r="B55" s="2" t="s">
        <v>7094</v>
      </c>
      <c r="C55" s="2" t="s">
        <v>7095</v>
      </c>
      <c r="D55" s="23">
        <v>127</v>
      </c>
      <c r="E55" s="23">
        <f t="shared" si="1"/>
        <v>1.7000000000000028</v>
      </c>
      <c r="F55" s="2"/>
    </row>
    <row r="56" spans="1:7" x14ac:dyDescent="0.25">
      <c r="A56" s="155">
        <v>46166</v>
      </c>
      <c r="B56" s="2" t="s">
        <v>7105</v>
      </c>
      <c r="C56" s="2" t="s">
        <v>7106</v>
      </c>
      <c r="D56" s="23"/>
      <c r="E56" s="23">
        <f t="shared" si="1"/>
        <v>-127</v>
      </c>
      <c r="F56" s="2"/>
    </row>
    <row r="57" spans="1:7" x14ac:dyDescent="0.25">
      <c r="A57" s="155">
        <v>46167</v>
      </c>
      <c r="B57" s="2" t="s">
        <v>7127</v>
      </c>
      <c r="C57" s="2"/>
      <c r="D57" s="23"/>
      <c r="E57" s="23">
        <f t="shared" si="1"/>
        <v>0</v>
      </c>
      <c r="F57" s="2"/>
    </row>
    <row r="58" spans="1:7" x14ac:dyDescent="0.25">
      <c r="A58" s="155">
        <v>46168</v>
      </c>
      <c r="B58" s="2" t="s">
        <v>7138</v>
      </c>
      <c r="C58" s="2"/>
      <c r="D58" s="23"/>
      <c r="E58" s="23"/>
      <c r="F58" s="2"/>
    </row>
    <row r="59" spans="1:7" x14ac:dyDescent="0.25">
      <c r="A59" s="155">
        <v>46169</v>
      </c>
      <c r="B59" s="2"/>
      <c r="C59" s="2"/>
      <c r="D59" s="23"/>
      <c r="E59" s="23"/>
      <c r="F59" s="2"/>
    </row>
    <row r="60" spans="1:7" x14ac:dyDescent="0.25">
      <c r="A60" s="155">
        <v>46170</v>
      </c>
      <c r="B60" s="2" t="s">
        <v>7139</v>
      </c>
      <c r="C60" s="2" t="s">
        <v>7140</v>
      </c>
      <c r="D60" s="23"/>
      <c r="E60" s="23"/>
      <c r="F60" s="2"/>
    </row>
    <row r="61" spans="1:7" x14ac:dyDescent="0.25">
      <c r="A61" s="155">
        <v>46171</v>
      </c>
      <c r="B61" s="2" t="s">
        <v>7141</v>
      </c>
      <c r="C61" s="2"/>
      <c r="D61" s="23"/>
      <c r="E61" s="23"/>
      <c r="F61" s="2"/>
    </row>
    <row r="62" spans="1:7" x14ac:dyDescent="0.25">
      <c r="A62" s="155">
        <v>46172</v>
      </c>
      <c r="B62" s="2" t="s">
        <v>7151</v>
      </c>
      <c r="C62" s="2"/>
      <c r="D62" s="23"/>
      <c r="E62" s="23"/>
      <c r="F62" s="2"/>
    </row>
    <row r="63" spans="1:7" x14ac:dyDescent="0.25">
      <c r="A63" s="155">
        <v>46173</v>
      </c>
      <c r="B63" s="2"/>
      <c r="C63" s="2"/>
      <c r="D63" s="23"/>
      <c r="E63" s="23"/>
      <c r="F63" s="2"/>
    </row>
    <row r="64" spans="1:7" x14ac:dyDescent="0.25">
      <c r="A64" s="155">
        <v>46174</v>
      </c>
      <c r="B64" s="2" t="s">
        <v>7153</v>
      </c>
      <c r="C64" s="2"/>
      <c r="D64" s="23"/>
      <c r="E64" s="23"/>
      <c r="F64" s="2"/>
    </row>
    <row r="65" spans="1:6" x14ac:dyDescent="0.25">
      <c r="A65" s="155">
        <v>46175</v>
      </c>
      <c r="B65" s="2" t="s">
        <v>7164</v>
      </c>
      <c r="C65" s="2"/>
      <c r="D65" s="2"/>
      <c r="E65" s="23"/>
      <c r="F65" s="2"/>
    </row>
    <row r="66" spans="1:6" x14ac:dyDescent="0.25">
      <c r="A66" s="155">
        <v>46176</v>
      </c>
      <c r="B66" s="2" t="s">
        <v>7166</v>
      </c>
      <c r="C66" s="2" t="s">
        <v>7169</v>
      </c>
      <c r="D66" s="2"/>
      <c r="E66" s="23"/>
      <c r="F66" s="2"/>
    </row>
    <row r="67" spans="1:6" x14ac:dyDescent="0.25">
      <c r="A67" s="155">
        <v>46177</v>
      </c>
      <c r="B67" s="2" t="s">
        <v>7185</v>
      </c>
      <c r="C67" s="2"/>
      <c r="D67" s="2"/>
      <c r="E67" s="23"/>
      <c r="F67" s="2"/>
    </row>
    <row r="68" spans="1:6" x14ac:dyDescent="0.25">
      <c r="A68" s="155">
        <v>46178</v>
      </c>
      <c r="B68" s="2" t="s">
        <v>7185</v>
      </c>
      <c r="C68" s="2"/>
      <c r="D68" s="2"/>
      <c r="E68" s="23"/>
      <c r="F68" s="2"/>
    </row>
    <row r="69" spans="1:6" x14ac:dyDescent="0.25">
      <c r="A69" s="155">
        <v>46179</v>
      </c>
      <c r="B69" s="2" t="s">
        <v>480</v>
      </c>
      <c r="C69" s="2"/>
      <c r="D69" s="2"/>
      <c r="E69" s="23"/>
      <c r="F69" s="2"/>
    </row>
    <row r="70" spans="1:6" x14ac:dyDescent="0.25">
      <c r="A70" s="155">
        <v>46180</v>
      </c>
      <c r="B70" s="2" t="s">
        <v>480</v>
      </c>
      <c r="C70" s="2"/>
      <c r="D70" s="2"/>
      <c r="E70" s="23"/>
      <c r="F70" s="2"/>
    </row>
    <row r="71" spans="1:6" x14ac:dyDescent="0.25">
      <c r="A71" s="155">
        <v>46181</v>
      </c>
      <c r="B71" s="2" t="s">
        <v>7191</v>
      </c>
      <c r="C71" s="2"/>
      <c r="D71" s="2"/>
      <c r="E71" s="23"/>
      <c r="F71" s="2"/>
    </row>
    <row r="72" spans="1:6" x14ac:dyDescent="0.25">
      <c r="A72" s="155">
        <v>46182</v>
      </c>
      <c r="B72" s="2" t="s">
        <v>7192</v>
      </c>
      <c r="C72" s="2"/>
      <c r="D72" s="2"/>
      <c r="E72" s="23"/>
      <c r="F72" s="2"/>
    </row>
    <row r="73" spans="1:6" x14ac:dyDescent="0.25">
      <c r="A73" s="155">
        <v>46183</v>
      </c>
      <c r="B73" s="2" t="s">
        <v>7206</v>
      </c>
      <c r="C73" s="2"/>
      <c r="D73" s="2"/>
      <c r="E73" s="23"/>
      <c r="F73" s="2"/>
    </row>
    <row r="74" spans="1:6" x14ac:dyDescent="0.25">
      <c r="A74" s="155">
        <v>46184</v>
      </c>
      <c r="B74" s="2"/>
      <c r="C74" s="2"/>
      <c r="D74" s="2"/>
      <c r="E74" s="23"/>
      <c r="F74" s="2"/>
    </row>
    <row r="75" spans="1:6" x14ac:dyDescent="0.25">
      <c r="A75" s="155">
        <v>46185</v>
      </c>
      <c r="B75" s="2"/>
      <c r="C75" s="2"/>
      <c r="D75" s="2"/>
      <c r="E75" s="23"/>
      <c r="F75" s="2"/>
    </row>
    <row r="76" spans="1:6" x14ac:dyDescent="0.25">
      <c r="A76" s="155">
        <v>46186</v>
      </c>
      <c r="B76" s="2"/>
      <c r="C76" s="2"/>
      <c r="D76" s="2"/>
      <c r="E76" s="23"/>
      <c r="F76" s="2"/>
    </row>
    <row r="77" spans="1:6" x14ac:dyDescent="0.25">
      <c r="A77" s="155">
        <v>46187</v>
      </c>
      <c r="B77" s="2"/>
      <c r="C77" s="2"/>
      <c r="D77" s="2"/>
      <c r="E77" s="23"/>
      <c r="F77" s="2"/>
    </row>
    <row r="78" spans="1:6" x14ac:dyDescent="0.25">
      <c r="A78" s="155">
        <v>46188</v>
      </c>
      <c r="B78" s="2"/>
      <c r="C78" s="2"/>
      <c r="D78" s="2"/>
      <c r="E78" s="23"/>
      <c r="F78" s="2"/>
    </row>
    <row r="79" spans="1:6" x14ac:dyDescent="0.25">
      <c r="A79" s="155">
        <v>46189</v>
      </c>
      <c r="B79" s="2"/>
      <c r="C79" s="2"/>
      <c r="D79" s="2"/>
      <c r="E79" s="23"/>
      <c r="F79" s="2"/>
    </row>
    <row r="80" spans="1:6" x14ac:dyDescent="0.25">
      <c r="A80" s="155">
        <v>46190</v>
      </c>
      <c r="B80" s="2"/>
      <c r="C80" s="2"/>
      <c r="D80" s="2"/>
      <c r="E80" s="23"/>
      <c r="F80" s="2"/>
    </row>
    <row r="81" spans="1:6" x14ac:dyDescent="0.25">
      <c r="A81" s="159"/>
      <c r="B81" s="2"/>
      <c r="C81" s="2"/>
      <c r="D81" s="2"/>
      <c r="E81" s="23"/>
      <c r="F81" s="2"/>
    </row>
    <row r="82" spans="1:6" x14ac:dyDescent="0.25">
      <c r="A82" s="159"/>
      <c r="B82" s="2"/>
      <c r="C82" s="2"/>
      <c r="D82" s="2"/>
      <c r="E82" s="23"/>
      <c r="F82" s="2"/>
    </row>
    <row r="83" spans="1:6" x14ac:dyDescent="0.25">
      <c r="A83" s="159"/>
      <c r="B83" s="2"/>
      <c r="C83" s="2"/>
      <c r="D83" s="2"/>
      <c r="E83" s="23"/>
      <c r="F83" s="2"/>
    </row>
    <row r="84" spans="1:6" x14ac:dyDescent="0.25">
      <c r="A84" s="159"/>
      <c r="B84" s="2"/>
      <c r="C84" s="2"/>
      <c r="D84" s="2"/>
      <c r="E84" s="23"/>
      <c r="F84" s="2"/>
    </row>
    <row r="85" spans="1:6" x14ac:dyDescent="0.25">
      <c r="A85" s="159"/>
      <c r="B85" s="2"/>
      <c r="C85" s="2"/>
      <c r="D85" s="2"/>
      <c r="E85" s="23"/>
      <c r="F85" s="2"/>
    </row>
    <row r="86" spans="1:6" x14ac:dyDescent="0.25">
      <c r="A86" s="159"/>
      <c r="B86" s="2"/>
      <c r="C86" s="2"/>
      <c r="D86" s="2"/>
      <c r="E86" s="23"/>
      <c r="F86" s="2"/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11F63-F190-44B0-B0E2-3B81612ECA07}">
  <dimension ref="A1:F44"/>
  <sheetViews>
    <sheetView topLeftCell="A2" workbookViewId="0">
      <selection activeCell="B24" sqref="B24"/>
    </sheetView>
  </sheetViews>
  <sheetFormatPr defaultRowHeight="15" x14ac:dyDescent="0.25"/>
  <cols>
    <col min="1" max="1" width="20.28515625" customWidth="1"/>
    <col min="2" max="2" width="70.85546875" customWidth="1"/>
    <col min="3" max="3" width="37.7109375" customWidth="1"/>
    <col min="4" max="4" width="11.85546875" style="24" bestFit="1" customWidth="1"/>
    <col min="5" max="5" width="9.140625" style="24"/>
    <col min="6" max="6" width="16.28515625" customWidth="1"/>
  </cols>
  <sheetData>
    <row r="1" spans="1:6" x14ac:dyDescent="0.25">
      <c r="A1" s="144" t="s">
        <v>6752</v>
      </c>
    </row>
    <row r="2" spans="1:6" ht="15.75" x14ac:dyDescent="0.25">
      <c r="A2" s="10" t="s">
        <v>0</v>
      </c>
      <c r="B2" s="11" t="s">
        <v>1</v>
      </c>
      <c r="C2" s="11" t="s">
        <v>2</v>
      </c>
      <c r="D2" s="11" t="s">
        <v>934</v>
      </c>
      <c r="E2" s="11" t="s">
        <v>1095</v>
      </c>
      <c r="F2" s="11" t="s">
        <v>1507</v>
      </c>
    </row>
    <row r="3" spans="1:6" x14ac:dyDescent="0.25">
      <c r="A3" s="4">
        <v>46125</v>
      </c>
      <c r="B3" s="2" t="s">
        <v>6750</v>
      </c>
      <c r="C3" s="2"/>
      <c r="D3" s="23"/>
      <c r="E3" s="23"/>
      <c r="F3" s="2"/>
    </row>
    <row r="4" spans="1:6" x14ac:dyDescent="0.25">
      <c r="A4" s="4">
        <v>46126</v>
      </c>
      <c r="B4" s="2" t="s">
        <v>6751</v>
      </c>
      <c r="C4" s="2"/>
      <c r="D4" s="23"/>
      <c r="E4" s="23"/>
      <c r="F4" s="2"/>
    </row>
    <row r="5" spans="1:6" x14ac:dyDescent="0.25">
      <c r="A5" s="4">
        <v>46127</v>
      </c>
      <c r="B5" s="2" t="s">
        <v>6790</v>
      </c>
      <c r="C5" s="2"/>
      <c r="D5" s="23">
        <v>3</v>
      </c>
      <c r="E5" s="23">
        <f>D5-D4</f>
        <v>3</v>
      </c>
      <c r="F5" s="2"/>
    </row>
    <row r="6" spans="1:6" x14ac:dyDescent="0.25">
      <c r="A6" s="4">
        <v>46128</v>
      </c>
      <c r="B6" s="2" t="s">
        <v>6791</v>
      </c>
      <c r="C6" s="58"/>
      <c r="D6" s="23">
        <v>20</v>
      </c>
      <c r="E6" s="23">
        <f>D6-D5</f>
        <v>17</v>
      </c>
      <c r="F6" s="2"/>
    </row>
    <row r="7" spans="1:6" x14ac:dyDescent="0.25">
      <c r="A7" s="4">
        <v>46129</v>
      </c>
      <c r="B7" s="2" t="s">
        <v>6814</v>
      </c>
      <c r="C7" s="58"/>
      <c r="D7" s="23">
        <v>32</v>
      </c>
      <c r="E7" s="23">
        <f t="shared" ref="E7:E22" si="0">D7-D6</f>
        <v>12</v>
      </c>
      <c r="F7" s="2"/>
    </row>
    <row r="8" spans="1:6" x14ac:dyDescent="0.25">
      <c r="A8" s="4">
        <v>46130</v>
      </c>
      <c r="B8" s="2" t="s">
        <v>6815</v>
      </c>
      <c r="C8" s="58"/>
      <c r="D8" s="23">
        <v>37</v>
      </c>
      <c r="E8" s="23">
        <f t="shared" si="0"/>
        <v>5</v>
      </c>
      <c r="F8" s="2"/>
    </row>
    <row r="9" spans="1:6" x14ac:dyDescent="0.25">
      <c r="A9" s="4">
        <v>46131</v>
      </c>
      <c r="B9" s="2" t="s">
        <v>6816</v>
      </c>
      <c r="C9" s="2"/>
      <c r="D9" s="23">
        <v>42</v>
      </c>
      <c r="E9" s="23">
        <f t="shared" si="0"/>
        <v>5</v>
      </c>
      <c r="F9" s="2"/>
    </row>
    <row r="10" spans="1:6" x14ac:dyDescent="0.25">
      <c r="A10" s="4">
        <v>46132</v>
      </c>
      <c r="B10" s="2" t="s">
        <v>6840</v>
      </c>
      <c r="C10" s="2"/>
      <c r="D10" s="23">
        <v>47</v>
      </c>
      <c r="E10" s="23">
        <f t="shared" si="0"/>
        <v>5</v>
      </c>
      <c r="F10" s="2"/>
    </row>
    <row r="11" spans="1:6" x14ac:dyDescent="0.25">
      <c r="A11" s="4">
        <v>46133</v>
      </c>
      <c r="B11" s="2" t="s">
        <v>6851</v>
      </c>
      <c r="C11" s="2"/>
      <c r="D11" s="23">
        <v>52</v>
      </c>
      <c r="E11" s="23">
        <f t="shared" si="0"/>
        <v>5</v>
      </c>
      <c r="F11" s="2"/>
    </row>
    <row r="12" spans="1:6" x14ac:dyDescent="0.25">
      <c r="A12" s="4">
        <v>46134</v>
      </c>
      <c r="B12" s="2" t="s">
        <v>6851</v>
      </c>
      <c r="C12" s="2"/>
      <c r="D12" s="23">
        <v>76</v>
      </c>
      <c r="E12" s="23">
        <f t="shared" si="0"/>
        <v>24</v>
      </c>
      <c r="F12" s="2"/>
    </row>
    <row r="13" spans="1:6" x14ac:dyDescent="0.25">
      <c r="A13" s="4">
        <v>46135</v>
      </c>
      <c r="B13" s="2" t="s">
        <v>6877</v>
      </c>
      <c r="C13" s="2"/>
      <c r="D13" s="23">
        <v>91</v>
      </c>
      <c r="E13" s="23">
        <f t="shared" si="0"/>
        <v>15</v>
      </c>
      <c r="F13" s="2"/>
    </row>
    <row r="14" spans="1:6" x14ac:dyDescent="0.25">
      <c r="A14" s="4">
        <v>46136</v>
      </c>
      <c r="B14" s="2" t="s">
        <v>6883</v>
      </c>
      <c r="C14" s="2" t="s">
        <v>6884</v>
      </c>
      <c r="D14" s="23">
        <v>100</v>
      </c>
      <c r="E14" s="23">
        <f t="shared" si="0"/>
        <v>9</v>
      </c>
      <c r="F14" s="2"/>
    </row>
    <row r="15" spans="1:6" x14ac:dyDescent="0.25">
      <c r="A15" s="4">
        <v>46137</v>
      </c>
      <c r="B15" s="2" t="s">
        <v>6903</v>
      </c>
      <c r="C15" s="2"/>
      <c r="D15" s="23"/>
      <c r="E15" s="23">
        <f t="shared" si="0"/>
        <v>-100</v>
      </c>
      <c r="F15" s="2"/>
    </row>
    <row r="16" spans="1:6" x14ac:dyDescent="0.25">
      <c r="A16" s="4">
        <v>46138</v>
      </c>
      <c r="B16" s="2" t="s">
        <v>6904</v>
      </c>
      <c r="C16" s="2"/>
      <c r="D16" s="23"/>
      <c r="E16" s="23">
        <f t="shared" si="0"/>
        <v>0</v>
      </c>
      <c r="F16" s="2"/>
    </row>
    <row r="17" spans="1:6" x14ac:dyDescent="0.25">
      <c r="A17" s="4">
        <v>46139</v>
      </c>
      <c r="B17" s="2" t="s">
        <v>6916</v>
      </c>
      <c r="C17" s="2"/>
      <c r="D17" s="23"/>
      <c r="E17" s="23">
        <f t="shared" si="0"/>
        <v>0</v>
      </c>
      <c r="F17" s="2"/>
    </row>
    <row r="18" spans="1:6" x14ac:dyDescent="0.25">
      <c r="A18" s="4">
        <v>46140</v>
      </c>
      <c r="B18" s="2" t="s">
        <v>6929</v>
      </c>
      <c r="C18" s="2" t="s">
        <v>4733</v>
      </c>
      <c r="D18" s="23"/>
      <c r="E18" s="23">
        <f t="shared" si="0"/>
        <v>0</v>
      </c>
      <c r="F18" s="2"/>
    </row>
    <row r="19" spans="1:6" x14ac:dyDescent="0.25">
      <c r="A19" s="4">
        <v>46141</v>
      </c>
      <c r="B19" s="2" t="s">
        <v>6937</v>
      </c>
      <c r="C19" s="2"/>
      <c r="D19" s="23"/>
      <c r="E19" s="23">
        <f t="shared" si="0"/>
        <v>0</v>
      </c>
      <c r="F19" s="2"/>
    </row>
    <row r="20" spans="1:6" x14ac:dyDescent="0.25">
      <c r="A20" s="4">
        <v>46142</v>
      </c>
      <c r="B20" s="2"/>
      <c r="C20" s="2"/>
      <c r="D20" s="23"/>
      <c r="E20" s="23">
        <f t="shared" si="0"/>
        <v>0</v>
      </c>
      <c r="F20" s="2"/>
    </row>
    <row r="21" spans="1:6" x14ac:dyDescent="0.25">
      <c r="A21" s="4">
        <v>46143</v>
      </c>
      <c r="B21" s="2"/>
      <c r="C21" s="2"/>
      <c r="D21" s="23"/>
      <c r="E21" s="23">
        <f t="shared" si="0"/>
        <v>0</v>
      </c>
      <c r="F21" s="2"/>
    </row>
    <row r="22" spans="1:6" x14ac:dyDescent="0.25">
      <c r="A22" s="4"/>
      <c r="B22" s="2"/>
      <c r="C22" s="2"/>
      <c r="D22" s="23"/>
      <c r="E22" s="23">
        <f t="shared" si="0"/>
        <v>0</v>
      </c>
      <c r="F22" s="2"/>
    </row>
    <row r="23" spans="1:6" x14ac:dyDescent="0.25">
      <c r="A23" s="4"/>
      <c r="B23" s="2"/>
      <c r="C23" s="2"/>
      <c r="D23" s="23"/>
      <c r="E23" s="23"/>
      <c r="F23" s="2"/>
    </row>
    <row r="24" spans="1:6" x14ac:dyDescent="0.25">
      <c r="A24" s="4"/>
      <c r="B24" s="2"/>
      <c r="C24" s="2"/>
      <c r="D24" s="23"/>
      <c r="E24" s="23"/>
      <c r="F24" s="2"/>
    </row>
    <row r="25" spans="1:6" x14ac:dyDescent="0.25">
      <c r="A25" s="4"/>
      <c r="B25" s="2"/>
      <c r="C25" s="2"/>
      <c r="D25" s="23"/>
      <c r="E25" s="23"/>
      <c r="F25" s="2"/>
    </row>
    <row r="26" spans="1:6" x14ac:dyDescent="0.25">
      <c r="A26" s="4"/>
      <c r="B26" s="2"/>
      <c r="C26" s="2"/>
      <c r="D26" s="23"/>
      <c r="E26" s="23"/>
      <c r="F26" s="2"/>
    </row>
    <row r="27" spans="1:6" x14ac:dyDescent="0.25">
      <c r="A27" s="4"/>
      <c r="B27" s="2"/>
      <c r="C27" s="2"/>
      <c r="D27" s="23"/>
      <c r="E27" s="23"/>
      <c r="F27" s="2"/>
    </row>
    <row r="28" spans="1:6" x14ac:dyDescent="0.25">
      <c r="A28" s="4"/>
      <c r="B28" s="2"/>
      <c r="C28" s="2"/>
      <c r="D28" s="23"/>
      <c r="E28" s="23"/>
      <c r="F28" s="2"/>
    </row>
    <row r="29" spans="1:6" x14ac:dyDescent="0.25">
      <c r="A29" s="4"/>
      <c r="B29" s="2"/>
      <c r="C29" s="2"/>
      <c r="D29" s="23"/>
      <c r="E29" s="23"/>
      <c r="F29" s="2"/>
    </row>
    <row r="30" spans="1:6" x14ac:dyDescent="0.25">
      <c r="A30" s="4"/>
      <c r="B30" s="2"/>
      <c r="C30" s="2"/>
      <c r="D30" s="23"/>
      <c r="E30" s="23"/>
      <c r="F30" s="2"/>
    </row>
    <row r="31" spans="1:6" x14ac:dyDescent="0.25">
      <c r="A31" s="4"/>
      <c r="B31" s="2"/>
      <c r="C31" s="2"/>
      <c r="D31" s="23"/>
      <c r="E31" s="23"/>
      <c r="F31" s="2"/>
    </row>
    <row r="32" spans="1:6" x14ac:dyDescent="0.25">
      <c r="A32" s="4"/>
      <c r="B32" s="2"/>
      <c r="C32" s="2"/>
      <c r="D32" s="23"/>
      <c r="E32" s="23"/>
      <c r="F32" s="2"/>
    </row>
    <row r="33" spans="1:6" x14ac:dyDescent="0.25">
      <c r="A33" s="4"/>
      <c r="B33" s="2"/>
      <c r="C33" s="2"/>
      <c r="D33" s="23"/>
      <c r="E33" s="23"/>
      <c r="F33" s="2"/>
    </row>
    <row r="34" spans="1:6" x14ac:dyDescent="0.25">
      <c r="A34" s="4"/>
      <c r="B34" s="2"/>
      <c r="C34" s="2"/>
      <c r="D34" s="23"/>
      <c r="E34" s="23"/>
      <c r="F34" s="2"/>
    </row>
    <row r="35" spans="1:6" x14ac:dyDescent="0.25">
      <c r="A35" s="4"/>
      <c r="B35" s="2"/>
      <c r="C35" s="2"/>
      <c r="D35" s="23"/>
      <c r="E35" s="23"/>
      <c r="F35" s="2"/>
    </row>
    <row r="36" spans="1:6" x14ac:dyDescent="0.25">
      <c r="A36" s="4"/>
      <c r="B36" s="2"/>
      <c r="C36" s="2"/>
      <c r="D36" s="23"/>
      <c r="E36" s="23"/>
      <c r="F36" s="2"/>
    </row>
    <row r="37" spans="1:6" x14ac:dyDescent="0.25">
      <c r="A37" s="4"/>
      <c r="B37" s="2"/>
      <c r="C37" s="2"/>
      <c r="D37" s="23"/>
      <c r="E37" s="23"/>
      <c r="F37" s="2"/>
    </row>
    <row r="38" spans="1:6" x14ac:dyDescent="0.25">
      <c r="A38" s="4"/>
      <c r="B38" s="2"/>
      <c r="C38" s="2"/>
      <c r="D38" s="23"/>
      <c r="E38" s="23"/>
      <c r="F38" s="2"/>
    </row>
    <row r="39" spans="1:6" x14ac:dyDescent="0.25">
      <c r="A39" s="4"/>
      <c r="B39" s="2"/>
      <c r="C39" s="2"/>
      <c r="D39" s="23"/>
      <c r="E39" s="23"/>
      <c r="F39" s="2"/>
    </row>
    <row r="40" spans="1:6" x14ac:dyDescent="0.25">
      <c r="A40" s="4"/>
      <c r="B40" s="2"/>
      <c r="C40" s="2"/>
      <c r="D40" s="23"/>
      <c r="E40" s="23"/>
      <c r="F40" s="2"/>
    </row>
    <row r="41" spans="1:6" x14ac:dyDescent="0.25">
      <c r="A41" s="4"/>
      <c r="B41" s="2"/>
      <c r="C41" s="2"/>
      <c r="D41" s="23"/>
      <c r="E41" s="23"/>
      <c r="F41" s="2"/>
    </row>
    <row r="42" spans="1:6" x14ac:dyDescent="0.25">
      <c r="A42" s="4"/>
      <c r="B42" s="2"/>
      <c r="C42" s="2"/>
      <c r="D42" s="23"/>
      <c r="E42" s="23"/>
      <c r="F42" s="2"/>
    </row>
    <row r="43" spans="1:6" x14ac:dyDescent="0.25">
      <c r="A43" s="4"/>
      <c r="B43" s="2"/>
      <c r="C43" s="2"/>
      <c r="D43" s="23"/>
      <c r="E43" s="23"/>
      <c r="F43" s="2"/>
    </row>
    <row r="44" spans="1:6" x14ac:dyDescent="0.25">
      <c r="A44" s="4"/>
      <c r="B44" s="2"/>
      <c r="C44" s="2"/>
      <c r="D44" s="23"/>
      <c r="E44" s="23"/>
      <c r="F44" s="2"/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ABEE7-FC8D-4B2E-8298-9FA1222A3C68}">
  <dimension ref="A1:H44"/>
  <sheetViews>
    <sheetView topLeftCell="A16" workbookViewId="0">
      <selection activeCell="B34" sqref="B34"/>
    </sheetView>
  </sheetViews>
  <sheetFormatPr defaultRowHeight="15" x14ac:dyDescent="0.25"/>
  <cols>
    <col min="1" max="1" width="20.28515625" customWidth="1"/>
    <col min="2" max="2" width="70.85546875" customWidth="1"/>
    <col min="3" max="3" width="37.7109375" customWidth="1"/>
    <col min="4" max="4" width="13" style="24" customWidth="1"/>
    <col min="5" max="5" width="9.140625" style="24"/>
    <col min="6" max="6" width="16.28515625" customWidth="1"/>
  </cols>
  <sheetData>
    <row r="1" spans="1:8" x14ac:dyDescent="0.25">
      <c r="A1" s="144" t="s">
        <v>6753</v>
      </c>
    </row>
    <row r="2" spans="1:8" ht="15.75" x14ac:dyDescent="0.25">
      <c r="A2" s="10" t="s">
        <v>0</v>
      </c>
      <c r="B2" s="11" t="s">
        <v>1</v>
      </c>
      <c r="C2" s="11" t="s">
        <v>2</v>
      </c>
      <c r="D2" s="11" t="s">
        <v>934</v>
      </c>
      <c r="E2" s="11" t="s">
        <v>1095</v>
      </c>
      <c r="F2" s="11" t="s">
        <v>1507</v>
      </c>
    </row>
    <row r="3" spans="1:8" x14ac:dyDescent="0.25">
      <c r="A3" s="4">
        <v>46128</v>
      </c>
      <c r="B3" s="2" t="s">
        <v>6792</v>
      </c>
      <c r="C3" s="2"/>
      <c r="D3" s="23"/>
      <c r="E3" s="23"/>
      <c r="F3" s="2"/>
      <c r="H3" t="s">
        <v>6825</v>
      </c>
    </row>
    <row r="4" spans="1:8" x14ac:dyDescent="0.25">
      <c r="A4" s="4">
        <v>46129</v>
      </c>
      <c r="B4" s="2" t="s">
        <v>6807</v>
      </c>
      <c r="C4" s="2" t="s">
        <v>6793</v>
      </c>
      <c r="D4" s="23"/>
      <c r="E4" s="23"/>
      <c r="F4" s="2"/>
      <c r="H4" t="s">
        <v>6826</v>
      </c>
    </row>
    <row r="5" spans="1:8" x14ac:dyDescent="0.25">
      <c r="A5" s="4">
        <v>46130</v>
      </c>
      <c r="B5" s="2" t="s">
        <v>6817</v>
      </c>
      <c r="C5" s="2" t="s">
        <v>6818</v>
      </c>
      <c r="D5" s="23"/>
      <c r="E5" s="23"/>
      <c r="F5" s="2"/>
      <c r="H5" t="s">
        <v>6827</v>
      </c>
    </row>
    <row r="6" spans="1:8" x14ac:dyDescent="0.25">
      <c r="A6" s="4">
        <v>46131</v>
      </c>
      <c r="B6" s="2" t="s">
        <v>6819</v>
      </c>
      <c r="C6" s="58"/>
      <c r="D6" s="23"/>
      <c r="E6" s="23"/>
      <c r="F6" s="2"/>
      <c r="H6" t="s">
        <v>6828</v>
      </c>
    </row>
    <row r="7" spans="1:8" x14ac:dyDescent="0.25">
      <c r="A7" s="4">
        <v>46132</v>
      </c>
      <c r="B7" s="2" t="s">
        <v>6808</v>
      </c>
      <c r="C7" s="16" t="s">
        <v>6841</v>
      </c>
      <c r="D7" s="23">
        <v>25</v>
      </c>
      <c r="E7" s="23">
        <f>D7-D6</f>
        <v>25</v>
      </c>
      <c r="F7" s="2"/>
      <c r="H7" t="s">
        <v>6829</v>
      </c>
    </row>
    <row r="8" spans="1:8" x14ac:dyDescent="0.25">
      <c r="A8" s="4">
        <v>46133</v>
      </c>
      <c r="B8" s="2" t="s">
        <v>6852</v>
      </c>
      <c r="C8" s="58"/>
      <c r="D8" s="23">
        <v>37</v>
      </c>
      <c r="E8" s="23">
        <f t="shared" ref="E8:E34" si="0">D8-D7</f>
        <v>12</v>
      </c>
      <c r="F8" s="2"/>
    </row>
    <row r="9" spans="1:8" x14ac:dyDescent="0.25">
      <c r="A9" s="4">
        <v>46134</v>
      </c>
      <c r="B9" s="2" t="s">
        <v>6853</v>
      </c>
      <c r="C9" s="2"/>
      <c r="D9" s="23">
        <v>50</v>
      </c>
      <c r="E9" s="23">
        <f t="shared" si="0"/>
        <v>13</v>
      </c>
      <c r="F9" s="2"/>
    </row>
    <row r="10" spans="1:8" x14ac:dyDescent="0.25">
      <c r="A10" s="4">
        <v>46135</v>
      </c>
      <c r="B10" s="2" t="s">
        <v>6878</v>
      </c>
      <c r="C10" s="2"/>
      <c r="D10" s="23">
        <v>75</v>
      </c>
      <c r="E10" s="23">
        <f t="shared" si="0"/>
        <v>25</v>
      </c>
      <c r="F10" s="2"/>
    </row>
    <row r="11" spans="1:8" x14ac:dyDescent="0.25">
      <c r="A11" s="4">
        <v>46136</v>
      </c>
      <c r="B11" s="2" t="s">
        <v>1367</v>
      </c>
      <c r="C11" s="2" t="s">
        <v>6892</v>
      </c>
      <c r="D11" s="23">
        <v>75</v>
      </c>
      <c r="E11" s="23">
        <f t="shared" si="0"/>
        <v>0</v>
      </c>
      <c r="F11" s="2"/>
    </row>
    <row r="12" spans="1:8" x14ac:dyDescent="0.25">
      <c r="A12" s="4">
        <v>46137</v>
      </c>
      <c r="B12" s="2" t="s">
        <v>6905</v>
      </c>
      <c r="C12" s="2" t="s">
        <v>6906</v>
      </c>
      <c r="D12" s="23">
        <v>75</v>
      </c>
      <c r="E12" s="23">
        <f t="shared" si="0"/>
        <v>0</v>
      </c>
      <c r="F12" s="2"/>
    </row>
    <row r="13" spans="1:8" x14ac:dyDescent="0.25">
      <c r="A13" s="4">
        <v>46138</v>
      </c>
      <c r="B13" s="2" t="s">
        <v>6907</v>
      </c>
      <c r="C13" s="2"/>
      <c r="D13" s="23">
        <v>75</v>
      </c>
      <c r="E13" s="23">
        <f t="shared" si="0"/>
        <v>0</v>
      </c>
      <c r="F13" s="2"/>
    </row>
    <row r="14" spans="1:8" x14ac:dyDescent="0.25">
      <c r="A14" s="4">
        <v>46139</v>
      </c>
      <c r="B14" s="2" t="s">
        <v>6930</v>
      </c>
      <c r="C14" s="2" t="s">
        <v>6931</v>
      </c>
      <c r="D14" s="23">
        <v>75</v>
      </c>
      <c r="E14" s="23">
        <f t="shared" si="0"/>
        <v>0</v>
      </c>
      <c r="F14" s="2"/>
    </row>
    <row r="15" spans="1:8" x14ac:dyDescent="0.25">
      <c r="A15" s="4">
        <v>46140</v>
      </c>
      <c r="B15" s="2" t="s">
        <v>6932</v>
      </c>
      <c r="C15" s="2"/>
      <c r="D15" s="23">
        <v>80</v>
      </c>
      <c r="E15" s="23">
        <f t="shared" si="0"/>
        <v>5</v>
      </c>
      <c r="F15" s="2"/>
    </row>
    <row r="16" spans="1:8" x14ac:dyDescent="0.25">
      <c r="A16" s="4">
        <v>46141</v>
      </c>
      <c r="B16" s="2" t="s">
        <v>1777</v>
      </c>
      <c r="C16" s="2" t="s">
        <v>6938</v>
      </c>
      <c r="D16" s="23">
        <v>85</v>
      </c>
      <c r="E16" s="23">
        <f t="shared" si="0"/>
        <v>5</v>
      </c>
      <c r="F16" s="2"/>
    </row>
    <row r="17" spans="1:6" x14ac:dyDescent="0.25">
      <c r="A17" s="4">
        <v>46142</v>
      </c>
      <c r="B17" s="2" t="s">
        <v>6952</v>
      </c>
      <c r="C17" s="2" t="s">
        <v>6953</v>
      </c>
      <c r="D17" s="23">
        <v>92</v>
      </c>
      <c r="E17" s="23">
        <f t="shared" si="0"/>
        <v>7</v>
      </c>
      <c r="F17" s="2"/>
    </row>
    <row r="18" spans="1:6" x14ac:dyDescent="0.25">
      <c r="A18" s="4">
        <v>46143</v>
      </c>
      <c r="B18" s="2" t="s">
        <v>6954</v>
      </c>
      <c r="C18" s="2"/>
      <c r="D18" s="23">
        <v>92</v>
      </c>
      <c r="E18" s="23">
        <f t="shared" si="0"/>
        <v>0</v>
      </c>
      <c r="F18" s="2"/>
    </row>
    <row r="19" spans="1:6" x14ac:dyDescent="0.25">
      <c r="A19" s="4">
        <v>46144</v>
      </c>
      <c r="B19" s="2" t="s">
        <v>6969</v>
      </c>
      <c r="C19" s="2"/>
      <c r="D19" s="23">
        <v>92</v>
      </c>
      <c r="E19" s="23">
        <f t="shared" si="0"/>
        <v>0</v>
      </c>
      <c r="F19" s="2"/>
    </row>
    <row r="20" spans="1:6" x14ac:dyDescent="0.25">
      <c r="A20" s="4">
        <v>46145</v>
      </c>
      <c r="B20" s="2" t="s">
        <v>6968</v>
      </c>
      <c r="C20" s="2" t="s">
        <v>6955</v>
      </c>
      <c r="D20" s="23">
        <v>92</v>
      </c>
      <c r="E20" s="23">
        <f t="shared" si="0"/>
        <v>0</v>
      </c>
      <c r="F20" s="2"/>
    </row>
    <row r="21" spans="1:6" x14ac:dyDescent="0.25">
      <c r="A21" s="4">
        <v>46146</v>
      </c>
      <c r="B21" s="2" t="s">
        <v>6977</v>
      </c>
      <c r="C21" s="2"/>
      <c r="D21" s="23">
        <v>92</v>
      </c>
      <c r="E21" s="23">
        <f t="shared" si="0"/>
        <v>0</v>
      </c>
      <c r="F21" s="2"/>
    </row>
    <row r="22" spans="1:6" x14ac:dyDescent="0.25">
      <c r="A22" s="4">
        <v>46147</v>
      </c>
      <c r="B22" s="2" t="s">
        <v>6975</v>
      </c>
      <c r="C22" s="2" t="s">
        <v>6974</v>
      </c>
      <c r="D22" s="23">
        <v>57</v>
      </c>
      <c r="E22" s="23">
        <f t="shared" si="0"/>
        <v>-35</v>
      </c>
      <c r="F22" s="2"/>
    </row>
    <row r="23" spans="1:6" x14ac:dyDescent="0.25">
      <c r="A23" s="4">
        <v>46148</v>
      </c>
      <c r="B23" s="2" t="s">
        <v>6982</v>
      </c>
      <c r="C23" s="2"/>
      <c r="D23" s="23">
        <v>57</v>
      </c>
      <c r="E23" s="23">
        <f t="shared" si="0"/>
        <v>0</v>
      </c>
      <c r="F23" s="2"/>
    </row>
    <row r="24" spans="1:6" x14ac:dyDescent="0.25">
      <c r="A24" s="4">
        <v>46149</v>
      </c>
      <c r="B24" s="2" t="s">
        <v>6991</v>
      </c>
      <c r="C24" s="2"/>
      <c r="D24" s="23">
        <v>57</v>
      </c>
      <c r="E24" s="23">
        <f t="shared" si="0"/>
        <v>0</v>
      </c>
      <c r="F24" s="2"/>
    </row>
    <row r="25" spans="1:6" x14ac:dyDescent="0.25">
      <c r="A25" s="4">
        <v>46150</v>
      </c>
      <c r="B25" s="2" t="s">
        <v>6992</v>
      </c>
      <c r="C25" s="2"/>
      <c r="D25" s="23">
        <v>105</v>
      </c>
      <c r="E25" s="23">
        <f t="shared" si="0"/>
        <v>48</v>
      </c>
      <c r="F25" s="2"/>
    </row>
    <row r="26" spans="1:6" x14ac:dyDescent="0.25">
      <c r="A26" s="4">
        <v>46151</v>
      </c>
      <c r="B26" s="2" t="s">
        <v>7008</v>
      </c>
      <c r="C26" s="2"/>
      <c r="D26" s="23">
        <v>105</v>
      </c>
      <c r="E26" s="23">
        <f t="shared" si="0"/>
        <v>0</v>
      </c>
      <c r="F26" s="2"/>
    </row>
    <row r="27" spans="1:6" x14ac:dyDescent="0.25">
      <c r="A27" s="4">
        <v>46152</v>
      </c>
      <c r="B27" s="2" t="s">
        <v>7009</v>
      </c>
      <c r="C27" s="2" t="s">
        <v>6075</v>
      </c>
      <c r="D27" s="23">
        <v>134</v>
      </c>
      <c r="E27" s="23">
        <f t="shared" si="0"/>
        <v>29</v>
      </c>
      <c r="F27" s="2"/>
    </row>
    <row r="28" spans="1:6" x14ac:dyDescent="0.25">
      <c r="A28" s="4">
        <v>46153</v>
      </c>
      <c r="B28" s="2" t="s">
        <v>1178</v>
      </c>
      <c r="C28" s="2"/>
      <c r="D28" s="23"/>
      <c r="E28" s="23">
        <f t="shared" si="0"/>
        <v>-134</v>
      </c>
      <c r="F28" s="2"/>
    </row>
    <row r="29" spans="1:6" x14ac:dyDescent="0.25">
      <c r="A29" s="4">
        <v>46154</v>
      </c>
      <c r="B29" s="2" t="s">
        <v>7023</v>
      </c>
      <c r="C29" s="2" t="s">
        <v>7024</v>
      </c>
      <c r="D29" s="23"/>
      <c r="E29" s="23">
        <f t="shared" si="0"/>
        <v>0</v>
      </c>
      <c r="F29" s="2"/>
    </row>
    <row r="30" spans="1:6" x14ac:dyDescent="0.25">
      <c r="A30" s="4">
        <v>46155</v>
      </c>
      <c r="B30" s="2" t="s">
        <v>7027</v>
      </c>
      <c r="C30" s="2"/>
      <c r="D30" s="23"/>
      <c r="E30" s="23">
        <f t="shared" si="0"/>
        <v>0</v>
      </c>
      <c r="F30" s="2"/>
    </row>
    <row r="31" spans="1:6" x14ac:dyDescent="0.25">
      <c r="A31" s="4">
        <v>46156</v>
      </c>
      <c r="B31" s="2" t="s">
        <v>7040</v>
      </c>
      <c r="C31" s="2" t="s">
        <v>7041</v>
      </c>
      <c r="D31" s="23"/>
      <c r="E31" s="23">
        <f t="shared" si="0"/>
        <v>0</v>
      </c>
      <c r="F31" s="2"/>
    </row>
    <row r="32" spans="1:6" x14ac:dyDescent="0.25">
      <c r="A32" s="4">
        <v>46157</v>
      </c>
      <c r="B32" s="2" t="s">
        <v>3862</v>
      </c>
      <c r="C32" s="2"/>
      <c r="D32" s="23"/>
      <c r="E32" s="23">
        <f t="shared" si="0"/>
        <v>0</v>
      </c>
      <c r="F32" s="2"/>
    </row>
    <row r="33" spans="1:6" x14ac:dyDescent="0.25">
      <c r="A33" s="4">
        <v>46158</v>
      </c>
      <c r="B33" s="2" t="s">
        <v>7035</v>
      </c>
      <c r="C33" s="2"/>
      <c r="D33" s="23"/>
      <c r="E33" s="23">
        <f t="shared" si="0"/>
        <v>0</v>
      </c>
      <c r="F33" s="2"/>
    </row>
    <row r="34" spans="1:6" x14ac:dyDescent="0.25">
      <c r="A34" s="4">
        <v>46159</v>
      </c>
      <c r="B34" s="2"/>
      <c r="C34" s="2"/>
      <c r="D34" s="23"/>
      <c r="E34" s="23">
        <f t="shared" si="0"/>
        <v>0</v>
      </c>
      <c r="F34" s="2"/>
    </row>
    <row r="35" spans="1:6" x14ac:dyDescent="0.25">
      <c r="A35" s="4"/>
      <c r="B35" s="2"/>
      <c r="C35" s="2"/>
      <c r="D35" s="23"/>
      <c r="E35" s="23"/>
      <c r="F35" s="2"/>
    </row>
    <row r="36" spans="1:6" x14ac:dyDescent="0.25">
      <c r="A36" s="4"/>
      <c r="B36" s="2"/>
      <c r="C36" s="2"/>
      <c r="D36" s="23"/>
      <c r="E36" s="23"/>
      <c r="F36" s="2"/>
    </row>
    <row r="37" spans="1:6" x14ac:dyDescent="0.25">
      <c r="A37" s="4"/>
      <c r="B37" s="2"/>
      <c r="C37" s="2"/>
      <c r="D37" s="23"/>
      <c r="E37" s="23"/>
      <c r="F37" s="2"/>
    </row>
    <row r="38" spans="1:6" x14ac:dyDescent="0.25">
      <c r="A38" s="4"/>
      <c r="B38" s="2"/>
      <c r="C38" s="2"/>
      <c r="D38" s="23"/>
      <c r="E38" s="23"/>
      <c r="F38" s="2"/>
    </row>
    <row r="39" spans="1:6" x14ac:dyDescent="0.25">
      <c r="A39" s="4"/>
      <c r="B39" s="2"/>
      <c r="C39" s="2"/>
      <c r="D39" s="23"/>
      <c r="E39" s="23"/>
      <c r="F39" s="2"/>
    </row>
    <row r="40" spans="1:6" x14ac:dyDescent="0.25">
      <c r="A40" s="4"/>
      <c r="B40" s="2"/>
      <c r="C40" s="2"/>
      <c r="D40" s="23"/>
      <c r="E40" s="23"/>
      <c r="F40" s="2"/>
    </row>
    <row r="41" spans="1:6" x14ac:dyDescent="0.25">
      <c r="A41" s="4"/>
      <c r="B41" s="2"/>
      <c r="C41" s="2"/>
      <c r="D41" s="23"/>
      <c r="E41" s="23"/>
      <c r="F41" s="2"/>
    </row>
    <row r="42" spans="1:6" x14ac:dyDescent="0.25">
      <c r="A42" s="4"/>
      <c r="B42" s="2"/>
      <c r="C42" s="2"/>
      <c r="D42" s="23"/>
      <c r="E42" s="23"/>
      <c r="F42" s="2"/>
    </row>
    <row r="43" spans="1:6" x14ac:dyDescent="0.25">
      <c r="A43" s="4"/>
      <c r="B43" s="2"/>
      <c r="C43" s="2"/>
      <c r="D43" s="23"/>
      <c r="E43" s="23"/>
      <c r="F43" s="2"/>
    </row>
    <row r="44" spans="1:6" x14ac:dyDescent="0.25">
      <c r="A44" s="4"/>
      <c r="B44" s="2"/>
      <c r="C44" s="2"/>
      <c r="D44" s="23"/>
      <c r="E44" s="23"/>
      <c r="F44" s="2"/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EC3B7-7B84-498A-B880-C16A4F716A63}">
  <dimension ref="A1:K44"/>
  <sheetViews>
    <sheetView workbookViewId="0">
      <selection activeCell="B15" sqref="B15"/>
    </sheetView>
  </sheetViews>
  <sheetFormatPr defaultRowHeight="15" x14ac:dyDescent="0.25"/>
  <cols>
    <col min="1" max="1" width="24.42578125" style="150" customWidth="1"/>
    <col min="2" max="2" width="96" bestFit="1" customWidth="1"/>
    <col min="3" max="3" width="37.7109375" customWidth="1"/>
    <col min="4" max="4" width="15" customWidth="1"/>
    <col min="5" max="5" width="9.140625" style="24"/>
    <col min="6" max="6" width="16.28515625" customWidth="1"/>
    <col min="8" max="9" width="9.140625" style="24"/>
    <col min="11" max="11" width="9.140625" style="24"/>
  </cols>
  <sheetData>
    <row r="1" spans="1:11" x14ac:dyDescent="0.25">
      <c r="A1" s="147" t="s">
        <v>6754</v>
      </c>
    </row>
    <row r="2" spans="1:11" ht="15.75" x14ac:dyDescent="0.25">
      <c r="A2" s="148" t="s">
        <v>0</v>
      </c>
      <c r="B2" s="11" t="s">
        <v>1</v>
      </c>
      <c r="C2" s="11" t="s">
        <v>2</v>
      </c>
      <c r="D2" s="11" t="s">
        <v>934</v>
      </c>
      <c r="E2" s="11" t="s">
        <v>1095</v>
      </c>
      <c r="F2" s="11" t="s">
        <v>1507</v>
      </c>
    </row>
    <row r="3" spans="1:11" x14ac:dyDescent="0.25">
      <c r="A3" s="149">
        <v>46129</v>
      </c>
      <c r="B3" s="2" t="s">
        <v>6809</v>
      </c>
      <c r="C3" s="2" t="s">
        <v>6798</v>
      </c>
      <c r="D3" s="23">
        <v>0</v>
      </c>
      <c r="E3" s="23"/>
      <c r="F3" s="2"/>
      <c r="H3" s="24">
        <v>13</v>
      </c>
      <c r="I3" s="24">
        <v>2.8</v>
      </c>
      <c r="J3">
        <f>H3*I3</f>
        <v>36.4</v>
      </c>
      <c r="K3" s="24">
        <v>50</v>
      </c>
    </row>
    <row r="4" spans="1:11" x14ac:dyDescent="0.25">
      <c r="A4" s="149">
        <v>46130</v>
      </c>
      <c r="B4" s="2" t="s">
        <v>6810</v>
      </c>
      <c r="C4" s="2"/>
      <c r="D4" s="23">
        <v>15</v>
      </c>
      <c r="E4" s="23">
        <f>D4-D3</f>
        <v>15</v>
      </c>
      <c r="F4" s="2"/>
      <c r="J4">
        <f>K3-J3</f>
        <v>13.600000000000001</v>
      </c>
    </row>
    <row r="5" spans="1:11" x14ac:dyDescent="0.25">
      <c r="A5" s="149">
        <v>46131</v>
      </c>
      <c r="B5" s="2" t="s">
        <v>6811</v>
      </c>
      <c r="C5" s="2">
        <f>13*3.8</f>
        <v>49.4</v>
      </c>
      <c r="D5" s="23">
        <v>32</v>
      </c>
      <c r="E5" s="23">
        <f>D5-D4</f>
        <v>17</v>
      </c>
      <c r="F5" s="2"/>
    </row>
    <row r="6" spans="1:11" x14ac:dyDescent="0.25">
      <c r="A6" s="149">
        <v>46132</v>
      </c>
      <c r="B6" s="2" t="s">
        <v>1031</v>
      </c>
      <c r="C6" s="58"/>
      <c r="D6" s="23">
        <v>50</v>
      </c>
      <c r="E6" s="23">
        <f t="shared" ref="E6:E19" si="0">D6-D5</f>
        <v>18</v>
      </c>
      <c r="F6" s="2"/>
    </row>
    <row r="7" spans="1:11" x14ac:dyDescent="0.25">
      <c r="A7" s="149">
        <v>46133</v>
      </c>
      <c r="B7" s="2" t="s">
        <v>6854</v>
      </c>
      <c r="C7" s="58" t="s">
        <v>6847</v>
      </c>
      <c r="D7" s="23">
        <v>115</v>
      </c>
      <c r="E7" s="23">
        <f t="shared" si="0"/>
        <v>65</v>
      </c>
      <c r="F7" s="2"/>
    </row>
    <row r="8" spans="1:11" x14ac:dyDescent="0.25">
      <c r="A8" s="149">
        <v>46134</v>
      </c>
      <c r="B8" s="2" t="s">
        <v>6868</v>
      </c>
      <c r="C8" s="58" t="s">
        <v>6855</v>
      </c>
      <c r="D8" s="23">
        <v>115</v>
      </c>
      <c r="E8" s="23">
        <f t="shared" si="0"/>
        <v>0</v>
      </c>
      <c r="F8" s="2"/>
    </row>
    <row r="9" spans="1:11" x14ac:dyDescent="0.25">
      <c r="A9" s="149">
        <v>46135</v>
      </c>
      <c r="B9" s="2" t="s">
        <v>6910</v>
      </c>
      <c r="C9" s="2"/>
      <c r="D9" s="23">
        <v>115</v>
      </c>
      <c r="E9" s="23">
        <f t="shared" si="0"/>
        <v>0</v>
      </c>
      <c r="F9" s="2"/>
    </row>
    <row r="10" spans="1:11" x14ac:dyDescent="0.25">
      <c r="A10" s="149">
        <v>46136</v>
      </c>
      <c r="B10" s="2" t="s">
        <v>6885</v>
      </c>
      <c r="C10" s="2"/>
      <c r="D10" s="23">
        <v>130</v>
      </c>
      <c r="E10" s="23">
        <f t="shared" si="0"/>
        <v>15</v>
      </c>
      <c r="F10" s="2"/>
    </row>
    <row r="11" spans="1:11" x14ac:dyDescent="0.25">
      <c r="A11" s="149">
        <v>46137</v>
      </c>
      <c r="B11" s="2" t="s">
        <v>6908</v>
      </c>
      <c r="C11" s="2"/>
      <c r="D11" s="2"/>
      <c r="E11" s="23">
        <f t="shared" si="0"/>
        <v>-130</v>
      </c>
      <c r="F11" s="2"/>
    </row>
    <row r="12" spans="1:11" x14ac:dyDescent="0.25">
      <c r="A12" s="149">
        <v>46138</v>
      </c>
      <c r="B12" s="2" t="s">
        <v>6909</v>
      </c>
      <c r="C12" s="2"/>
      <c r="D12" s="2"/>
      <c r="E12" s="23">
        <f t="shared" si="0"/>
        <v>0</v>
      </c>
      <c r="F12" s="2"/>
    </row>
    <row r="13" spans="1:11" x14ac:dyDescent="0.25">
      <c r="A13" s="149">
        <v>46139</v>
      </c>
      <c r="B13" s="2" t="s">
        <v>6917</v>
      </c>
      <c r="C13" s="2"/>
      <c r="D13" s="2"/>
      <c r="E13" s="23">
        <f t="shared" si="0"/>
        <v>0</v>
      </c>
      <c r="F13" s="2"/>
    </row>
    <row r="14" spans="1:11" x14ac:dyDescent="0.25">
      <c r="A14" s="149">
        <v>46140</v>
      </c>
      <c r="B14" s="2" t="s">
        <v>6933</v>
      </c>
      <c r="C14" s="2"/>
      <c r="D14" s="2"/>
      <c r="E14" s="23">
        <f t="shared" si="0"/>
        <v>0</v>
      </c>
      <c r="F14" s="2"/>
    </row>
    <row r="15" spans="1:11" x14ac:dyDescent="0.25">
      <c r="A15" s="149">
        <v>46141</v>
      </c>
      <c r="B15" s="2"/>
      <c r="C15" s="2"/>
      <c r="D15" s="2"/>
      <c r="E15" s="23">
        <f t="shared" si="0"/>
        <v>0</v>
      </c>
      <c r="F15" s="2"/>
    </row>
    <row r="16" spans="1:11" x14ac:dyDescent="0.25">
      <c r="A16" s="149">
        <v>46142</v>
      </c>
      <c r="B16" s="2"/>
      <c r="C16" s="2"/>
      <c r="D16" s="2"/>
      <c r="E16" s="23">
        <f t="shared" si="0"/>
        <v>0</v>
      </c>
      <c r="F16" s="2"/>
    </row>
    <row r="17" spans="1:6" x14ac:dyDescent="0.25">
      <c r="A17" s="149">
        <v>46143</v>
      </c>
      <c r="B17" s="2"/>
      <c r="C17" s="2"/>
      <c r="D17" s="2"/>
      <c r="E17" s="23">
        <f t="shared" si="0"/>
        <v>0</v>
      </c>
      <c r="F17" s="2"/>
    </row>
    <row r="18" spans="1:6" x14ac:dyDescent="0.25">
      <c r="A18" s="149">
        <v>46144</v>
      </c>
      <c r="B18" s="2"/>
      <c r="C18" s="2"/>
      <c r="D18" s="2"/>
      <c r="E18" s="23">
        <f t="shared" si="0"/>
        <v>0</v>
      </c>
      <c r="F18" s="2"/>
    </row>
    <row r="19" spans="1:6" x14ac:dyDescent="0.25">
      <c r="A19" s="149">
        <v>46145</v>
      </c>
      <c r="B19" s="2"/>
      <c r="C19" s="2"/>
      <c r="D19" s="2"/>
      <c r="E19" s="23">
        <f t="shared" si="0"/>
        <v>0</v>
      </c>
      <c r="F19" s="2"/>
    </row>
    <row r="20" spans="1:6" x14ac:dyDescent="0.25">
      <c r="A20" s="149">
        <v>46146</v>
      </c>
      <c r="B20" s="2"/>
      <c r="C20" s="2"/>
      <c r="D20" s="2"/>
      <c r="E20" s="23"/>
      <c r="F20" s="2"/>
    </row>
    <row r="21" spans="1:6" x14ac:dyDescent="0.25">
      <c r="A21" s="149">
        <v>46147</v>
      </c>
      <c r="B21" s="2"/>
      <c r="C21" s="2"/>
      <c r="D21" s="2"/>
      <c r="E21" s="23"/>
      <c r="F21" s="2"/>
    </row>
    <row r="22" spans="1:6" x14ac:dyDescent="0.25">
      <c r="A22" s="149">
        <v>46148</v>
      </c>
      <c r="B22" s="2"/>
      <c r="C22" s="2"/>
      <c r="D22" s="2"/>
      <c r="E22" s="23"/>
      <c r="F22" s="2"/>
    </row>
    <row r="23" spans="1:6" x14ac:dyDescent="0.25">
      <c r="A23" s="149">
        <v>46149</v>
      </c>
      <c r="B23" s="2"/>
      <c r="C23" s="2"/>
      <c r="D23" s="2"/>
      <c r="E23" s="23"/>
      <c r="F23" s="2"/>
    </row>
    <row r="24" spans="1:6" x14ac:dyDescent="0.25">
      <c r="A24" s="149">
        <v>46150</v>
      </c>
      <c r="B24" s="2"/>
      <c r="C24" s="2"/>
      <c r="D24" s="2"/>
      <c r="E24" s="23"/>
      <c r="F24" s="2"/>
    </row>
    <row r="25" spans="1:6" x14ac:dyDescent="0.25">
      <c r="A25" s="149">
        <v>46151</v>
      </c>
      <c r="B25" s="2"/>
      <c r="C25" s="2"/>
      <c r="D25" s="2"/>
      <c r="E25" s="23"/>
      <c r="F25" s="2"/>
    </row>
    <row r="26" spans="1:6" x14ac:dyDescent="0.25">
      <c r="A26" s="149"/>
      <c r="B26" s="2"/>
      <c r="C26" s="2"/>
      <c r="D26" s="2"/>
      <c r="E26" s="23"/>
      <c r="F26" s="2"/>
    </row>
    <row r="27" spans="1:6" x14ac:dyDescent="0.25">
      <c r="A27" s="149"/>
      <c r="B27" s="2"/>
      <c r="C27" s="2"/>
      <c r="D27" s="2"/>
      <c r="E27" s="23"/>
      <c r="F27" s="2"/>
    </row>
    <row r="28" spans="1:6" x14ac:dyDescent="0.25">
      <c r="A28" s="149"/>
      <c r="B28" s="2"/>
      <c r="C28" s="2"/>
      <c r="D28" s="2"/>
      <c r="E28" s="23"/>
      <c r="F28" s="2"/>
    </row>
    <row r="29" spans="1:6" x14ac:dyDescent="0.25">
      <c r="A29" s="149"/>
      <c r="B29" s="2"/>
      <c r="C29" s="2"/>
      <c r="D29" s="2"/>
      <c r="E29" s="23"/>
      <c r="F29" s="2"/>
    </row>
    <row r="30" spans="1:6" x14ac:dyDescent="0.25">
      <c r="A30" s="149"/>
      <c r="B30" s="2"/>
      <c r="C30" s="2"/>
      <c r="D30" s="2"/>
      <c r="E30" s="23"/>
      <c r="F30" s="2"/>
    </row>
    <row r="31" spans="1:6" x14ac:dyDescent="0.25">
      <c r="A31" s="149"/>
      <c r="B31" s="2"/>
      <c r="C31" s="2"/>
      <c r="D31" s="2"/>
      <c r="E31" s="23"/>
      <c r="F31" s="2"/>
    </row>
    <row r="32" spans="1:6" x14ac:dyDescent="0.25">
      <c r="A32" s="149"/>
      <c r="B32" s="2"/>
      <c r="C32" s="2"/>
      <c r="D32" s="2"/>
      <c r="E32" s="23"/>
      <c r="F32" s="2"/>
    </row>
    <row r="33" spans="1:6" x14ac:dyDescent="0.25">
      <c r="A33" s="149"/>
      <c r="B33" s="2"/>
      <c r="C33" s="2"/>
      <c r="D33" s="2"/>
      <c r="E33" s="23"/>
      <c r="F33" s="2"/>
    </row>
    <row r="34" spans="1:6" x14ac:dyDescent="0.25">
      <c r="A34" s="149"/>
      <c r="B34" s="2"/>
      <c r="C34" s="2"/>
      <c r="D34" s="2"/>
      <c r="E34" s="23"/>
      <c r="F34" s="2"/>
    </row>
    <row r="35" spans="1:6" x14ac:dyDescent="0.25">
      <c r="A35" s="149"/>
      <c r="B35" s="2"/>
      <c r="C35" s="2"/>
      <c r="D35" s="2"/>
      <c r="E35" s="23"/>
      <c r="F35" s="2"/>
    </row>
    <row r="36" spans="1:6" x14ac:dyDescent="0.25">
      <c r="A36" s="149"/>
      <c r="B36" s="2"/>
      <c r="C36" s="2"/>
      <c r="D36" s="2"/>
      <c r="E36" s="23"/>
      <c r="F36" s="2"/>
    </row>
    <row r="37" spans="1:6" x14ac:dyDescent="0.25">
      <c r="A37" s="149"/>
      <c r="B37" s="2"/>
      <c r="C37" s="2"/>
      <c r="D37" s="2"/>
      <c r="E37" s="23"/>
      <c r="F37" s="2"/>
    </row>
    <row r="38" spans="1:6" x14ac:dyDescent="0.25">
      <c r="A38" s="149"/>
      <c r="B38" s="2"/>
      <c r="C38" s="2"/>
      <c r="D38" s="2"/>
      <c r="E38" s="23"/>
      <c r="F38" s="2"/>
    </row>
    <row r="39" spans="1:6" x14ac:dyDescent="0.25">
      <c r="A39" s="149"/>
      <c r="B39" s="2"/>
      <c r="C39" s="2"/>
      <c r="D39" s="2"/>
      <c r="E39" s="23"/>
      <c r="F39" s="2"/>
    </row>
    <row r="40" spans="1:6" x14ac:dyDescent="0.25">
      <c r="A40" s="149"/>
      <c r="B40" s="2"/>
      <c r="C40" s="2"/>
      <c r="D40" s="2"/>
      <c r="E40" s="23"/>
      <c r="F40" s="2"/>
    </row>
    <row r="41" spans="1:6" x14ac:dyDescent="0.25">
      <c r="A41" s="149"/>
      <c r="B41" s="2"/>
      <c r="C41" s="2"/>
      <c r="D41" s="2"/>
      <c r="E41" s="23"/>
      <c r="F41" s="2"/>
    </row>
    <row r="42" spans="1:6" x14ac:dyDescent="0.25">
      <c r="A42" s="149"/>
      <c r="B42" s="2"/>
      <c r="C42" s="2"/>
      <c r="D42" s="2"/>
      <c r="E42" s="23"/>
      <c r="F42" s="2"/>
    </row>
    <row r="43" spans="1:6" x14ac:dyDescent="0.25">
      <c r="A43" s="149"/>
      <c r="B43" s="2"/>
      <c r="C43" s="2"/>
      <c r="D43" s="2"/>
      <c r="E43" s="23"/>
      <c r="F43" s="2"/>
    </row>
    <row r="44" spans="1:6" x14ac:dyDescent="0.25">
      <c r="A44" s="149"/>
      <c r="B44" s="2"/>
      <c r="C44" s="2"/>
      <c r="D44" s="2"/>
      <c r="E44" s="23"/>
      <c r="F44" s="2"/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1B33C-96DF-4B17-BA0C-3793DE5D727A}">
  <dimension ref="B2:K306"/>
  <sheetViews>
    <sheetView topLeftCell="B1" workbookViewId="0">
      <pane ySplit="3" topLeftCell="A223" activePane="bottomLeft" state="frozen"/>
      <selection activeCell="D8" sqref="D8"/>
      <selection pane="bottomLeft" activeCell="C233" sqref="C233"/>
    </sheetView>
  </sheetViews>
  <sheetFormatPr defaultRowHeight="15" x14ac:dyDescent="0.25"/>
  <cols>
    <col min="1" max="1" width="0" hidden="1" customWidth="1"/>
    <col min="2" max="2" width="22.5703125" bestFit="1" customWidth="1"/>
    <col min="3" max="3" width="75.140625" customWidth="1"/>
    <col min="4" max="4" width="42.140625" bestFit="1" customWidth="1"/>
    <col min="5" max="5" width="11.85546875" style="24" bestFit="1" customWidth="1"/>
    <col min="6" max="6" width="9.140625" style="24"/>
    <col min="7" max="7" width="11" bestFit="1" customWidth="1"/>
    <col min="9" max="10" width="9.140625" style="24"/>
    <col min="11" max="11" width="39" bestFit="1" customWidth="1"/>
  </cols>
  <sheetData>
    <row r="2" spans="2:9" x14ac:dyDescent="0.25">
      <c r="B2" s="144" t="s">
        <v>7065</v>
      </c>
    </row>
    <row r="3" spans="2:9" ht="15.75" x14ac:dyDescent="0.25">
      <c r="B3" s="10" t="s">
        <v>0</v>
      </c>
      <c r="C3" s="11" t="s">
        <v>1</v>
      </c>
      <c r="D3" s="11" t="s">
        <v>2</v>
      </c>
      <c r="E3" s="11" t="s">
        <v>934</v>
      </c>
      <c r="F3" s="11" t="s">
        <v>1095</v>
      </c>
      <c r="G3" s="11" t="s">
        <v>1507</v>
      </c>
      <c r="I3" s="24" t="s">
        <v>7120</v>
      </c>
    </row>
    <row r="4" spans="2:9" x14ac:dyDescent="0.25">
      <c r="B4" s="4">
        <v>45945</v>
      </c>
      <c r="C4" s="2" t="s">
        <v>4729</v>
      </c>
      <c r="D4" s="2"/>
      <c r="E4" s="23"/>
      <c r="F4" s="23"/>
      <c r="G4" s="2"/>
    </row>
    <row r="5" spans="2:9" x14ac:dyDescent="0.25">
      <c r="B5" s="4">
        <v>45946</v>
      </c>
      <c r="C5" s="2" t="s">
        <v>5649</v>
      </c>
      <c r="D5" s="2"/>
      <c r="E5" s="23"/>
      <c r="F5" s="23"/>
      <c r="G5" s="2"/>
    </row>
    <row r="6" spans="2:9" x14ac:dyDescent="0.25">
      <c r="B6" s="4">
        <v>45947</v>
      </c>
      <c r="C6" s="2" t="s">
        <v>279</v>
      </c>
      <c r="D6" s="2"/>
      <c r="E6" s="23"/>
      <c r="F6" s="23"/>
      <c r="G6" s="2"/>
    </row>
    <row r="7" spans="2:9" x14ac:dyDescent="0.25">
      <c r="B7" s="4">
        <v>45948</v>
      </c>
      <c r="C7" s="2" t="s">
        <v>5677</v>
      </c>
      <c r="D7" s="58"/>
      <c r="E7" s="23"/>
      <c r="F7" s="23"/>
      <c r="G7" s="2"/>
    </row>
    <row r="8" spans="2:9" x14ac:dyDescent="0.25">
      <c r="B8" s="4">
        <v>45949</v>
      </c>
      <c r="C8" s="2" t="s">
        <v>5676</v>
      </c>
      <c r="D8" s="58"/>
      <c r="E8" s="23"/>
      <c r="F8" s="23"/>
      <c r="G8" s="2"/>
    </row>
    <row r="9" spans="2:9" x14ac:dyDescent="0.25">
      <c r="B9" s="4">
        <v>45950</v>
      </c>
      <c r="C9" s="2" t="s">
        <v>5679</v>
      </c>
      <c r="D9" s="58" t="s">
        <v>5680</v>
      </c>
      <c r="E9" s="23"/>
      <c r="F9" s="23"/>
      <c r="G9" s="2"/>
    </row>
    <row r="10" spans="2:9" x14ac:dyDescent="0.25">
      <c r="B10" s="4">
        <v>45951</v>
      </c>
      <c r="C10" s="2" t="s">
        <v>5692</v>
      </c>
      <c r="D10" s="2"/>
      <c r="E10" s="23"/>
      <c r="F10" s="23"/>
      <c r="G10" s="2"/>
    </row>
    <row r="11" spans="2:9" x14ac:dyDescent="0.25">
      <c r="B11" s="4">
        <v>45952</v>
      </c>
      <c r="C11" s="2" t="s">
        <v>5703</v>
      </c>
      <c r="D11" s="2" t="s">
        <v>5704</v>
      </c>
      <c r="E11" s="23"/>
      <c r="F11" s="23"/>
      <c r="G11" s="2"/>
    </row>
    <row r="12" spans="2:9" x14ac:dyDescent="0.25">
      <c r="B12" s="4">
        <v>45953</v>
      </c>
      <c r="C12" s="2" t="s">
        <v>5711</v>
      </c>
      <c r="D12" s="2" t="s">
        <v>5712</v>
      </c>
      <c r="E12" s="23"/>
      <c r="F12" s="23"/>
      <c r="G12" s="2"/>
    </row>
    <row r="13" spans="2:9" x14ac:dyDescent="0.25">
      <c r="B13" s="4">
        <v>45954</v>
      </c>
      <c r="C13" s="2" t="s">
        <v>5725</v>
      </c>
      <c r="D13" s="2"/>
      <c r="E13" s="23"/>
      <c r="F13" s="23"/>
      <c r="G13" s="2"/>
    </row>
    <row r="14" spans="2:9" x14ac:dyDescent="0.25">
      <c r="B14" s="4">
        <v>45955</v>
      </c>
      <c r="C14" s="2" t="s">
        <v>5733</v>
      </c>
      <c r="D14" s="2"/>
      <c r="E14" s="23">
        <v>7</v>
      </c>
      <c r="F14" s="23">
        <f>E14-E13</f>
        <v>7</v>
      </c>
      <c r="G14" s="2"/>
    </row>
    <row r="15" spans="2:9" x14ac:dyDescent="0.25">
      <c r="B15" s="4">
        <v>45956</v>
      </c>
      <c r="C15" s="2" t="s">
        <v>5739</v>
      </c>
      <c r="D15" s="2"/>
      <c r="E15" s="23">
        <v>9</v>
      </c>
      <c r="F15" s="23">
        <f t="shared" ref="F15:F78" si="0">E15-E14</f>
        <v>2</v>
      </c>
      <c r="G15" s="2"/>
    </row>
    <row r="16" spans="2:9" x14ac:dyDescent="0.25">
      <c r="B16" s="4">
        <v>45957</v>
      </c>
      <c r="C16" s="2" t="s">
        <v>5756</v>
      </c>
      <c r="D16" s="2" t="s">
        <v>5747</v>
      </c>
      <c r="E16" s="23">
        <v>12</v>
      </c>
      <c r="F16" s="23">
        <f t="shared" si="0"/>
        <v>3</v>
      </c>
      <c r="G16" s="2"/>
    </row>
    <row r="17" spans="2:7" x14ac:dyDescent="0.25">
      <c r="B17" s="4">
        <v>45958</v>
      </c>
      <c r="C17" s="2" t="s">
        <v>5757</v>
      </c>
      <c r="D17" s="2" t="s">
        <v>5748</v>
      </c>
      <c r="E17" s="23">
        <v>16</v>
      </c>
      <c r="F17" s="23">
        <f t="shared" si="0"/>
        <v>4</v>
      </c>
      <c r="G17" s="2"/>
    </row>
    <row r="18" spans="2:7" x14ac:dyDescent="0.25">
      <c r="B18" s="4">
        <v>45959</v>
      </c>
      <c r="C18" s="2" t="s">
        <v>5758</v>
      </c>
      <c r="D18" s="2" t="s">
        <v>5759</v>
      </c>
      <c r="E18" s="23">
        <v>18</v>
      </c>
      <c r="F18" s="23">
        <f t="shared" si="0"/>
        <v>2</v>
      </c>
      <c r="G18" s="2"/>
    </row>
    <row r="19" spans="2:7" x14ac:dyDescent="0.25">
      <c r="B19" s="4">
        <v>45960</v>
      </c>
      <c r="C19" s="2" t="s">
        <v>5764</v>
      </c>
      <c r="D19" s="2"/>
      <c r="E19" s="23">
        <v>21</v>
      </c>
      <c r="F19" s="23">
        <f t="shared" si="0"/>
        <v>3</v>
      </c>
      <c r="G19" s="2"/>
    </row>
    <row r="20" spans="2:7" x14ac:dyDescent="0.25">
      <c r="B20" s="4">
        <v>45961</v>
      </c>
      <c r="C20" s="2" t="s">
        <v>5773</v>
      </c>
      <c r="D20" s="2"/>
      <c r="E20" s="23">
        <v>22</v>
      </c>
      <c r="F20" s="23">
        <f t="shared" si="0"/>
        <v>1</v>
      </c>
      <c r="G20" s="2"/>
    </row>
    <row r="21" spans="2:7" x14ac:dyDescent="0.25">
      <c r="B21" s="4">
        <v>45962</v>
      </c>
      <c r="C21" s="2" t="s">
        <v>5782</v>
      </c>
      <c r="D21" s="2"/>
      <c r="E21" s="23">
        <v>23</v>
      </c>
      <c r="F21" s="23">
        <f t="shared" si="0"/>
        <v>1</v>
      </c>
      <c r="G21" s="2"/>
    </row>
    <row r="22" spans="2:7" x14ac:dyDescent="0.25">
      <c r="B22" s="4">
        <v>45963</v>
      </c>
      <c r="C22" s="2" t="s">
        <v>5783</v>
      </c>
      <c r="D22" s="2"/>
      <c r="E22" s="23">
        <v>24</v>
      </c>
      <c r="F22" s="23">
        <f t="shared" si="0"/>
        <v>1</v>
      </c>
      <c r="G22" s="2"/>
    </row>
    <row r="23" spans="2:7" x14ac:dyDescent="0.25">
      <c r="B23" s="4">
        <v>45964</v>
      </c>
      <c r="C23" s="2" t="s">
        <v>5792</v>
      </c>
      <c r="D23" s="2"/>
      <c r="E23" s="23">
        <v>25.5</v>
      </c>
      <c r="F23" s="23">
        <f t="shared" si="0"/>
        <v>1.5</v>
      </c>
      <c r="G23" s="2"/>
    </row>
    <row r="24" spans="2:7" x14ac:dyDescent="0.25">
      <c r="B24" s="4">
        <v>45965</v>
      </c>
      <c r="C24" s="2" t="s">
        <v>5794</v>
      </c>
      <c r="D24" s="2"/>
      <c r="E24" s="23">
        <v>28</v>
      </c>
      <c r="F24" s="23">
        <f t="shared" si="0"/>
        <v>2.5</v>
      </c>
      <c r="G24" s="2"/>
    </row>
    <row r="25" spans="2:7" x14ac:dyDescent="0.25">
      <c r="B25" s="4">
        <v>45966</v>
      </c>
      <c r="C25" s="2" t="s">
        <v>5808</v>
      </c>
      <c r="D25" s="2" t="s">
        <v>5809</v>
      </c>
      <c r="E25" s="23">
        <v>30.5</v>
      </c>
      <c r="F25" s="23">
        <f t="shared" si="0"/>
        <v>2.5</v>
      </c>
      <c r="G25" s="2"/>
    </row>
    <row r="26" spans="2:7" x14ac:dyDescent="0.25">
      <c r="B26" s="4">
        <v>45967</v>
      </c>
      <c r="C26" s="2" t="s">
        <v>5812</v>
      </c>
      <c r="D26" s="2" t="s">
        <v>5814</v>
      </c>
      <c r="E26" s="23">
        <v>31</v>
      </c>
      <c r="F26" s="23">
        <f t="shared" si="0"/>
        <v>0.5</v>
      </c>
      <c r="G26" s="2"/>
    </row>
    <row r="27" spans="2:7" x14ac:dyDescent="0.25">
      <c r="B27" s="4">
        <v>45968</v>
      </c>
      <c r="C27" s="2" t="s">
        <v>5822</v>
      </c>
      <c r="D27" s="2" t="s">
        <v>5817</v>
      </c>
      <c r="E27" s="23">
        <v>31</v>
      </c>
      <c r="F27" s="23">
        <f t="shared" si="0"/>
        <v>0</v>
      </c>
      <c r="G27" s="2"/>
    </row>
    <row r="28" spans="2:7" x14ac:dyDescent="0.25">
      <c r="B28" s="4">
        <v>45969</v>
      </c>
      <c r="C28" s="2" t="s">
        <v>5825</v>
      </c>
      <c r="D28" s="2"/>
      <c r="E28" s="23">
        <v>34</v>
      </c>
      <c r="F28" s="23">
        <f t="shared" si="0"/>
        <v>3</v>
      </c>
      <c r="G28" s="2"/>
    </row>
    <row r="29" spans="2:7" x14ac:dyDescent="0.25">
      <c r="B29" s="4">
        <v>45970</v>
      </c>
      <c r="C29" s="2" t="s">
        <v>5890</v>
      </c>
      <c r="D29" s="2"/>
      <c r="E29" s="23">
        <v>37</v>
      </c>
      <c r="F29" s="23">
        <f t="shared" si="0"/>
        <v>3</v>
      </c>
      <c r="G29" s="2"/>
    </row>
    <row r="30" spans="2:7" x14ac:dyDescent="0.25">
      <c r="B30" s="4">
        <v>45971</v>
      </c>
      <c r="C30" s="2" t="s">
        <v>5891</v>
      </c>
      <c r="D30" s="2" t="s">
        <v>5839</v>
      </c>
      <c r="E30" s="23">
        <v>39</v>
      </c>
      <c r="F30" s="23">
        <f t="shared" si="0"/>
        <v>2</v>
      </c>
      <c r="G30" s="2"/>
    </row>
    <row r="31" spans="2:7" x14ac:dyDescent="0.25">
      <c r="B31" s="4">
        <v>45972</v>
      </c>
      <c r="C31" s="2" t="s">
        <v>5840</v>
      </c>
      <c r="D31" s="2"/>
      <c r="E31" s="23"/>
      <c r="F31" s="23">
        <f t="shared" si="0"/>
        <v>-39</v>
      </c>
      <c r="G31" s="2"/>
    </row>
    <row r="32" spans="2:7" x14ac:dyDescent="0.25">
      <c r="B32" s="4">
        <v>45973</v>
      </c>
      <c r="C32" s="2" t="s">
        <v>5848</v>
      </c>
      <c r="D32" s="2"/>
      <c r="E32" s="23"/>
      <c r="F32" s="23">
        <f t="shared" si="0"/>
        <v>0</v>
      </c>
      <c r="G32" s="2"/>
    </row>
    <row r="33" spans="2:7" x14ac:dyDescent="0.25">
      <c r="B33" s="4">
        <v>45974</v>
      </c>
      <c r="C33" s="2" t="s">
        <v>5848</v>
      </c>
      <c r="D33" s="2" t="s">
        <v>5854</v>
      </c>
      <c r="E33" s="23"/>
      <c r="F33" s="23">
        <f t="shared" si="0"/>
        <v>0</v>
      </c>
      <c r="G33" s="2"/>
    </row>
    <row r="34" spans="2:7" x14ac:dyDescent="0.25">
      <c r="B34" s="4">
        <v>45975</v>
      </c>
      <c r="C34" s="2" t="s">
        <v>5866</v>
      </c>
      <c r="D34" s="2"/>
      <c r="E34" s="23">
        <v>39</v>
      </c>
      <c r="F34" s="23">
        <f t="shared" si="0"/>
        <v>39</v>
      </c>
      <c r="G34" s="2"/>
    </row>
    <row r="35" spans="2:7" x14ac:dyDescent="0.25">
      <c r="B35" s="4">
        <v>45976</v>
      </c>
      <c r="C35" s="2" t="s">
        <v>5892</v>
      </c>
      <c r="D35" s="2" t="s">
        <v>5881</v>
      </c>
      <c r="E35" s="23">
        <v>39.5</v>
      </c>
      <c r="F35" s="23">
        <f t="shared" si="0"/>
        <v>0.5</v>
      </c>
      <c r="G35" s="2"/>
    </row>
    <row r="36" spans="2:7" x14ac:dyDescent="0.25">
      <c r="B36" s="4">
        <v>45977</v>
      </c>
      <c r="C36" s="2" t="s">
        <v>5893</v>
      </c>
      <c r="D36" s="2" t="s">
        <v>5894</v>
      </c>
      <c r="E36" s="23">
        <v>40</v>
      </c>
      <c r="F36" s="23">
        <f t="shared" si="0"/>
        <v>0.5</v>
      </c>
      <c r="G36" s="2"/>
    </row>
    <row r="37" spans="2:7" x14ac:dyDescent="0.25">
      <c r="B37" s="4">
        <v>45978</v>
      </c>
      <c r="C37" s="2" t="s">
        <v>5895</v>
      </c>
      <c r="D37" s="2"/>
      <c r="E37" s="23">
        <v>40.700000000000003</v>
      </c>
      <c r="F37" s="23">
        <f t="shared" si="0"/>
        <v>0.70000000000000284</v>
      </c>
      <c r="G37" s="2"/>
    </row>
    <row r="38" spans="2:7" x14ac:dyDescent="0.25">
      <c r="B38" s="4">
        <v>45979</v>
      </c>
      <c r="C38" s="2" t="s">
        <v>5908</v>
      </c>
      <c r="D38" s="2" t="s">
        <v>5910</v>
      </c>
      <c r="E38" s="23">
        <v>41</v>
      </c>
      <c r="F38" s="23">
        <f t="shared" si="0"/>
        <v>0.29999999999999716</v>
      </c>
      <c r="G38" s="2"/>
    </row>
    <row r="39" spans="2:7" x14ac:dyDescent="0.25">
      <c r="B39" s="4">
        <v>45980</v>
      </c>
      <c r="C39" s="2" t="s">
        <v>5918</v>
      </c>
      <c r="D39" s="2"/>
      <c r="E39" s="23"/>
      <c r="F39" s="23">
        <f t="shared" si="0"/>
        <v>-41</v>
      </c>
      <c r="G39" s="2"/>
    </row>
    <row r="40" spans="2:7" x14ac:dyDescent="0.25">
      <c r="B40" s="4">
        <v>45981</v>
      </c>
      <c r="C40" s="2" t="s">
        <v>5932</v>
      </c>
      <c r="D40" s="2"/>
      <c r="E40" s="23"/>
      <c r="F40" s="23">
        <f t="shared" si="0"/>
        <v>0</v>
      </c>
      <c r="G40" s="2"/>
    </row>
    <row r="41" spans="2:7" x14ac:dyDescent="0.25">
      <c r="B41" s="4">
        <v>45982</v>
      </c>
      <c r="C41" s="2" t="s">
        <v>5932</v>
      </c>
      <c r="D41" s="2" t="s">
        <v>5938</v>
      </c>
      <c r="E41" s="23"/>
      <c r="F41" s="23">
        <f t="shared" si="0"/>
        <v>0</v>
      </c>
      <c r="G41" s="2"/>
    </row>
    <row r="42" spans="2:7" x14ac:dyDescent="0.25">
      <c r="B42" s="4">
        <v>45983</v>
      </c>
      <c r="C42" s="2" t="s">
        <v>5942</v>
      </c>
      <c r="D42" s="2"/>
      <c r="E42" s="23"/>
      <c r="F42" s="23">
        <f t="shared" si="0"/>
        <v>0</v>
      </c>
      <c r="G42" s="2"/>
    </row>
    <row r="43" spans="2:7" x14ac:dyDescent="0.25">
      <c r="B43" s="4">
        <v>45984</v>
      </c>
      <c r="C43" s="2" t="s">
        <v>5954</v>
      </c>
      <c r="D43" s="2"/>
      <c r="E43" s="23">
        <v>41.6</v>
      </c>
      <c r="F43" s="23">
        <f t="shared" si="0"/>
        <v>41.6</v>
      </c>
      <c r="G43" s="2"/>
    </row>
    <row r="44" spans="2:7" x14ac:dyDescent="0.25">
      <c r="B44" s="4">
        <v>45985</v>
      </c>
      <c r="C44" s="2" t="s">
        <v>5961</v>
      </c>
      <c r="D44" s="2"/>
      <c r="E44" s="23">
        <v>42.1</v>
      </c>
      <c r="F44" s="23">
        <f t="shared" si="0"/>
        <v>0.5</v>
      </c>
      <c r="G44" s="2"/>
    </row>
    <row r="45" spans="2:7" x14ac:dyDescent="0.25">
      <c r="B45" s="4">
        <v>45986</v>
      </c>
      <c r="C45" s="2" t="s">
        <v>5972</v>
      </c>
      <c r="D45" s="2"/>
      <c r="E45" s="23">
        <v>43.1</v>
      </c>
      <c r="F45" s="23">
        <f t="shared" si="0"/>
        <v>1</v>
      </c>
      <c r="G45" s="2"/>
    </row>
    <row r="46" spans="2:7" x14ac:dyDescent="0.25">
      <c r="B46" s="4">
        <v>45987</v>
      </c>
      <c r="C46" s="2" t="s">
        <v>5983</v>
      </c>
      <c r="D46" s="2"/>
      <c r="E46" s="23">
        <v>43.1</v>
      </c>
      <c r="F46" s="23">
        <f t="shared" si="0"/>
        <v>0</v>
      </c>
      <c r="G46" s="2"/>
    </row>
    <row r="47" spans="2:7" x14ac:dyDescent="0.25">
      <c r="B47" s="4">
        <v>45988</v>
      </c>
      <c r="C47" s="2" t="s">
        <v>5989</v>
      </c>
      <c r="D47" s="2"/>
      <c r="E47" s="23">
        <v>44.1</v>
      </c>
      <c r="F47" s="23">
        <f t="shared" si="0"/>
        <v>1</v>
      </c>
      <c r="G47" s="2"/>
    </row>
    <row r="48" spans="2:7" x14ac:dyDescent="0.25">
      <c r="B48" s="4">
        <v>45989</v>
      </c>
      <c r="C48" s="2" t="s">
        <v>5992</v>
      </c>
      <c r="D48" s="2"/>
      <c r="E48" s="23"/>
      <c r="F48" s="23">
        <f t="shared" si="0"/>
        <v>-44.1</v>
      </c>
      <c r="G48" s="2"/>
    </row>
    <row r="49" spans="2:7" x14ac:dyDescent="0.25">
      <c r="B49" s="4">
        <v>45990</v>
      </c>
      <c r="C49" s="2" t="s">
        <v>6009</v>
      </c>
      <c r="D49" s="2"/>
      <c r="E49" s="23"/>
      <c r="F49" s="23">
        <f t="shared" si="0"/>
        <v>0</v>
      </c>
      <c r="G49" s="2"/>
    </row>
    <row r="50" spans="2:7" x14ac:dyDescent="0.25">
      <c r="B50" s="4">
        <v>45991</v>
      </c>
      <c r="C50" s="2" t="s">
        <v>6010</v>
      </c>
      <c r="D50" s="2"/>
      <c r="E50" s="23"/>
      <c r="F50" s="23">
        <f t="shared" si="0"/>
        <v>0</v>
      </c>
      <c r="G50" s="2"/>
    </row>
    <row r="51" spans="2:7" x14ac:dyDescent="0.25">
      <c r="B51" s="4">
        <v>45992</v>
      </c>
      <c r="C51" s="2" t="s">
        <v>6022</v>
      </c>
      <c r="D51" s="2"/>
      <c r="E51" s="23"/>
      <c r="F51" s="23">
        <f t="shared" si="0"/>
        <v>0</v>
      </c>
      <c r="G51" s="2"/>
    </row>
    <row r="52" spans="2:7" x14ac:dyDescent="0.25">
      <c r="B52" s="4">
        <v>45993</v>
      </c>
      <c r="C52" s="2" t="s">
        <v>6035</v>
      </c>
      <c r="D52" s="2"/>
      <c r="E52" s="23">
        <v>30</v>
      </c>
      <c r="F52" s="23">
        <f t="shared" si="0"/>
        <v>30</v>
      </c>
      <c r="G52" s="2"/>
    </row>
    <row r="53" spans="2:7" x14ac:dyDescent="0.25">
      <c r="B53" s="4">
        <v>45994</v>
      </c>
      <c r="C53" s="2" t="s">
        <v>6038</v>
      </c>
      <c r="D53" s="2"/>
      <c r="E53" s="23">
        <v>35</v>
      </c>
      <c r="F53" s="23">
        <f t="shared" si="0"/>
        <v>5</v>
      </c>
      <c r="G53" s="2"/>
    </row>
    <row r="54" spans="2:7" x14ac:dyDescent="0.25">
      <c r="B54" s="4">
        <v>45995</v>
      </c>
      <c r="C54" s="2" t="s">
        <v>6051</v>
      </c>
      <c r="D54" s="2"/>
      <c r="E54" s="23">
        <v>39</v>
      </c>
      <c r="F54" s="23">
        <f t="shared" si="0"/>
        <v>4</v>
      </c>
      <c r="G54" s="2"/>
    </row>
    <row r="55" spans="2:7" x14ac:dyDescent="0.25">
      <c r="B55" s="4">
        <v>45996</v>
      </c>
      <c r="C55" s="2" t="s">
        <v>6055</v>
      </c>
      <c r="D55" s="2"/>
      <c r="E55" s="23">
        <v>60</v>
      </c>
      <c r="F55" s="23">
        <f t="shared" si="0"/>
        <v>21</v>
      </c>
      <c r="G55" s="2"/>
    </row>
    <row r="56" spans="2:7" x14ac:dyDescent="0.25">
      <c r="B56" s="4">
        <v>45997</v>
      </c>
      <c r="C56" s="2" t="s">
        <v>6062</v>
      </c>
      <c r="D56" s="2"/>
      <c r="E56" s="23">
        <v>61</v>
      </c>
      <c r="F56" s="23">
        <f t="shared" si="0"/>
        <v>1</v>
      </c>
      <c r="G56" s="2"/>
    </row>
    <row r="57" spans="2:7" x14ac:dyDescent="0.25">
      <c r="B57" s="4">
        <v>45998</v>
      </c>
      <c r="C57" s="2" t="s">
        <v>6067</v>
      </c>
      <c r="D57" s="2" t="s">
        <v>6068</v>
      </c>
      <c r="E57" s="23">
        <v>61.2</v>
      </c>
      <c r="F57" s="23">
        <f t="shared" si="0"/>
        <v>0.20000000000000284</v>
      </c>
      <c r="G57" s="2"/>
    </row>
    <row r="58" spans="2:7" x14ac:dyDescent="0.25">
      <c r="B58" s="4">
        <v>45999</v>
      </c>
      <c r="C58" s="2" t="s">
        <v>6073</v>
      </c>
      <c r="D58" s="2"/>
      <c r="E58" s="23">
        <v>61.7</v>
      </c>
      <c r="F58" s="23">
        <f t="shared" si="0"/>
        <v>0.5</v>
      </c>
      <c r="G58" s="2"/>
    </row>
    <row r="59" spans="2:7" x14ac:dyDescent="0.25">
      <c r="B59" s="4">
        <v>46000</v>
      </c>
      <c r="C59" s="2" t="s">
        <v>6087</v>
      </c>
      <c r="D59" s="2"/>
      <c r="E59" s="23">
        <v>62.2</v>
      </c>
      <c r="F59" s="23">
        <f t="shared" si="0"/>
        <v>0.5</v>
      </c>
      <c r="G59" s="2"/>
    </row>
    <row r="60" spans="2:7" x14ac:dyDescent="0.25">
      <c r="B60" s="4">
        <v>46001</v>
      </c>
      <c r="C60" s="2" t="s">
        <v>6095</v>
      </c>
      <c r="D60" s="2"/>
      <c r="E60" s="23">
        <v>62.7</v>
      </c>
      <c r="F60" s="23">
        <f t="shared" si="0"/>
        <v>0.5</v>
      </c>
      <c r="G60" s="2"/>
    </row>
    <row r="61" spans="2:7" x14ac:dyDescent="0.25">
      <c r="B61" s="4">
        <v>46002</v>
      </c>
      <c r="C61" s="2" t="s">
        <v>6100</v>
      </c>
      <c r="D61" s="2" t="s">
        <v>6102</v>
      </c>
      <c r="E61" s="23">
        <v>63</v>
      </c>
      <c r="F61" s="23">
        <f t="shared" si="0"/>
        <v>0.29999999999999716</v>
      </c>
      <c r="G61" s="2"/>
    </row>
    <row r="62" spans="2:7" x14ac:dyDescent="0.25">
      <c r="B62" s="4">
        <v>46003</v>
      </c>
      <c r="C62" s="2" t="s">
        <v>6108</v>
      </c>
      <c r="D62" s="2"/>
      <c r="E62" s="23">
        <v>63</v>
      </c>
      <c r="F62" s="23">
        <f t="shared" si="0"/>
        <v>0</v>
      </c>
      <c r="G62" s="2"/>
    </row>
    <row r="63" spans="2:7" x14ac:dyDescent="0.25">
      <c r="B63" s="4">
        <v>46004</v>
      </c>
      <c r="C63" s="2" t="s">
        <v>6110</v>
      </c>
      <c r="D63" s="2"/>
      <c r="E63" s="23">
        <v>63</v>
      </c>
      <c r="F63" s="23">
        <f t="shared" si="0"/>
        <v>0</v>
      </c>
      <c r="G63" s="2"/>
    </row>
    <row r="64" spans="2:7" x14ac:dyDescent="0.25">
      <c r="B64" s="4">
        <v>46005</v>
      </c>
      <c r="C64" s="2" t="s">
        <v>6117</v>
      </c>
      <c r="D64" s="2"/>
      <c r="E64" s="23">
        <v>63</v>
      </c>
      <c r="F64" s="23">
        <f t="shared" si="0"/>
        <v>0</v>
      </c>
      <c r="G64" s="2"/>
    </row>
    <row r="65" spans="2:7" x14ac:dyDescent="0.25">
      <c r="B65" s="4">
        <v>46006</v>
      </c>
      <c r="C65" s="2" t="s">
        <v>6117</v>
      </c>
      <c r="D65" s="2"/>
      <c r="E65" s="23">
        <v>63</v>
      </c>
      <c r="F65" s="23">
        <f t="shared" si="0"/>
        <v>0</v>
      </c>
      <c r="G65" s="2"/>
    </row>
    <row r="66" spans="2:7" x14ac:dyDescent="0.25">
      <c r="B66" s="4">
        <v>46007</v>
      </c>
      <c r="C66" s="2" t="s">
        <v>6133</v>
      </c>
      <c r="D66" s="2" t="s">
        <v>6134</v>
      </c>
      <c r="E66" s="23">
        <v>63</v>
      </c>
      <c r="F66" s="23">
        <f t="shared" si="0"/>
        <v>0</v>
      </c>
      <c r="G66" s="2"/>
    </row>
    <row r="67" spans="2:7" x14ac:dyDescent="0.25">
      <c r="B67" s="4">
        <v>46008</v>
      </c>
      <c r="C67" s="2" t="s">
        <v>6145</v>
      </c>
      <c r="D67" s="2" t="s">
        <v>6158</v>
      </c>
      <c r="E67" s="23">
        <v>63</v>
      </c>
      <c r="F67" s="23">
        <f t="shared" si="0"/>
        <v>0</v>
      </c>
      <c r="G67" s="2"/>
    </row>
    <row r="68" spans="2:7" x14ac:dyDescent="0.25">
      <c r="B68" s="4">
        <v>46009</v>
      </c>
      <c r="C68" s="2" t="s">
        <v>6151</v>
      </c>
      <c r="D68" s="2"/>
      <c r="E68" s="23">
        <v>63</v>
      </c>
      <c r="F68" s="23">
        <f t="shared" si="0"/>
        <v>0</v>
      </c>
      <c r="G68" s="2"/>
    </row>
    <row r="69" spans="2:7" x14ac:dyDescent="0.25">
      <c r="B69" s="4">
        <v>46010</v>
      </c>
      <c r="C69" s="2" t="s">
        <v>6163</v>
      </c>
      <c r="D69" s="2"/>
      <c r="E69" s="23">
        <v>63</v>
      </c>
      <c r="F69" s="23">
        <f t="shared" si="0"/>
        <v>0</v>
      </c>
      <c r="G69" s="2"/>
    </row>
    <row r="70" spans="2:7" x14ac:dyDescent="0.25">
      <c r="B70" s="4">
        <v>46011</v>
      </c>
      <c r="C70" s="2" t="s">
        <v>6185</v>
      </c>
      <c r="D70" s="2"/>
      <c r="E70" s="23">
        <v>63</v>
      </c>
      <c r="F70" s="23">
        <f t="shared" si="0"/>
        <v>0</v>
      </c>
      <c r="G70" s="2"/>
    </row>
    <row r="71" spans="2:7" x14ac:dyDescent="0.25">
      <c r="B71" s="4">
        <v>46012</v>
      </c>
      <c r="C71" s="2" t="s">
        <v>6176</v>
      </c>
      <c r="D71" s="2" t="s">
        <v>6177</v>
      </c>
      <c r="E71" s="23">
        <v>63</v>
      </c>
      <c r="F71" s="23">
        <f t="shared" si="0"/>
        <v>0</v>
      </c>
      <c r="G71" s="2"/>
    </row>
    <row r="72" spans="2:7" x14ac:dyDescent="0.25">
      <c r="B72" s="4">
        <v>46013</v>
      </c>
      <c r="C72" s="2" t="s">
        <v>6186</v>
      </c>
      <c r="D72" s="2"/>
      <c r="E72" s="23">
        <v>63.3</v>
      </c>
      <c r="F72" s="23">
        <f t="shared" si="0"/>
        <v>0.29999999999999716</v>
      </c>
      <c r="G72" s="2"/>
    </row>
    <row r="73" spans="2:7" x14ac:dyDescent="0.25">
      <c r="B73" s="4">
        <v>46014</v>
      </c>
      <c r="C73" s="2" t="s">
        <v>6194</v>
      </c>
      <c r="D73" s="2" t="s">
        <v>6195</v>
      </c>
      <c r="E73" s="23">
        <v>63.5</v>
      </c>
      <c r="F73" s="23">
        <f t="shared" si="0"/>
        <v>0.20000000000000284</v>
      </c>
      <c r="G73" s="2"/>
    </row>
    <row r="74" spans="2:7" x14ac:dyDescent="0.25">
      <c r="B74" s="4">
        <v>46015</v>
      </c>
      <c r="C74" s="2" t="s">
        <v>6201</v>
      </c>
      <c r="D74" s="2"/>
      <c r="E74" s="23">
        <v>63.8</v>
      </c>
      <c r="F74" s="23">
        <f t="shared" si="0"/>
        <v>0.29999999999999716</v>
      </c>
      <c r="G74" s="2"/>
    </row>
    <row r="75" spans="2:7" x14ac:dyDescent="0.25">
      <c r="B75" s="4">
        <v>46016</v>
      </c>
      <c r="C75" s="2" t="s">
        <v>6214</v>
      </c>
      <c r="D75" s="2"/>
      <c r="E75" s="23">
        <v>64.099999999999994</v>
      </c>
      <c r="F75" s="23">
        <f t="shared" si="0"/>
        <v>0.29999999999999716</v>
      </c>
      <c r="G75" s="2"/>
    </row>
    <row r="76" spans="2:7" x14ac:dyDescent="0.25">
      <c r="B76" s="4">
        <v>46017</v>
      </c>
      <c r="C76" s="2" t="s">
        <v>6218</v>
      </c>
      <c r="D76" s="2"/>
      <c r="E76" s="23">
        <v>66</v>
      </c>
      <c r="F76" s="23">
        <f t="shared" si="0"/>
        <v>1.9000000000000057</v>
      </c>
      <c r="G76" s="2"/>
    </row>
    <row r="77" spans="2:7" x14ac:dyDescent="0.25">
      <c r="B77" s="4">
        <v>46018</v>
      </c>
      <c r="C77" s="2" t="s">
        <v>6224</v>
      </c>
      <c r="D77" s="2"/>
      <c r="E77" s="23">
        <v>66.3</v>
      </c>
      <c r="F77" s="23">
        <f t="shared" si="0"/>
        <v>0.29999999999999716</v>
      </c>
      <c r="G77" s="2"/>
    </row>
    <row r="78" spans="2:7" x14ac:dyDescent="0.25">
      <c r="B78" s="4">
        <v>46019</v>
      </c>
      <c r="C78" s="2" t="s">
        <v>6225</v>
      </c>
      <c r="D78" s="2"/>
      <c r="E78" s="23">
        <v>66.599999999999994</v>
      </c>
      <c r="F78" s="23">
        <f t="shared" si="0"/>
        <v>0.29999999999999716</v>
      </c>
      <c r="G78" s="2"/>
    </row>
    <row r="79" spans="2:7" x14ac:dyDescent="0.25">
      <c r="B79" s="4">
        <v>46020</v>
      </c>
      <c r="C79" s="2" t="s">
        <v>6236</v>
      </c>
      <c r="D79" s="2"/>
      <c r="E79" s="23">
        <v>66.900000000000006</v>
      </c>
      <c r="F79" s="23">
        <f t="shared" ref="F79:F142" si="1">E79-E78</f>
        <v>0.30000000000001137</v>
      </c>
      <c r="G79" s="2"/>
    </row>
    <row r="80" spans="2:7" x14ac:dyDescent="0.25">
      <c r="B80" s="4">
        <v>46021</v>
      </c>
      <c r="C80" s="2" t="s">
        <v>6237</v>
      </c>
      <c r="D80" s="2"/>
      <c r="E80" s="23">
        <v>67.2</v>
      </c>
      <c r="F80" s="23">
        <f t="shared" si="1"/>
        <v>0.29999999999999716</v>
      </c>
      <c r="G80" s="2"/>
    </row>
    <row r="81" spans="2:7" x14ac:dyDescent="0.25">
      <c r="B81" s="4">
        <v>46022</v>
      </c>
      <c r="C81" s="2" t="s">
        <v>6246</v>
      </c>
      <c r="D81" s="2"/>
      <c r="E81" s="23">
        <v>67.7</v>
      </c>
      <c r="F81" s="23">
        <f t="shared" si="1"/>
        <v>0.5</v>
      </c>
      <c r="G81" s="2"/>
    </row>
    <row r="82" spans="2:7" x14ac:dyDescent="0.25">
      <c r="B82" s="4">
        <v>46023</v>
      </c>
      <c r="C82" s="2" t="s">
        <v>480</v>
      </c>
      <c r="D82" s="2"/>
      <c r="E82" s="23">
        <v>67.7</v>
      </c>
      <c r="F82" s="23">
        <f t="shared" si="1"/>
        <v>0</v>
      </c>
      <c r="G82" s="2"/>
    </row>
    <row r="83" spans="2:7" x14ac:dyDescent="0.25">
      <c r="B83" s="4">
        <v>46024</v>
      </c>
      <c r="C83" s="2" t="s">
        <v>6287</v>
      </c>
      <c r="D83" s="2"/>
      <c r="E83" s="23">
        <v>68.2</v>
      </c>
      <c r="F83" s="23">
        <f t="shared" si="1"/>
        <v>0.5</v>
      </c>
      <c r="G83" s="2"/>
    </row>
    <row r="84" spans="2:7" x14ac:dyDescent="0.25">
      <c r="B84" s="4">
        <v>46025</v>
      </c>
      <c r="C84" s="2" t="s">
        <v>6288</v>
      </c>
      <c r="D84" s="2"/>
      <c r="E84" s="23">
        <v>68.599999999999994</v>
      </c>
      <c r="F84" s="23">
        <f t="shared" si="1"/>
        <v>0.39999999999999147</v>
      </c>
      <c r="G84" s="2"/>
    </row>
    <row r="85" spans="2:7" x14ac:dyDescent="0.25">
      <c r="B85" s="4">
        <v>46026</v>
      </c>
      <c r="C85" s="2" t="s">
        <v>6289</v>
      </c>
      <c r="D85" s="2"/>
      <c r="E85" s="23">
        <v>69</v>
      </c>
      <c r="F85" s="23">
        <f t="shared" si="1"/>
        <v>0.40000000000000568</v>
      </c>
      <c r="G85" s="2"/>
    </row>
    <row r="86" spans="2:7" x14ac:dyDescent="0.25">
      <c r="B86" s="4">
        <v>46027</v>
      </c>
      <c r="C86" s="2" t="s">
        <v>6290</v>
      </c>
      <c r="D86" s="2"/>
      <c r="E86" s="23">
        <v>69.400000000000006</v>
      </c>
      <c r="F86" s="23">
        <f t="shared" si="1"/>
        <v>0.40000000000000568</v>
      </c>
      <c r="G86" s="2"/>
    </row>
    <row r="87" spans="2:7" x14ac:dyDescent="0.25">
      <c r="B87" s="4">
        <v>46028</v>
      </c>
      <c r="C87" s="2" t="s">
        <v>6291</v>
      </c>
      <c r="D87" s="2"/>
      <c r="E87" s="23">
        <v>69.7</v>
      </c>
      <c r="F87" s="23">
        <f t="shared" si="1"/>
        <v>0.29999999999999716</v>
      </c>
      <c r="G87" s="2"/>
    </row>
    <row r="88" spans="2:7" x14ac:dyDescent="0.25">
      <c r="B88" s="4">
        <v>46029</v>
      </c>
      <c r="C88" s="2" t="s">
        <v>6292</v>
      </c>
      <c r="D88" s="2"/>
      <c r="E88" s="23">
        <v>71.3</v>
      </c>
      <c r="F88" s="23">
        <f t="shared" si="1"/>
        <v>1.5999999999999943</v>
      </c>
      <c r="G88" s="2"/>
    </row>
    <row r="89" spans="2:7" x14ac:dyDescent="0.25">
      <c r="B89" s="4">
        <v>46030</v>
      </c>
      <c r="C89" s="2" t="s">
        <v>6283</v>
      </c>
      <c r="D89" s="2"/>
      <c r="E89" s="23">
        <v>71.3</v>
      </c>
      <c r="F89" s="23">
        <f t="shared" si="1"/>
        <v>0</v>
      </c>
      <c r="G89" s="2"/>
    </row>
    <row r="90" spans="2:7" x14ac:dyDescent="0.25">
      <c r="B90" s="4">
        <v>46031</v>
      </c>
      <c r="C90" s="2" t="s">
        <v>6293</v>
      </c>
      <c r="D90" s="2"/>
      <c r="E90" s="23">
        <v>71.7</v>
      </c>
      <c r="F90" s="23">
        <f t="shared" si="1"/>
        <v>0.40000000000000568</v>
      </c>
      <c r="G90" s="2"/>
    </row>
    <row r="91" spans="2:7" x14ac:dyDescent="0.25">
      <c r="B91" s="4">
        <v>46032</v>
      </c>
      <c r="C91" s="2" t="s">
        <v>6304</v>
      </c>
      <c r="D91" s="2"/>
      <c r="E91" s="23">
        <v>72.099999999999994</v>
      </c>
      <c r="F91" s="23">
        <f t="shared" si="1"/>
        <v>0.39999999999999147</v>
      </c>
      <c r="G91" s="2"/>
    </row>
    <row r="92" spans="2:7" x14ac:dyDescent="0.25">
      <c r="B92" s="4">
        <v>46033</v>
      </c>
      <c r="C92" s="2" t="s">
        <v>6311</v>
      </c>
      <c r="D92" s="2" t="s">
        <v>5073</v>
      </c>
      <c r="E92" s="23">
        <v>72.400000000000006</v>
      </c>
      <c r="F92" s="23">
        <f t="shared" si="1"/>
        <v>0.30000000000001137</v>
      </c>
      <c r="G92" s="2"/>
    </row>
    <row r="93" spans="2:7" x14ac:dyDescent="0.25">
      <c r="B93" s="4">
        <v>46034</v>
      </c>
      <c r="C93" s="2" t="s">
        <v>6316</v>
      </c>
      <c r="D93" s="2"/>
      <c r="E93" s="23">
        <v>72.900000000000006</v>
      </c>
      <c r="F93" s="23">
        <f t="shared" si="1"/>
        <v>0.5</v>
      </c>
      <c r="G93" s="2"/>
    </row>
    <row r="94" spans="2:7" x14ac:dyDescent="0.25">
      <c r="B94" s="4">
        <v>46035</v>
      </c>
      <c r="C94" s="2" t="s">
        <v>6325</v>
      </c>
      <c r="D94" s="2"/>
      <c r="E94" s="23">
        <v>73.3</v>
      </c>
      <c r="F94" s="23">
        <f t="shared" si="1"/>
        <v>0.39999999999999147</v>
      </c>
      <c r="G94" s="2"/>
    </row>
    <row r="95" spans="2:7" x14ac:dyDescent="0.25">
      <c r="B95" s="4">
        <v>46036</v>
      </c>
      <c r="C95" s="2" t="s">
        <v>6331</v>
      </c>
      <c r="D95" s="2"/>
      <c r="E95" s="23">
        <v>73.7</v>
      </c>
      <c r="F95" s="23">
        <f t="shared" si="1"/>
        <v>0.40000000000000568</v>
      </c>
      <c r="G95" s="2"/>
    </row>
    <row r="96" spans="2:7" x14ac:dyDescent="0.25">
      <c r="B96" s="4">
        <v>46037</v>
      </c>
      <c r="C96" s="2" t="s">
        <v>6335</v>
      </c>
      <c r="D96" s="2"/>
      <c r="E96" s="23">
        <v>73.8</v>
      </c>
      <c r="F96" s="23">
        <f t="shared" si="1"/>
        <v>9.9999999999994316E-2</v>
      </c>
      <c r="G96" s="2"/>
    </row>
    <row r="97" spans="2:7" x14ac:dyDescent="0.25">
      <c r="B97" s="4">
        <v>46038</v>
      </c>
      <c r="C97" s="2" t="s">
        <v>6343</v>
      </c>
      <c r="D97" s="2"/>
      <c r="E97" s="23">
        <v>73.8</v>
      </c>
      <c r="F97" s="23">
        <f t="shared" si="1"/>
        <v>0</v>
      </c>
      <c r="G97" s="2"/>
    </row>
    <row r="98" spans="2:7" x14ac:dyDescent="0.25">
      <c r="B98" s="4">
        <v>46039</v>
      </c>
      <c r="C98" s="2" t="s">
        <v>6354</v>
      </c>
      <c r="D98" s="2"/>
      <c r="E98" s="23">
        <v>74.099999999999994</v>
      </c>
      <c r="F98" s="23">
        <f t="shared" si="1"/>
        <v>0.29999999999999716</v>
      </c>
      <c r="G98" s="2"/>
    </row>
    <row r="99" spans="2:7" x14ac:dyDescent="0.25">
      <c r="B99" s="4">
        <v>46040</v>
      </c>
      <c r="C99" s="2" t="s">
        <v>6355</v>
      </c>
      <c r="D99" s="2"/>
      <c r="E99" s="23">
        <v>74.400000000000006</v>
      </c>
      <c r="F99" s="23">
        <f t="shared" si="1"/>
        <v>0.30000000000001137</v>
      </c>
      <c r="G99" s="2"/>
    </row>
    <row r="100" spans="2:7" x14ac:dyDescent="0.25">
      <c r="B100" s="4">
        <v>46041</v>
      </c>
      <c r="C100" s="2" t="s">
        <v>6361</v>
      </c>
      <c r="D100" s="2" t="s">
        <v>6365</v>
      </c>
      <c r="E100" s="23">
        <v>74.599999999999994</v>
      </c>
      <c r="F100" s="23">
        <f t="shared" si="1"/>
        <v>0.19999999999998863</v>
      </c>
      <c r="G100" s="2"/>
    </row>
    <row r="101" spans="2:7" x14ac:dyDescent="0.25">
      <c r="B101" s="4">
        <v>46042</v>
      </c>
      <c r="C101" s="2" t="s">
        <v>6366</v>
      </c>
      <c r="D101" s="2" t="s">
        <v>5817</v>
      </c>
      <c r="E101" s="23">
        <v>74.599999999999994</v>
      </c>
      <c r="F101" s="23">
        <f t="shared" si="1"/>
        <v>0</v>
      </c>
      <c r="G101" s="2"/>
    </row>
    <row r="102" spans="2:7" x14ac:dyDescent="0.25">
      <c r="B102" s="4">
        <v>46043</v>
      </c>
      <c r="C102" s="2" t="s">
        <v>6374</v>
      </c>
      <c r="D102" s="2"/>
      <c r="E102" s="23">
        <v>74.599999999999994</v>
      </c>
      <c r="F102" s="23">
        <f t="shared" si="1"/>
        <v>0</v>
      </c>
      <c r="G102" s="2"/>
    </row>
    <row r="103" spans="2:7" x14ac:dyDescent="0.25">
      <c r="B103" s="4">
        <v>46044</v>
      </c>
      <c r="C103" s="2" t="s">
        <v>6378</v>
      </c>
      <c r="D103" s="2"/>
      <c r="E103" s="23">
        <v>74.599999999999994</v>
      </c>
      <c r="F103" s="23">
        <f t="shared" si="1"/>
        <v>0</v>
      </c>
      <c r="G103" s="2"/>
    </row>
    <row r="104" spans="2:7" x14ac:dyDescent="0.25">
      <c r="B104" s="4">
        <v>46045</v>
      </c>
      <c r="C104" s="2" t="s">
        <v>6385</v>
      </c>
      <c r="D104" s="2" t="s">
        <v>6386</v>
      </c>
      <c r="E104" s="23">
        <v>74.599999999999994</v>
      </c>
      <c r="F104" s="23">
        <f t="shared" si="1"/>
        <v>0</v>
      </c>
      <c r="G104" s="2"/>
    </row>
    <row r="105" spans="2:7" x14ac:dyDescent="0.25">
      <c r="B105" s="4">
        <v>46046</v>
      </c>
      <c r="C105" s="2" t="s">
        <v>6053</v>
      </c>
      <c r="D105" s="2"/>
      <c r="E105" s="23">
        <v>74.599999999999994</v>
      </c>
      <c r="F105" s="23">
        <f t="shared" si="1"/>
        <v>0</v>
      </c>
      <c r="G105" s="2"/>
    </row>
    <row r="106" spans="2:7" x14ac:dyDescent="0.25">
      <c r="B106" s="4">
        <v>46047</v>
      </c>
      <c r="C106" s="2" t="s">
        <v>6394</v>
      </c>
      <c r="D106" s="2"/>
      <c r="E106" s="23">
        <v>74.599999999999994</v>
      </c>
      <c r="F106" s="23">
        <f t="shared" si="1"/>
        <v>0</v>
      </c>
      <c r="G106" s="2"/>
    </row>
    <row r="107" spans="2:7" x14ac:dyDescent="0.25">
      <c r="B107" s="4">
        <v>46048</v>
      </c>
      <c r="C107" s="2" t="s">
        <v>6396</v>
      </c>
      <c r="D107" s="2" t="s">
        <v>6406</v>
      </c>
      <c r="E107" s="23">
        <v>74.8</v>
      </c>
      <c r="F107" s="23">
        <f t="shared" si="1"/>
        <v>0.20000000000000284</v>
      </c>
      <c r="G107" s="2"/>
    </row>
    <row r="108" spans="2:7" x14ac:dyDescent="0.25">
      <c r="B108" s="4">
        <v>46049</v>
      </c>
      <c r="C108" s="2" t="s">
        <v>6404</v>
      </c>
      <c r="D108" s="2" t="s">
        <v>6405</v>
      </c>
      <c r="E108" s="23">
        <v>74.8</v>
      </c>
      <c r="F108" s="23">
        <f t="shared" si="1"/>
        <v>0</v>
      </c>
      <c r="G108" s="2"/>
    </row>
    <row r="109" spans="2:7" x14ac:dyDescent="0.25">
      <c r="B109" s="4">
        <v>46050</v>
      </c>
      <c r="C109" s="2" t="s">
        <v>6410</v>
      </c>
      <c r="D109" s="2"/>
      <c r="E109" s="23">
        <v>75</v>
      </c>
      <c r="F109" s="23">
        <f t="shared" si="1"/>
        <v>0.20000000000000284</v>
      </c>
      <c r="G109" s="2"/>
    </row>
    <row r="110" spans="2:7" x14ac:dyDescent="0.25">
      <c r="B110" s="4">
        <v>46051</v>
      </c>
      <c r="C110" s="2" t="s">
        <v>6417</v>
      </c>
      <c r="D110" s="2" t="s">
        <v>6418</v>
      </c>
      <c r="E110" s="23">
        <v>75</v>
      </c>
      <c r="F110" s="23">
        <f t="shared" si="1"/>
        <v>0</v>
      </c>
      <c r="G110" s="2"/>
    </row>
    <row r="111" spans="2:7" x14ac:dyDescent="0.25">
      <c r="B111" s="4">
        <v>46052</v>
      </c>
      <c r="C111" s="2" t="s">
        <v>6420</v>
      </c>
      <c r="D111" s="2"/>
      <c r="E111" s="23">
        <v>75.3</v>
      </c>
      <c r="F111" s="23">
        <f t="shared" si="1"/>
        <v>0.29999999999999716</v>
      </c>
      <c r="G111" s="2"/>
    </row>
    <row r="112" spans="2:7" x14ac:dyDescent="0.25">
      <c r="B112" s="4">
        <v>46053</v>
      </c>
      <c r="C112" s="2" t="s">
        <v>6436</v>
      </c>
      <c r="D112" s="2"/>
      <c r="E112" s="23">
        <v>75.5</v>
      </c>
      <c r="F112" s="23">
        <f t="shared" si="1"/>
        <v>0.20000000000000284</v>
      </c>
      <c r="G112" s="2"/>
    </row>
    <row r="113" spans="2:7" x14ac:dyDescent="0.25">
      <c r="B113" s="4">
        <v>46054</v>
      </c>
      <c r="C113" s="2" t="s">
        <v>6426</v>
      </c>
      <c r="D113" s="2" t="s">
        <v>6427</v>
      </c>
      <c r="E113" s="23">
        <v>50</v>
      </c>
      <c r="F113" s="23">
        <f t="shared" si="1"/>
        <v>-25.5</v>
      </c>
      <c r="G113" s="2"/>
    </row>
    <row r="114" spans="2:7" x14ac:dyDescent="0.25">
      <c r="B114" s="4">
        <v>46055</v>
      </c>
      <c r="C114" s="2" t="s">
        <v>6431</v>
      </c>
      <c r="D114" s="2" t="s">
        <v>6437</v>
      </c>
      <c r="E114" s="23">
        <v>59</v>
      </c>
      <c r="F114" s="23">
        <f t="shared" si="1"/>
        <v>9</v>
      </c>
      <c r="G114" s="2"/>
    </row>
    <row r="115" spans="2:7" x14ac:dyDescent="0.25">
      <c r="B115" s="4">
        <v>46056</v>
      </c>
      <c r="C115" s="2" t="s">
        <v>6440</v>
      </c>
      <c r="D115" s="2"/>
      <c r="E115" s="23">
        <v>76</v>
      </c>
      <c r="F115" s="23">
        <f t="shared" si="1"/>
        <v>17</v>
      </c>
      <c r="G115" s="2"/>
    </row>
    <row r="116" spans="2:7" x14ac:dyDescent="0.25">
      <c r="B116" s="4">
        <v>46057</v>
      </c>
      <c r="C116" s="2" t="s">
        <v>6444</v>
      </c>
      <c r="D116" s="2" t="s">
        <v>6445</v>
      </c>
      <c r="E116" s="23">
        <v>76.099999999999994</v>
      </c>
      <c r="F116" s="23">
        <f t="shared" si="1"/>
        <v>9.9999999999994316E-2</v>
      </c>
      <c r="G116" s="2"/>
    </row>
    <row r="117" spans="2:7" x14ac:dyDescent="0.25">
      <c r="B117" s="4">
        <v>46058</v>
      </c>
      <c r="C117" s="2" t="s">
        <v>6461</v>
      </c>
      <c r="D117" s="2"/>
      <c r="E117" s="23">
        <v>76.3</v>
      </c>
      <c r="F117" s="23">
        <f t="shared" si="1"/>
        <v>0.20000000000000284</v>
      </c>
      <c r="G117" s="2"/>
    </row>
    <row r="118" spans="2:7" x14ac:dyDescent="0.25">
      <c r="B118" s="4">
        <v>46059</v>
      </c>
      <c r="C118" s="2" t="s">
        <v>6465</v>
      </c>
      <c r="D118" s="2"/>
      <c r="E118" s="23">
        <v>76.5</v>
      </c>
      <c r="F118" s="23">
        <f t="shared" si="1"/>
        <v>0.20000000000000284</v>
      </c>
      <c r="G118" s="2"/>
    </row>
    <row r="119" spans="2:7" x14ac:dyDescent="0.25">
      <c r="B119" s="4">
        <v>46060</v>
      </c>
      <c r="C119" s="2" t="s">
        <v>6468</v>
      </c>
      <c r="D119" s="2"/>
      <c r="E119" s="23">
        <v>76.7</v>
      </c>
      <c r="F119" s="23">
        <f t="shared" si="1"/>
        <v>0.20000000000000284</v>
      </c>
      <c r="G119" s="2"/>
    </row>
    <row r="120" spans="2:7" x14ac:dyDescent="0.25">
      <c r="B120" s="4">
        <v>46061</v>
      </c>
      <c r="C120" s="2" t="s">
        <v>6469</v>
      </c>
      <c r="D120" s="2"/>
      <c r="E120" s="23">
        <v>77</v>
      </c>
      <c r="F120" s="23">
        <f t="shared" si="1"/>
        <v>0.29999999999999716</v>
      </c>
      <c r="G120" s="2"/>
    </row>
    <row r="121" spans="2:7" x14ac:dyDescent="0.25">
      <c r="B121" s="4">
        <v>46062</v>
      </c>
      <c r="C121" s="2" t="s">
        <v>6475</v>
      </c>
      <c r="D121" s="2" t="s">
        <v>5881</v>
      </c>
      <c r="E121" s="23">
        <v>77.150000000000006</v>
      </c>
      <c r="F121" s="23">
        <f t="shared" si="1"/>
        <v>0.15000000000000568</v>
      </c>
      <c r="G121" s="2"/>
    </row>
    <row r="122" spans="2:7" x14ac:dyDescent="0.25">
      <c r="B122" s="4">
        <v>46063</v>
      </c>
      <c r="C122" s="2" t="s">
        <v>6487</v>
      </c>
      <c r="D122" s="2"/>
      <c r="E122" s="23">
        <v>77.400000000000006</v>
      </c>
      <c r="F122" s="23">
        <f t="shared" si="1"/>
        <v>0.25</v>
      </c>
      <c r="G122" s="2"/>
    </row>
    <row r="123" spans="2:7" x14ac:dyDescent="0.25">
      <c r="B123" s="4">
        <v>46064</v>
      </c>
      <c r="C123" s="2" t="s">
        <v>6493</v>
      </c>
      <c r="D123" s="2"/>
      <c r="E123" s="23">
        <v>77.599999999999994</v>
      </c>
      <c r="F123" s="23">
        <f t="shared" si="1"/>
        <v>0.19999999999998863</v>
      </c>
      <c r="G123" s="2"/>
    </row>
    <row r="124" spans="2:7" x14ac:dyDescent="0.25">
      <c r="B124" s="4">
        <v>46065</v>
      </c>
      <c r="C124" s="2" t="s">
        <v>6498</v>
      </c>
      <c r="D124" s="2" t="s">
        <v>5817</v>
      </c>
      <c r="E124" s="23">
        <v>77.599999999999994</v>
      </c>
      <c r="F124" s="23">
        <f t="shared" si="1"/>
        <v>0</v>
      </c>
      <c r="G124" s="2"/>
    </row>
    <row r="125" spans="2:7" x14ac:dyDescent="0.25">
      <c r="B125" s="4">
        <v>46066</v>
      </c>
      <c r="C125" s="2" t="s">
        <v>6519</v>
      </c>
      <c r="D125" s="2"/>
      <c r="E125" s="23">
        <v>77.8</v>
      </c>
      <c r="F125" s="23">
        <f t="shared" si="1"/>
        <v>0.20000000000000284</v>
      </c>
      <c r="G125" s="2"/>
    </row>
    <row r="126" spans="2:7" x14ac:dyDescent="0.25">
      <c r="B126" s="4">
        <v>46067</v>
      </c>
      <c r="C126" s="2" t="s">
        <v>6520</v>
      </c>
      <c r="D126" s="2"/>
      <c r="E126" s="23">
        <v>80</v>
      </c>
      <c r="F126" s="23">
        <f t="shared" si="1"/>
        <v>2.2000000000000028</v>
      </c>
      <c r="G126" s="2"/>
    </row>
    <row r="127" spans="2:7" x14ac:dyDescent="0.25">
      <c r="B127" s="4">
        <v>46068</v>
      </c>
      <c r="C127" s="2" t="s">
        <v>6521</v>
      </c>
      <c r="D127" s="2"/>
      <c r="E127" s="23">
        <v>80.2</v>
      </c>
      <c r="F127" s="23">
        <f t="shared" si="1"/>
        <v>0.20000000000000284</v>
      </c>
      <c r="G127" s="2"/>
    </row>
    <row r="128" spans="2:7" x14ac:dyDescent="0.25">
      <c r="B128" s="4">
        <v>46069</v>
      </c>
      <c r="C128" s="2" t="s">
        <v>6530</v>
      </c>
      <c r="D128" s="2"/>
      <c r="E128" s="23">
        <v>80.349999999999994</v>
      </c>
      <c r="F128" s="23">
        <f t="shared" si="1"/>
        <v>0.14999999999999147</v>
      </c>
      <c r="G128" s="2"/>
    </row>
    <row r="129" spans="2:7" x14ac:dyDescent="0.25">
      <c r="B129" s="4">
        <v>46070</v>
      </c>
      <c r="C129" s="2" t="s">
        <v>6537</v>
      </c>
      <c r="D129" s="2"/>
      <c r="E129" s="23">
        <v>80.349999999999994</v>
      </c>
      <c r="F129" s="23">
        <f t="shared" si="1"/>
        <v>0</v>
      </c>
      <c r="G129" s="2"/>
    </row>
    <row r="130" spans="2:7" x14ac:dyDescent="0.25">
      <c r="B130" s="4">
        <v>46071</v>
      </c>
      <c r="C130" s="2" t="s">
        <v>6394</v>
      </c>
      <c r="D130" s="2"/>
      <c r="E130" s="23">
        <v>80.349999999999994</v>
      </c>
      <c r="F130" s="23">
        <f t="shared" si="1"/>
        <v>0</v>
      </c>
      <c r="G130" s="2"/>
    </row>
    <row r="131" spans="2:7" x14ac:dyDescent="0.25">
      <c r="B131" s="4">
        <v>46072</v>
      </c>
      <c r="C131" s="2" t="s">
        <v>6544</v>
      </c>
      <c r="D131" s="2"/>
      <c r="E131" s="23">
        <v>80.349999999999994</v>
      </c>
      <c r="F131" s="23">
        <f t="shared" si="1"/>
        <v>0</v>
      </c>
      <c r="G131" s="2"/>
    </row>
    <row r="132" spans="2:7" x14ac:dyDescent="0.25">
      <c r="B132" s="4">
        <v>46073</v>
      </c>
      <c r="C132" s="2" t="s">
        <v>6560</v>
      </c>
      <c r="D132" s="2"/>
      <c r="E132" s="23">
        <v>80.5</v>
      </c>
      <c r="F132" s="23">
        <f t="shared" si="1"/>
        <v>0.15000000000000568</v>
      </c>
      <c r="G132" s="2"/>
    </row>
    <row r="133" spans="2:7" x14ac:dyDescent="0.25">
      <c r="B133" s="4">
        <v>46074</v>
      </c>
      <c r="C133" s="2" t="s">
        <v>6561</v>
      </c>
      <c r="D133" s="2"/>
      <c r="E133" s="23">
        <v>80.650000000000006</v>
      </c>
      <c r="F133" s="23">
        <f t="shared" si="1"/>
        <v>0.15000000000000568</v>
      </c>
      <c r="G133" s="2"/>
    </row>
    <row r="134" spans="2:7" x14ac:dyDescent="0.25">
      <c r="B134" s="4">
        <v>46075</v>
      </c>
      <c r="C134" s="2" t="s">
        <v>6562</v>
      </c>
      <c r="D134" s="2"/>
      <c r="E134" s="23">
        <v>80.8</v>
      </c>
      <c r="F134" s="23">
        <f t="shared" si="1"/>
        <v>0.14999999999999147</v>
      </c>
      <c r="G134" s="2"/>
    </row>
    <row r="135" spans="2:7" x14ac:dyDescent="0.25">
      <c r="B135" s="4">
        <v>46076</v>
      </c>
      <c r="C135" s="2" t="s">
        <v>6576</v>
      </c>
      <c r="D135" s="2"/>
      <c r="E135" s="23">
        <v>80.8</v>
      </c>
      <c r="F135" s="23">
        <f t="shared" si="1"/>
        <v>0</v>
      </c>
      <c r="G135" s="2"/>
    </row>
    <row r="136" spans="2:7" x14ac:dyDescent="0.25">
      <c r="B136" s="4">
        <v>46077</v>
      </c>
      <c r="C136" s="2" t="s">
        <v>6585</v>
      </c>
      <c r="D136" s="2"/>
      <c r="E136" s="23">
        <v>80.95</v>
      </c>
      <c r="F136" s="23">
        <f t="shared" si="1"/>
        <v>0.15000000000000568</v>
      </c>
      <c r="G136" s="2"/>
    </row>
    <row r="137" spans="2:7" x14ac:dyDescent="0.25">
      <c r="B137" s="4">
        <v>46078</v>
      </c>
      <c r="C137" s="2" t="s">
        <v>6592</v>
      </c>
      <c r="D137" s="2" t="s">
        <v>6593</v>
      </c>
      <c r="E137" s="23">
        <v>81.05</v>
      </c>
      <c r="F137" s="23">
        <f t="shared" si="1"/>
        <v>9.9999999999994316E-2</v>
      </c>
      <c r="G137" s="2"/>
    </row>
    <row r="138" spans="2:7" x14ac:dyDescent="0.25">
      <c r="B138" s="4">
        <v>46079</v>
      </c>
      <c r="C138" s="2" t="s">
        <v>6600</v>
      </c>
      <c r="D138" s="2" t="s">
        <v>6601</v>
      </c>
      <c r="E138" s="23">
        <v>81.05</v>
      </c>
      <c r="F138" s="23">
        <f t="shared" si="1"/>
        <v>0</v>
      </c>
      <c r="G138" s="2"/>
    </row>
    <row r="139" spans="2:7" x14ac:dyDescent="0.25">
      <c r="B139" s="4">
        <v>46080</v>
      </c>
      <c r="C139" s="2" t="s">
        <v>6607</v>
      </c>
      <c r="D139" s="2"/>
      <c r="E139" s="23"/>
      <c r="F139" s="23">
        <f t="shared" si="1"/>
        <v>-81.05</v>
      </c>
      <c r="G139" s="2"/>
    </row>
    <row r="140" spans="2:7" x14ac:dyDescent="0.25">
      <c r="B140" s="4">
        <v>46081</v>
      </c>
      <c r="C140" s="2" t="s">
        <v>6642</v>
      </c>
      <c r="D140" s="2"/>
      <c r="E140" s="23"/>
      <c r="F140" s="23">
        <f t="shared" si="1"/>
        <v>0</v>
      </c>
      <c r="G140" s="2"/>
    </row>
    <row r="141" spans="2:7" x14ac:dyDescent="0.25">
      <c r="B141" s="4">
        <v>46082</v>
      </c>
      <c r="C141" s="2" t="s">
        <v>6643</v>
      </c>
      <c r="D141" s="2" t="s">
        <v>6644</v>
      </c>
      <c r="E141" s="23"/>
      <c r="F141" s="23">
        <f t="shared" si="1"/>
        <v>0</v>
      </c>
      <c r="G141" s="2"/>
    </row>
    <row r="142" spans="2:7" x14ac:dyDescent="0.25">
      <c r="B142" s="4">
        <v>46083</v>
      </c>
      <c r="C142" s="2" t="s">
        <v>6655</v>
      </c>
      <c r="D142" s="2" t="s">
        <v>6656</v>
      </c>
      <c r="E142" s="23"/>
      <c r="F142" s="23">
        <f t="shared" si="1"/>
        <v>0</v>
      </c>
      <c r="G142" s="2"/>
    </row>
    <row r="143" spans="2:7" x14ac:dyDescent="0.25">
      <c r="B143" s="4">
        <v>46084</v>
      </c>
      <c r="C143" s="2" t="s">
        <v>6657</v>
      </c>
      <c r="D143" s="2"/>
      <c r="E143" s="23"/>
      <c r="F143" s="23">
        <f t="shared" ref="F143:F145" si="2">E143-E142</f>
        <v>0</v>
      </c>
      <c r="G143" s="2"/>
    </row>
    <row r="144" spans="2:7" x14ac:dyDescent="0.25">
      <c r="B144" s="4">
        <v>46085</v>
      </c>
      <c r="C144" s="2" t="s">
        <v>6658</v>
      </c>
      <c r="D144" s="2"/>
      <c r="E144" s="23"/>
      <c r="F144" s="23">
        <f t="shared" si="2"/>
        <v>0</v>
      </c>
      <c r="G144" s="2"/>
    </row>
    <row r="145" spans="2:7" x14ac:dyDescent="0.25">
      <c r="B145" s="4">
        <v>46086</v>
      </c>
      <c r="C145" s="2" t="s">
        <v>6666</v>
      </c>
      <c r="D145" s="2"/>
      <c r="E145" s="23"/>
      <c r="F145" s="23">
        <f t="shared" si="2"/>
        <v>0</v>
      </c>
      <c r="G145" s="2"/>
    </row>
    <row r="146" spans="2:7" x14ac:dyDescent="0.25">
      <c r="B146" s="4">
        <v>46087</v>
      </c>
      <c r="C146" s="2" t="s">
        <v>6671</v>
      </c>
      <c r="D146" s="2"/>
      <c r="E146" s="23"/>
      <c r="F146" s="23"/>
      <c r="G146" s="2"/>
    </row>
    <row r="147" spans="2:7" x14ac:dyDescent="0.25">
      <c r="B147" s="4">
        <v>46088</v>
      </c>
      <c r="C147" s="2" t="s">
        <v>6678</v>
      </c>
      <c r="D147" s="2"/>
      <c r="E147" s="23"/>
      <c r="F147" s="23"/>
      <c r="G147" s="2"/>
    </row>
    <row r="148" spans="2:7" x14ac:dyDescent="0.25">
      <c r="B148" s="4">
        <v>46089</v>
      </c>
      <c r="C148" s="2" t="s">
        <v>1693</v>
      </c>
      <c r="D148" s="2"/>
      <c r="E148" s="23"/>
      <c r="F148" s="23"/>
      <c r="G148" s="2"/>
    </row>
    <row r="149" spans="2:7" x14ac:dyDescent="0.25">
      <c r="B149" s="4">
        <v>46090</v>
      </c>
      <c r="C149" s="2" t="s">
        <v>6687</v>
      </c>
      <c r="D149" s="2"/>
      <c r="E149" s="23"/>
      <c r="F149" s="23">
        <v>16</v>
      </c>
      <c r="G149" s="2">
        <f>F149-F148</f>
        <v>16</v>
      </c>
    </row>
    <row r="150" spans="2:7" x14ac:dyDescent="0.25">
      <c r="B150" s="4">
        <v>46091</v>
      </c>
      <c r="C150" s="2" t="s">
        <v>6691</v>
      </c>
      <c r="D150" s="2"/>
      <c r="E150" s="23"/>
      <c r="F150" s="23">
        <v>30</v>
      </c>
      <c r="G150" s="2">
        <f t="shared" ref="G150:G155" si="3">F150-F149</f>
        <v>14</v>
      </c>
    </row>
    <row r="151" spans="2:7" x14ac:dyDescent="0.25">
      <c r="B151" s="4">
        <v>46092</v>
      </c>
      <c r="C151" s="2" t="s">
        <v>6694</v>
      </c>
      <c r="D151" s="2"/>
      <c r="E151" s="23"/>
      <c r="F151" s="23">
        <v>32</v>
      </c>
      <c r="G151" s="2">
        <f t="shared" si="3"/>
        <v>2</v>
      </c>
    </row>
    <row r="152" spans="2:7" x14ac:dyDescent="0.25">
      <c r="B152" s="4">
        <v>46093</v>
      </c>
      <c r="C152" s="2" t="s">
        <v>1693</v>
      </c>
      <c r="D152" s="2"/>
      <c r="E152" s="23"/>
      <c r="F152" s="23"/>
      <c r="G152" s="2">
        <f t="shared" si="3"/>
        <v>-32</v>
      </c>
    </row>
    <row r="153" spans="2:7" x14ac:dyDescent="0.25">
      <c r="B153" s="4">
        <v>46094</v>
      </c>
      <c r="C153" s="2" t="s">
        <v>6698</v>
      </c>
      <c r="D153" s="2"/>
      <c r="E153" s="23"/>
      <c r="F153" s="23"/>
      <c r="G153" s="2">
        <f t="shared" si="3"/>
        <v>0</v>
      </c>
    </row>
    <row r="154" spans="2:7" x14ac:dyDescent="0.25">
      <c r="B154" s="4">
        <v>46095</v>
      </c>
      <c r="C154" s="2" t="s">
        <v>6703</v>
      </c>
      <c r="D154" s="2"/>
      <c r="E154" s="23"/>
      <c r="F154" s="23"/>
      <c r="G154" s="2">
        <f t="shared" si="3"/>
        <v>0</v>
      </c>
    </row>
    <row r="155" spans="2:7" x14ac:dyDescent="0.25">
      <c r="B155" s="4">
        <v>46096</v>
      </c>
      <c r="C155" s="2" t="s">
        <v>6704</v>
      </c>
      <c r="D155" s="2"/>
      <c r="E155" s="23"/>
      <c r="F155" s="23"/>
      <c r="G155" s="2">
        <f t="shared" si="3"/>
        <v>0</v>
      </c>
    </row>
    <row r="156" spans="2:7" x14ac:dyDescent="0.25">
      <c r="B156" s="4">
        <v>46097</v>
      </c>
      <c r="C156" s="2" t="s">
        <v>5054</v>
      </c>
      <c r="D156" s="2"/>
      <c r="E156" s="23"/>
      <c r="F156" s="23"/>
      <c r="G156" s="2"/>
    </row>
    <row r="157" spans="2:7" x14ac:dyDescent="0.25">
      <c r="B157" s="4">
        <v>46098</v>
      </c>
      <c r="C157" s="2" t="s">
        <v>5054</v>
      </c>
      <c r="D157" s="2"/>
      <c r="E157" s="23"/>
      <c r="F157" s="23"/>
      <c r="G157" s="2"/>
    </row>
    <row r="158" spans="2:7" x14ac:dyDescent="0.25">
      <c r="B158" s="4">
        <v>46099</v>
      </c>
      <c r="C158" s="2" t="s">
        <v>5054</v>
      </c>
      <c r="D158" s="2"/>
      <c r="E158" s="23"/>
      <c r="F158" s="23"/>
      <c r="G158" s="2"/>
    </row>
    <row r="159" spans="2:7" x14ac:dyDescent="0.25">
      <c r="B159" s="4">
        <v>46100</v>
      </c>
      <c r="C159" s="2" t="s">
        <v>5054</v>
      </c>
      <c r="D159" s="2"/>
      <c r="E159" s="23"/>
      <c r="F159" s="23"/>
      <c r="G159" s="2"/>
    </row>
    <row r="160" spans="2:7" x14ac:dyDescent="0.25">
      <c r="B160" s="4">
        <v>46101</v>
      </c>
      <c r="C160" s="2" t="s">
        <v>5054</v>
      </c>
      <c r="D160" s="2"/>
      <c r="E160" s="23"/>
      <c r="F160" s="23"/>
      <c r="G160" s="2"/>
    </row>
    <row r="161" spans="2:7" x14ac:dyDescent="0.25">
      <c r="B161" s="4">
        <v>46102</v>
      </c>
      <c r="C161" s="2" t="s">
        <v>5054</v>
      </c>
      <c r="D161" s="2"/>
      <c r="E161" s="23"/>
      <c r="F161" s="23"/>
      <c r="G161" s="2"/>
    </row>
    <row r="162" spans="2:7" x14ac:dyDescent="0.25">
      <c r="B162" s="4">
        <v>46103</v>
      </c>
      <c r="C162" s="2" t="s">
        <v>5054</v>
      </c>
      <c r="D162" s="2"/>
      <c r="E162" s="23"/>
      <c r="F162" s="23"/>
      <c r="G162" s="2"/>
    </row>
    <row r="163" spans="2:7" x14ac:dyDescent="0.25">
      <c r="B163" s="4">
        <v>46104</v>
      </c>
      <c r="C163" s="2" t="s">
        <v>5054</v>
      </c>
      <c r="D163" s="2"/>
      <c r="E163" s="23"/>
      <c r="F163" s="23"/>
      <c r="G163" s="2"/>
    </row>
    <row r="164" spans="2:7" x14ac:dyDescent="0.25">
      <c r="B164" s="4">
        <v>46105</v>
      </c>
      <c r="C164" s="2" t="s">
        <v>5054</v>
      </c>
      <c r="D164" s="2"/>
      <c r="E164" s="23"/>
      <c r="F164" s="23"/>
      <c r="G164" s="2"/>
    </row>
    <row r="165" spans="2:7" x14ac:dyDescent="0.25">
      <c r="B165" s="4">
        <v>46106</v>
      </c>
      <c r="C165" s="2" t="s">
        <v>5054</v>
      </c>
      <c r="D165" s="2"/>
      <c r="E165" s="23"/>
      <c r="F165" s="23"/>
      <c r="G165" s="2"/>
    </row>
    <row r="166" spans="2:7" x14ac:dyDescent="0.25">
      <c r="B166" s="4">
        <v>46107</v>
      </c>
      <c r="C166" s="2" t="s">
        <v>5054</v>
      </c>
      <c r="D166" s="2"/>
      <c r="E166" s="23"/>
      <c r="F166" s="23"/>
      <c r="G166" s="2"/>
    </row>
    <row r="167" spans="2:7" x14ac:dyDescent="0.25">
      <c r="B167" s="4">
        <v>46108</v>
      </c>
      <c r="C167" s="2" t="s">
        <v>5054</v>
      </c>
      <c r="D167" s="2"/>
      <c r="E167" s="23"/>
      <c r="F167" s="23"/>
      <c r="G167" s="2"/>
    </row>
    <row r="168" spans="2:7" x14ac:dyDescent="0.25">
      <c r="B168" s="4">
        <v>46109</v>
      </c>
      <c r="C168" s="2" t="s">
        <v>5054</v>
      </c>
      <c r="D168" s="2"/>
      <c r="E168" s="23"/>
      <c r="F168" s="23"/>
      <c r="G168" s="2"/>
    </row>
    <row r="169" spans="2:7" x14ac:dyDescent="0.25">
      <c r="B169" s="4">
        <v>46110</v>
      </c>
      <c r="C169" s="2" t="s">
        <v>5054</v>
      </c>
      <c r="D169" s="2"/>
      <c r="E169" s="23"/>
      <c r="F169" s="23"/>
      <c r="G169" s="2"/>
    </row>
    <row r="170" spans="2:7" x14ac:dyDescent="0.25">
      <c r="B170" s="4">
        <v>46111</v>
      </c>
      <c r="C170" s="2" t="s">
        <v>5054</v>
      </c>
      <c r="D170" s="2"/>
      <c r="E170" s="23"/>
      <c r="F170" s="23"/>
      <c r="G170" s="2"/>
    </row>
    <row r="171" spans="2:7" x14ac:dyDescent="0.25">
      <c r="B171" s="4">
        <v>46112</v>
      </c>
      <c r="C171" s="2" t="s">
        <v>5054</v>
      </c>
      <c r="D171" s="2"/>
      <c r="E171" s="23"/>
      <c r="F171" s="23"/>
      <c r="G171" s="2"/>
    </row>
    <row r="172" spans="2:7" x14ac:dyDescent="0.25">
      <c r="B172" s="4">
        <v>46113</v>
      </c>
      <c r="C172" s="2" t="s">
        <v>5054</v>
      </c>
      <c r="D172" s="2"/>
      <c r="E172" s="23"/>
      <c r="F172" s="23"/>
      <c r="G172" s="2"/>
    </row>
    <row r="173" spans="2:7" x14ac:dyDescent="0.25">
      <c r="B173" s="4">
        <v>46114</v>
      </c>
      <c r="C173" s="2" t="s">
        <v>5054</v>
      </c>
      <c r="D173" s="2"/>
      <c r="E173" s="23"/>
      <c r="F173" s="23"/>
      <c r="G173" s="2"/>
    </row>
    <row r="174" spans="2:7" x14ac:dyDescent="0.25">
      <c r="B174" s="4">
        <v>46115</v>
      </c>
      <c r="C174" s="2" t="s">
        <v>5054</v>
      </c>
      <c r="D174" s="2"/>
      <c r="E174" s="23"/>
      <c r="F174" s="23"/>
      <c r="G174" s="2"/>
    </row>
    <row r="175" spans="2:7" x14ac:dyDescent="0.25">
      <c r="B175" s="4">
        <v>46116</v>
      </c>
      <c r="C175" s="2" t="s">
        <v>5054</v>
      </c>
      <c r="D175" s="2"/>
      <c r="E175" s="23"/>
      <c r="F175" s="23"/>
      <c r="G175" s="2"/>
    </row>
    <row r="176" spans="2:7" x14ac:dyDescent="0.25">
      <c r="B176" s="4">
        <v>46117</v>
      </c>
      <c r="C176" s="2" t="s">
        <v>5054</v>
      </c>
      <c r="D176" s="2"/>
      <c r="E176" s="23"/>
      <c r="F176" s="23"/>
      <c r="G176" s="2"/>
    </row>
    <row r="177" spans="2:7" x14ac:dyDescent="0.25">
      <c r="B177" s="4">
        <v>46118</v>
      </c>
      <c r="C177" s="2" t="s">
        <v>6775</v>
      </c>
      <c r="D177" s="2"/>
      <c r="E177" s="23"/>
      <c r="F177" s="23"/>
      <c r="G177" s="2"/>
    </row>
    <row r="178" spans="2:7" x14ac:dyDescent="0.25">
      <c r="B178" s="4">
        <v>46119</v>
      </c>
      <c r="C178" s="2" t="s">
        <v>6776</v>
      </c>
      <c r="D178" s="2"/>
      <c r="E178" s="23"/>
      <c r="F178" s="23"/>
      <c r="G178" s="2"/>
    </row>
    <row r="179" spans="2:7" x14ac:dyDescent="0.25">
      <c r="B179" s="4">
        <v>46120</v>
      </c>
      <c r="C179" s="2" t="s">
        <v>6777</v>
      </c>
      <c r="D179" s="2"/>
      <c r="E179" s="23"/>
      <c r="F179" s="23"/>
      <c r="G179" s="2"/>
    </row>
    <row r="180" spans="2:7" x14ac:dyDescent="0.25">
      <c r="B180" s="4">
        <v>46121</v>
      </c>
      <c r="C180" s="2" t="s">
        <v>6778</v>
      </c>
      <c r="D180" s="2"/>
      <c r="E180" s="23"/>
      <c r="F180" s="23"/>
      <c r="G180" s="2"/>
    </row>
    <row r="181" spans="2:7" x14ac:dyDescent="0.25">
      <c r="B181" s="4">
        <v>46122</v>
      </c>
      <c r="C181" s="2" t="s">
        <v>6778</v>
      </c>
      <c r="D181" s="2"/>
      <c r="E181" s="23"/>
      <c r="F181" s="23"/>
      <c r="G181" s="2"/>
    </row>
    <row r="182" spans="2:7" x14ac:dyDescent="0.25">
      <c r="B182" s="4">
        <v>46123</v>
      </c>
      <c r="C182" s="2" t="s">
        <v>296</v>
      </c>
      <c r="D182" s="2"/>
      <c r="E182" s="23"/>
      <c r="F182" s="23"/>
      <c r="G182" s="2"/>
    </row>
    <row r="183" spans="2:7" x14ac:dyDescent="0.25">
      <c r="B183" s="4">
        <v>46124</v>
      </c>
      <c r="C183" s="2" t="s">
        <v>6779</v>
      </c>
      <c r="D183" s="2"/>
      <c r="E183" s="23">
        <v>16</v>
      </c>
      <c r="F183" s="23">
        <f t="shared" ref="F183:F224" si="4">E183-E182</f>
        <v>16</v>
      </c>
      <c r="G183" s="2"/>
    </row>
    <row r="184" spans="2:7" x14ac:dyDescent="0.25">
      <c r="B184" s="4">
        <v>46125</v>
      </c>
      <c r="C184" s="2" t="s">
        <v>6780</v>
      </c>
      <c r="D184" s="2"/>
      <c r="E184" s="23">
        <v>16.03</v>
      </c>
      <c r="F184" s="23">
        <f t="shared" si="4"/>
        <v>3.0000000000001137E-2</v>
      </c>
      <c r="G184" s="2"/>
    </row>
    <row r="185" spans="2:7" x14ac:dyDescent="0.25">
      <c r="B185" s="4">
        <v>46126</v>
      </c>
      <c r="C185" s="2" t="s">
        <v>6799</v>
      </c>
      <c r="D185" s="2" t="s">
        <v>6800</v>
      </c>
      <c r="E185" s="23">
        <v>16.03</v>
      </c>
      <c r="F185" s="23">
        <f t="shared" si="4"/>
        <v>0</v>
      </c>
      <c r="G185" s="2"/>
    </row>
    <row r="186" spans="2:7" x14ac:dyDescent="0.25">
      <c r="B186" s="4">
        <v>46127</v>
      </c>
      <c r="C186" s="2" t="s">
        <v>6801</v>
      </c>
      <c r="D186" s="2"/>
      <c r="E186" s="23">
        <v>16.03</v>
      </c>
      <c r="F186" s="23">
        <f t="shared" si="4"/>
        <v>0</v>
      </c>
      <c r="G186" s="2"/>
    </row>
    <row r="187" spans="2:7" x14ac:dyDescent="0.25">
      <c r="B187" s="4">
        <v>46128</v>
      </c>
      <c r="C187" s="2" t="s">
        <v>6802</v>
      </c>
      <c r="D187" s="2"/>
      <c r="E187" s="23">
        <v>27.03</v>
      </c>
      <c r="F187" s="23">
        <f t="shared" si="4"/>
        <v>11</v>
      </c>
      <c r="G187" s="2"/>
    </row>
    <row r="188" spans="2:7" x14ac:dyDescent="0.25">
      <c r="B188" s="4">
        <v>46129</v>
      </c>
      <c r="C188" s="2" t="s">
        <v>632</v>
      </c>
      <c r="D188" s="2"/>
      <c r="E188" s="23">
        <v>30</v>
      </c>
      <c r="F188" s="23">
        <f t="shared" si="4"/>
        <v>2.9699999999999989</v>
      </c>
      <c r="G188" s="2"/>
    </row>
    <row r="189" spans="2:7" x14ac:dyDescent="0.25">
      <c r="B189" s="4">
        <v>46130</v>
      </c>
      <c r="C189" s="2" t="s">
        <v>6820</v>
      </c>
      <c r="D189" s="2"/>
      <c r="E189" s="23">
        <v>32</v>
      </c>
      <c r="F189" s="23">
        <f t="shared" si="4"/>
        <v>2</v>
      </c>
      <c r="G189" s="2"/>
    </row>
    <row r="190" spans="2:7" x14ac:dyDescent="0.25">
      <c r="B190" s="4">
        <v>46131</v>
      </c>
      <c r="C190" s="2" t="s">
        <v>6821</v>
      </c>
      <c r="D190" s="2" t="s">
        <v>6822</v>
      </c>
      <c r="E190" s="23">
        <v>32</v>
      </c>
      <c r="F190" s="23">
        <f t="shared" si="4"/>
        <v>0</v>
      </c>
      <c r="G190" s="2"/>
    </row>
    <row r="191" spans="2:7" x14ac:dyDescent="0.25">
      <c r="B191" s="4">
        <v>46132</v>
      </c>
      <c r="C191" s="2" t="s">
        <v>6836</v>
      </c>
      <c r="D191" s="2"/>
      <c r="E191" s="23">
        <v>32</v>
      </c>
      <c r="F191" s="23">
        <f t="shared" si="4"/>
        <v>0</v>
      </c>
      <c r="G191" s="2"/>
    </row>
    <row r="192" spans="2:7" x14ac:dyDescent="0.25">
      <c r="B192" s="4">
        <v>46133</v>
      </c>
      <c r="C192" s="2" t="s">
        <v>6858</v>
      </c>
      <c r="D192" s="2" t="s">
        <v>6847</v>
      </c>
      <c r="E192" s="23">
        <v>36</v>
      </c>
      <c r="F192" s="23">
        <f t="shared" si="4"/>
        <v>4</v>
      </c>
      <c r="G192" s="2"/>
    </row>
    <row r="193" spans="2:7" x14ac:dyDescent="0.25">
      <c r="B193" s="4">
        <v>46134</v>
      </c>
      <c r="C193" s="2" t="s">
        <v>6859</v>
      </c>
      <c r="D193" s="2"/>
      <c r="E193" s="23">
        <v>36</v>
      </c>
      <c r="F193" s="23">
        <f t="shared" si="4"/>
        <v>0</v>
      </c>
      <c r="G193" s="2"/>
    </row>
    <row r="194" spans="2:7" x14ac:dyDescent="0.25">
      <c r="B194" s="4">
        <v>46135</v>
      </c>
      <c r="C194" s="2" t="s">
        <v>6879</v>
      </c>
      <c r="D194" s="2"/>
      <c r="E194" s="23">
        <v>36</v>
      </c>
      <c r="F194" s="23">
        <f t="shared" si="4"/>
        <v>0</v>
      </c>
      <c r="G194" s="2"/>
    </row>
    <row r="195" spans="2:7" x14ac:dyDescent="0.25">
      <c r="B195" s="4">
        <v>46136</v>
      </c>
      <c r="C195" s="2" t="s">
        <v>6886</v>
      </c>
      <c r="D195" s="2"/>
      <c r="E195" s="23">
        <v>36</v>
      </c>
      <c r="F195" s="23">
        <f t="shared" si="4"/>
        <v>0</v>
      </c>
      <c r="G195" s="2"/>
    </row>
    <row r="196" spans="2:7" x14ac:dyDescent="0.25">
      <c r="B196" s="4">
        <v>46137</v>
      </c>
      <c r="C196" s="2" t="s">
        <v>480</v>
      </c>
      <c r="D196" s="2" t="s">
        <v>6918</v>
      </c>
      <c r="E196" s="23">
        <v>36</v>
      </c>
      <c r="F196" s="23">
        <f t="shared" si="4"/>
        <v>0</v>
      </c>
      <c r="G196" s="2"/>
    </row>
    <row r="197" spans="2:7" x14ac:dyDescent="0.25">
      <c r="B197" s="4">
        <v>46138</v>
      </c>
      <c r="C197" s="2" t="s">
        <v>480</v>
      </c>
      <c r="D197" s="2" t="s">
        <v>6918</v>
      </c>
      <c r="E197" s="23">
        <v>36</v>
      </c>
      <c r="F197" s="23">
        <f t="shared" si="4"/>
        <v>0</v>
      </c>
      <c r="G197" s="2"/>
    </row>
    <row r="198" spans="2:7" x14ac:dyDescent="0.25">
      <c r="B198" s="4">
        <v>46139</v>
      </c>
      <c r="C198" s="2" t="s">
        <v>480</v>
      </c>
      <c r="D198" s="2" t="s">
        <v>6918</v>
      </c>
      <c r="E198" s="23">
        <v>36</v>
      </c>
      <c r="F198" s="23">
        <f t="shared" si="4"/>
        <v>0</v>
      </c>
      <c r="G198" s="2"/>
    </row>
    <row r="199" spans="2:7" x14ac:dyDescent="0.25">
      <c r="B199" s="4">
        <v>46140</v>
      </c>
      <c r="C199" s="2" t="s">
        <v>480</v>
      </c>
      <c r="D199" s="2"/>
      <c r="E199" s="23">
        <v>36</v>
      </c>
      <c r="F199" s="23">
        <f t="shared" si="4"/>
        <v>0</v>
      </c>
      <c r="G199" s="2"/>
    </row>
    <row r="200" spans="2:7" x14ac:dyDescent="0.25">
      <c r="B200" s="4">
        <v>46141</v>
      </c>
      <c r="C200" s="2" t="s">
        <v>6951</v>
      </c>
      <c r="D200" s="2" t="s">
        <v>6939</v>
      </c>
      <c r="E200" s="23">
        <v>36</v>
      </c>
      <c r="F200" s="23">
        <f t="shared" si="4"/>
        <v>0</v>
      </c>
      <c r="G200" s="2"/>
    </row>
    <row r="201" spans="2:7" x14ac:dyDescent="0.25">
      <c r="B201" s="4">
        <v>46142</v>
      </c>
      <c r="C201" s="2" t="s">
        <v>6941</v>
      </c>
      <c r="D201" s="2"/>
      <c r="E201" s="23">
        <v>35.5</v>
      </c>
      <c r="F201" s="23">
        <f t="shared" si="4"/>
        <v>-0.5</v>
      </c>
      <c r="G201" s="2"/>
    </row>
    <row r="202" spans="2:7" x14ac:dyDescent="0.25">
      <c r="B202" s="4">
        <v>46143</v>
      </c>
      <c r="C202" s="2" t="s">
        <v>6959</v>
      </c>
      <c r="D202" s="2"/>
      <c r="E202" s="23">
        <v>40</v>
      </c>
      <c r="F202" s="23">
        <f t="shared" si="4"/>
        <v>4.5</v>
      </c>
      <c r="G202" s="2"/>
    </row>
    <row r="203" spans="2:7" x14ac:dyDescent="0.25">
      <c r="B203" s="4">
        <v>46144</v>
      </c>
      <c r="C203" s="2" t="s">
        <v>6959</v>
      </c>
      <c r="D203" s="2" t="s">
        <v>6960</v>
      </c>
      <c r="E203" s="23">
        <v>40</v>
      </c>
      <c r="F203" s="23">
        <f t="shared" si="4"/>
        <v>0</v>
      </c>
      <c r="G203" s="2"/>
    </row>
    <row r="204" spans="2:7" x14ac:dyDescent="0.25">
      <c r="B204" s="4">
        <v>46145</v>
      </c>
      <c r="C204" s="2" t="s">
        <v>6961</v>
      </c>
      <c r="D204" s="2"/>
      <c r="E204" s="23">
        <v>40</v>
      </c>
      <c r="F204" s="23">
        <f t="shared" si="4"/>
        <v>0</v>
      </c>
      <c r="G204" s="2"/>
    </row>
    <row r="205" spans="2:7" x14ac:dyDescent="0.25">
      <c r="B205" s="4">
        <v>46146</v>
      </c>
      <c r="C205" s="2" t="s">
        <v>6965</v>
      </c>
      <c r="D205" s="2"/>
      <c r="E205" s="23">
        <v>40</v>
      </c>
      <c r="F205" s="23">
        <f t="shared" si="4"/>
        <v>0</v>
      </c>
      <c r="G205" s="2"/>
    </row>
    <row r="206" spans="2:7" x14ac:dyDescent="0.25">
      <c r="B206" s="4">
        <v>46147</v>
      </c>
      <c r="C206" s="2" t="s">
        <v>6976</v>
      </c>
      <c r="D206" s="2"/>
      <c r="E206" s="23">
        <v>40.5</v>
      </c>
      <c r="F206" s="23">
        <f t="shared" si="4"/>
        <v>0.5</v>
      </c>
      <c r="G206" s="2"/>
    </row>
    <row r="207" spans="2:7" x14ac:dyDescent="0.25">
      <c r="B207" s="4">
        <v>46148</v>
      </c>
      <c r="C207" s="2" t="s">
        <v>6983</v>
      </c>
      <c r="D207" s="2"/>
      <c r="E207" s="23">
        <v>41</v>
      </c>
      <c r="F207" s="23">
        <f t="shared" si="4"/>
        <v>0.5</v>
      </c>
      <c r="G207" s="2"/>
    </row>
    <row r="208" spans="2:7" x14ac:dyDescent="0.25">
      <c r="B208" s="4">
        <v>46149</v>
      </c>
      <c r="C208" s="2" t="s">
        <v>6987</v>
      </c>
      <c r="D208" s="2"/>
      <c r="E208" s="23">
        <v>41</v>
      </c>
      <c r="F208" s="23">
        <f t="shared" si="4"/>
        <v>0</v>
      </c>
      <c r="G208" s="2"/>
    </row>
    <row r="209" spans="2:11" x14ac:dyDescent="0.25">
      <c r="B209" s="4">
        <v>46150</v>
      </c>
      <c r="C209" s="2" t="s">
        <v>6994</v>
      </c>
      <c r="D209" s="2"/>
      <c r="E209" s="23">
        <v>41</v>
      </c>
      <c r="F209" s="23">
        <f t="shared" si="4"/>
        <v>0</v>
      </c>
      <c r="G209" s="2"/>
    </row>
    <row r="210" spans="2:11" x14ac:dyDescent="0.25">
      <c r="B210" s="4">
        <v>46151</v>
      </c>
      <c r="C210" s="2" t="s">
        <v>7010</v>
      </c>
      <c r="D210" s="2"/>
      <c r="E210" s="23"/>
      <c r="F210" s="23">
        <f t="shared" si="4"/>
        <v>-41</v>
      </c>
      <c r="G210" s="2"/>
    </row>
    <row r="211" spans="2:11" x14ac:dyDescent="0.25">
      <c r="B211" s="4">
        <v>46152</v>
      </c>
      <c r="C211" s="2" t="s">
        <v>7011</v>
      </c>
      <c r="D211" s="2"/>
      <c r="E211" s="23"/>
      <c r="F211" s="23">
        <f t="shared" si="4"/>
        <v>0</v>
      </c>
      <c r="G211" s="2"/>
    </row>
    <row r="212" spans="2:11" x14ac:dyDescent="0.25">
      <c r="B212" s="4">
        <v>46153</v>
      </c>
      <c r="C212" s="2" t="s">
        <v>7020</v>
      </c>
      <c r="D212" s="2"/>
      <c r="E212" s="23"/>
      <c r="F212" s="23">
        <f t="shared" si="4"/>
        <v>0</v>
      </c>
      <c r="G212" s="2"/>
    </row>
    <row r="213" spans="2:11" x14ac:dyDescent="0.25">
      <c r="B213" s="4">
        <v>46154</v>
      </c>
      <c r="C213" s="2" t="s">
        <v>7021</v>
      </c>
      <c r="D213" s="2"/>
      <c r="E213" s="23"/>
      <c r="F213" s="23">
        <f t="shared" si="4"/>
        <v>0</v>
      </c>
      <c r="G213" s="2"/>
    </row>
    <row r="214" spans="2:11" x14ac:dyDescent="0.25">
      <c r="B214" s="4">
        <v>46155</v>
      </c>
      <c r="C214" s="2" t="s">
        <v>7036</v>
      </c>
      <c r="D214" s="2" t="s">
        <v>7038</v>
      </c>
      <c r="E214" s="23"/>
      <c r="F214" s="23">
        <f t="shared" si="4"/>
        <v>0</v>
      </c>
      <c r="G214" s="2"/>
    </row>
    <row r="215" spans="2:11" x14ac:dyDescent="0.25">
      <c r="B215" s="4">
        <v>46156</v>
      </c>
      <c r="C215" s="2" t="s">
        <v>7037</v>
      </c>
      <c r="D215" s="2"/>
      <c r="E215" s="23"/>
      <c r="F215" s="23">
        <f t="shared" si="4"/>
        <v>0</v>
      </c>
      <c r="G215" s="2"/>
    </row>
    <row r="216" spans="2:11" x14ac:dyDescent="0.25">
      <c r="B216" s="4">
        <v>46157</v>
      </c>
      <c r="C216" s="2" t="s">
        <v>7048</v>
      </c>
      <c r="D216" s="2" t="s">
        <v>7049</v>
      </c>
      <c r="E216" s="23"/>
      <c r="F216" s="23">
        <f t="shared" si="4"/>
        <v>0</v>
      </c>
      <c r="G216" s="2"/>
    </row>
    <row r="217" spans="2:11" x14ac:dyDescent="0.25">
      <c r="B217" s="4">
        <v>46158</v>
      </c>
      <c r="D217" s="2"/>
      <c r="E217" s="23"/>
      <c r="F217" s="23">
        <f t="shared" si="4"/>
        <v>0</v>
      </c>
      <c r="G217" s="2"/>
    </row>
    <row r="218" spans="2:11" x14ac:dyDescent="0.25">
      <c r="B218" s="4">
        <v>46159</v>
      </c>
      <c r="C218" s="2"/>
      <c r="D218" s="2"/>
      <c r="E218" s="23"/>
      <c r="F218" s="23">
        <f t="shared" si="4"/>
        <v>0</v>
      </c>
      <c r="G218" s="2"/>
    </row>
    <row r="219" spans="2:11" x14ac:dyDescent="0.25">
      <c r="B219" s="4">
        <v>46160</v>
      </c>
      <c r="C219" s="2" t="s">
        <v>7069</v>
      </c>
      <c r="D219" s="2"/>
      <c r="E219" s="23"/>
      <c r="F219" s="23">
        <f t="shared" si="4"/>
        <v>0</v>
      </c>
      <c r="G219" s="2"/>
      <c r="I219" s="180" t="s">
        <v>934</v>
      </c>
      <c r="J219" s="180"/>
    </row>
    <row r="220" spans="2:11" x14ac:dyDescent="0.25">
      <c r="B220" s="4">
        <v>46161</v>
      </c>
      <c r="C220" s="2" t="s">
        <v>5673</v>
      </c>
      <c r="D220" s="2" t="s">
        <v>5562</v>
      </c>
      <c r="E220" s="23"/>
      <c r="F220" s="23">
        <f t="shared" si="4"/>
        <v>0</v>
      </c>
      <c r="G220" s="2"/>
      <c r="I220" s="24">
        <v>0</v>
      </c>
      <c r="J220" s="24">
        <v>8</v>
      </c>
      <c r="K220" t="s">
        <v>7121</v>
      </c>
    </row>
    <row r="221" spans="2:11" x14ac:dyDescent="0.25">
      <c r="B221" s="4">
        <v>46162</v>
      </c>
      <c r="C221" s="2" t="s">
        <v>7080</v>
      </c>
      <c r="D221" s="2" t="s">
        <v>7081</v>
      </c>
      <c r="E221" s="23">
        <v>4</v>
      </c>
      <c r="F221" s="23">
        <f t="shared" si="4"/>
        <v>4</v>
      </c>
      <c r="G221" s="2"/>
      <c r="I221" s="24">
        <v>8</v>
      </c>
      <c r="J221" s="24">
        <v>12</v>
      </c>
      <c r="K221" t="s">
        <v>7122</v>
      </c>
    </row>
    <row r="222" spans="2:11" x14ac:dyDescent="0.25">
      <c r="B222" s="4">
        <v>46163</v>
      </c>
      <c r="C222" s="2" t="s">
        <v>7090</v>
      </c>
      <c r="D222" s="2"/>
      <c r="E222" s="23">
        <v>7</v>
      </c>
      <c r="F222" s="23">
        <f t="shared" si="4"/>
        <v>3</v>
      </c>
      <c r="G222" s="2"/>
      <c r="I222" s="24">
        <v>12</v>
      </c>
      <c r="J222" s="24">
        <v>30</v>
      </c>
      <c r="K222" t="s">
        <v>7123</v>
      </c>
    </row>
    <row r="223" spans="2:11" x14ac:dyDescent="0.25">
      <c r="B223" s="4">
        <v>46164</v>
      </c>
      <c r="C223" s="2" t="s">
        <v>7099</v>
      </c>
      <c r="D223" s="2" t="s">
        <v>7100</v>
      </c>
      <c r="E223" s="23">
        <v>8</v>
      </c>
      <c r="F223" s="23">
        <f t="shared" si="4"/>
        <v>1</v>
      </c>
      <c r="G223" s="2"/>
      <c r="I223" s="24">
        <v>30</v>
      </c>
      <c r="J223" s="24">
        <v>40</v>
      </c>
      <c r="K223" t="s">
        <v>7124</v>
      </c>
    </row>
    <row r="224" spans="2:11" x14ac:dyDescent="0.25">
      <c r="B224" s="4">
        <v>46165</v>
      </c>
      <c r="C224" s="2" t="s">
        <v>7107</v>
      </c>
      <c r="D224" s="2"/>
      <c r="E224" s="23">
        <v>8</v>
      </c>
      <c r="F224" s="23">
        <f t="shared" si="4"/>
        <v>0</v>
      </c>
      <c r="G224" s="2"/>
      <c r="I224" s="24">
        <v>40</v>
      </c>
      <c r="J224" s="24">
        <v>63</v>
      </c>
      <c r="K224" t="s">
        <v>7125</v>
      </c>
    </row>
    <row r="225" spans="2:11" x14ac:dyDescent="0.25">
      <c r="B225" s="4">
        <v>46166</v>
      </c>
      <c r="C225" s="2" t="s">
        <v>7108</v>
      </c>
      <c r="D225" s="2" t="s">
        <v>7109</v>
      </c>
      <c r="E225" s="23">
        <v>63</v>
      </c>
      <c r="F225" s="23">
        <f>E225</f>
        <v>63</v>
      </c>
      <c r="G225" s="2"/>
      <c r="I225" s="24">
        <v>63</v>
      </c>
      <c r="J225" s="24">
        <v>90</v>
      </c>
      <c r="K225" t="s">
        <v>7219</v>
      </c>
    </row>
    <row r="226" spans="2:11" x14ac:dyDescent="0.25">
      <c r="B226" s="4">
        <v>46167</v>
      </c>
      <c r="C226" s="2" t="s">
        <v>7128</v>
      </c>
      <c r="D226" s="2"/>
      <c r="E226" s="23"/>
      <c r="F226" s="23">
        <f>E226-E225</f>
        <v>-63</v>
      </c>
      <c r="G226" s="2"/>
    </row>
    <row r="227" spans="2:11" x14ac:dyDescent="0.25">
      <c r="B227" s="4">
        <v>46168</v>
      </c>
      <c r="C227" s="2" t="s">
        <v>7142</v>
      </c>
      <c r="D227" s="2"/>
      <c r="E227" s="23"/>
      <c r="F227" s="23">
        <f t="shared" ref="F227:F255" si="5">E227-E226</f>
        <v>0</v>
      </c>
      <c r="G227" s="2"/>
    </row>
    <row r="228" spans="2:11" x14ac:dyDescent="0.25">
      <c r="B228" s="4">
        <v>46169</v>
      </c>
      <c r="C228" s="2" t="s">
        <v>7142</v>
      </c>
      <c r="D228" s="2"/>
      <c r="E228" s="23"/>
      <c r="F228" s="23">
        <f t="shared" si="5"/>
        <v>0</v>
      </c>
      <c r="G228" s="2"/>
    </row>
    <row r="229" spans="2:11" x14ac:dyDescent="0.25">
      <c r="B229" s="4">
        <v>46170</v>
      </c>
      <c r="C229" s="2" t="s">
        <v>7142</v>
      </c>
      <c r="D229" s="2"/>
      <c r="E229" s="23"/>
      <c r="F229" s="23">
        <f t="shared" si="5"/>
        <v>0</v>
      </c>
      <c r="G229" s="2"/>
    </row>
    <row r="230" spans="2:11" x14ac:dyDescent="0.25">
      <c r="B230" s="4">
        <v>46171</v>
      </c>
      <c r="C230" s="2" t="s">
        <v>7142</v>
      </c>
      <c r="D230" s="2" t="s">
        <v>7143</v>
      </c>
      <c r="E230" s="23"/>
      <c r="F230" s="23">
        <f t="shared" si="5"/>
        <v>0</v>
      </c>
      <c r="G230" s="2"/>
    </row>
    <row r="231" spans="2:11" x14ac:dyDescent="0.25">
      <c r="B231" s="4">
        <v>46172</v>
      </c>
      <c r="C231" s="2" t="s">
        <v>7152</v>
      </c>
      <c r="D231" s="2"/>
      <c r="E231" s="23"/>
      <c r="F231" s="23">
        <f t="shared" si="5"/>
        <v>0</v>
      </c>
      <c r="G231" s="2"/>
    </row>
    <row r="232" spans="2:11" x14ac:dyDescent="0.25">
      <c r="B232" s="4">
        <v>46173</v>
      </c>
      <c r="C232" s="2" t="s">
        <v>480</v>
      </c>
      <c r="D232" s="2"/>
      <c r="E232" s="23"/>
      <c r="F232" s="23">
        <f t="shared" si="5"/>
        <v>0</v>
      </c>
      <c r="G232" s="2"/>
    </row>
    <row r="233" spans="2:11" x14ac:dyDescent="0.25">
      <c r="B233" s="4">
        <v>46174</v>
      </c>
      <c r="C233" s="2" t="s">
        <v>7154</v>
      </c>
      <c r="D233" s="2" t="s">
        <v>7155</v>
      </c>
      <c r="E233" s="23"/>
      <c r="F233" s="23">
        <f t="shared" si="5"/>
        <v>0</v>
      </c>
      <c r="G233" s="2"/>
    </row>
    <row r="234" spans="2:11" x14ac:dyDescent="0.25">
      <c r="B234" s="4">
        <v>46175</v>
      </c>
      <c r="C234" s="2" t="s">
        <v>7162</v>
      </c>
      <c r="D234" s="2" t="s">
        <v>7163</v>
      </c>
      <c r="E234" s="23"/>
      <c r="F234" s="23">
        <f t="shared" si="5"/>
        <v>0</v>
      </c>
      <c r="G234" s="2"/>
    </row>
    <row r="235" spans="2:11" x14ac:dyDescent="0.25">
      <c r="B235" s="4">
        <v>46176</v>
      </c>
      <c r="C235" s="2" t="s">
        <v>7180</v>
      </c>
      <c r="D235" s="2"/>
      <c r="E235" s="23"/>
      <c r="F235" s="23">
        <f t="shared" si="5"/>
        <v>0</v>
      </c>
      <c r="G235" s="2"/>
    </row>
    <row r="236" spans="2:11" x14ac:dyDescent="0.25">
      <c r="B236" s="4">
        <v>46177</v>
      </c>
      <c r="C236" s="2" t="s">
        <v>7179</v>
      </c>
      <c r="D236" s="2"/>
      <c r="E236" s="23"/>
      <c r="F236" s="23">
        <f t="shared" si="5"/>
        <v>0</v>
      </c>
      <c r="G236" s="2"/>
    </row>
    <row r="237" spans="2:11" x14ac:dyDescent="0.25">
      <c r="B237" s="4">
        <v>46178</v>
      </c>
      <c r="C237" s="2" t="s">
        <v>7179</v>
      </c>
      <c r="D237" s="2"/>
      <c r="E237" s="23"/>
      <c r="F237" s="23">
        <f t="shared" si="5"/>
        <v>0</v>
      </c>
      <c r="G237" s="2"/>
    </row>
    <row r="238" spans="2:11" x14ac:dyDescent="0.25">
      <c r="B238" s="4">
        <v>46179</v>
      </c>
      <c r="C238" s="2" t="s">
        <v>7183</v>
      </c>
      <c r="D238" s="2"/>
      <c r="E238" s="23"/>
      <c r="F238" s="23">
        <f t="shared" si="5"/>
        <v>0</v>
      </c>
      <c r="G238" s="2"/>
    </row>
    <row r="239" spans="2:11" x14ac:dyDescent="0.25">
      <c r="B239" s="4">
        <v>46180</v>
      </c>
      <c r="C239" s="2" t="s">
        <v>7186</v>
      </c>
      <c r="D239" s="2" t="s">
        <v>7193</v>
      </c>
      <c r="E239" s="23">
        <v>30</v>
      </c>
      <c r="F239" s="23">
        <f t="shared" si="5"/>
        <v>30</v>
      </c>
      <c r="G239" s="2"/>
    </row>
    <row r="240" spans="2:11" x14ac:dyDescent="0.25">
      <c r="B240" s="4">
        <v>46181</v>
      </c>
      <c r="C240" s="2" t="s">
        <v>7196</v>
      </c>
      <c r="D240" s="2" t="s">
        <v>5599</v>
      </c>
      <c r="E240" s="23">
        <v>64</v>
      </c>
      <c r="F240" s="23">
        <f t="shared" si="5"/>
        <v>34</v>
      </c>
      <c r="G240" s="2"/>
    </row>
    <row r="241" spans="2:7" x14ac:dyDescent="0.25">
      <c r="B241" s="4">
        <v>46182</v>
      </c>
      <c r="C241" s="2" t="s">
        <v>7209</v>
      </c>
      <c r="D241" s="2"/>
      <c r="E241" s="23">
        <v>70</v>
      </c>
      <c r="F241" s="23">
        <f t="shared" si="5"/>
        <v>6</v>
      </c>
      <c r="G241" s="2"/>
    </row>
    <row r="242" spans="2:7" x14ac:dyDescent="0.25">
      <c r="B242" s="4">
        <v>46183</v>
      </c>
      <c r="C242" s="2" t="s">
        <v>7210</v>
      </c>
      <c r="D242" s="2"/>
      <c r="E242" s="23">
        <v>70</v>
      </c>
      <c r="F242" s="23">
        <f t="shared" si="5"/>
        <v>0</v>
      </c>
      <c r="G242" s="2"/>
    </row>
    <row r="243" spans="2:7" x14ac:dyDescent="0.25">
      <c r="B243" s="4">
        <v>46184</v>
      </c>
      <c r="C243" s="2" t="s">
        <v>7218</v>
      </c>
      <c r="D243" s="2"/>
      <c r="E243" s="23">
        <v>90</v>
      </c>
      <c r="F243" s="23">
        <f t="shared" si="5"/>
        <v>20</v>
      </c>
      <c r="G243" s="2"/>
    </row>
    <row r="244" spans="2:7" x14ac:dyDescent="0.25">
      <c r="B244" s="4">
        <v>46185</v>
      </c>
      <c r="C244" s="2" t="s">
        <v>7234</v>
      </c>
      <c r="D244" s="2"/>
      <c r="E244" s="23"/>
      <c r="F244" s="23">
        <f t="shared" si="5"/>
        <v>-90</v>
      </c>
      <c r="G244" s="2"/>
    </row>
    <row r="245" spans="2:7" x14ac:dyDescent="0.25">
      <c r="B245" s="4">
        <v>46186</v>
      </c>
      <c r="C245" s="2" t="s">
        <v>7245</v>
      </c>
      <c r="D245" s="2"/>
      <c r="E245" s="23"/>
      <c r="F245" s="23">
        <f t="shared" si="5"/>
        <v>0</v>
      </c>
      <c r="G245" s="2"/>
    </row>
    <row r="246" spans="2:7" x14ac:dyDescent="0.25">
      <c r="B246" s="4">
        <v>46187</v>
      </c>
      <c r="C246" s="2" t="s">
        <v>480</v>
      </c>
      <c r="D246" s="2" t="s">
        <v>7244</v>
      </c>
      <c r="E246" s="23"/>
      <c r="F246" s="23">
        <f t="shared" si="5"/>
        <v>0</v>
      </c>
      <c r="G246" s="2"/>
    </row>
    <row r="247" spans="2:7" x14ac:dyDescent="0.25">
      <c r="B247" s="4">
        <v>46188</v>
      </c>
      <c r="C247" s="2" t="s">
        <v>480</v>
      </c>
      <c r="D247" s="2"/>
      <c r="E247" s="23"/>
      <c r="F247" s="23">
        <f t="shared" si="5"/>
        <v>0</v>
      </c>
      <c r="G247" s="2"/>
    </row>
    <row r="248" spans="2:7" x14ac:dyDescent="0.25">
      <c r="B248" s="4">
        <v>46189</v>
      </c>
      <c r="C248" s="2" t="s">
        <v>480</v>
      </c>
      <c r="D248" s="2"/>
      <c r="E248" s="23"/>
      <c r="F248" s="23">
        <f t="shared" si="5"/>
        <v>0</v>
      </c>
      <c r="G248" s="2"/>
    </row>
    <row r="249" spans="2:7" x14ac:dyDescent="0.25">
      <c r="B249" s="4">
        <v>46190</v>
      </c>
      <c r="C249" s="2" t="s">
        <v>7257</v>
      </c>
      <c r="D249" s="2"/>
      <c r="E249" s="23"/>
      <c r="F249" s="23">
        <f t="shared" si="5"/>
        <v>0</v>
      </c>
      <c r="G249" s="2"/>
    </row>
    <row r="250" spans="2:7" x14ac:dyDescent="0.25">
      <c r="B250" s="4">
        <v>46191</v>
      </c>
      <c r="C250" s="2" t="s">
        <v>7256</v>
      </c>
      <c r="D250" s="2"/>
      <c r="E250" s="23"/>
      <c r="F250" s="23">
        <f t="shared" si="5"/>
        <v>0</v>
      </c>
      <c r="G250" s="2"/>
    </row>
    <row r="251" spans="2:7" x14ac:dyDescent="0.25">
      <c r="B251" s="4">
        <v>46192</v>
      </c>
      <c r="C251" s="2" t="s">
        <v>3862</v>
      </c>
      <c r="D251" s="2"/>
      <c r="E251" s="23"/>
      <c r="F251" s="23">
        <f t="shared" si="5"/>
        <v>0</v>
      </c>
      <c r="G251" s="2"/>
    </row>
    <row r="252" spans="2:7" x14ac:dyDescent="0.25">
      <c r="B252" s="4">
        <v>46193</v>
      </c>
      <c r="C252" s="2" t="s">
        <v>7035</v>
      </c>
      <c r="D252" s="2"/>
      <c r="E252" s="23"/>
      <c r="F252" s="23">
        <f t="shared" si="5"/>
        <v>0</v>
      </c>
      <c r="G252" s="2"/>
    </row>
    <row r="253" spans="2:7" x14ac:dyDescent="0.25">
      <c r="B253" s="4">
        <v>46194</v>
      </c>
      <c r="C253" s="2" t="s">
        <v>6383</v>
      </c>
      <c r="D253" s="2"/>
      <c r="E253" s="23"/>
      <c r="F253" s="23">
        <f t="shared" si="5"/>
        <v>0</v>
      </c>
      <c r="G253" s="2"/>
    </row>
    <row r="254" spans="2:7" x14ac:dyDescent="0.25">
      <c r="B254" s="4">
        <v>46195</v>
      </c>
      <c r="C254" s="2" t="s">
        <v>6383</v>
      </c>
      <c r="D254" s="2"/>
      <c r="E254" s="23"/>
      <c r="F254" s="23">
        <f t="shared" si="5"/>
        <v>0</v>
      </c>
      <c r="G254" s="2"/>
    </row>
    <row r="255" spans="2:7" x14ac:dyDescent="0.25">
      <c r="B255" s="4">
        <v>46196</v>
      </c>
      <c r="C255" s="2" t="s">
        <v>6383</v>
      </c>
      <c r="D255" s="2"/>
      <c r="E255" s="23"/>
      <c r="F255" s="23">
        <f t="shared" si="5"/>
        <v>0</v>
      </c>
      <c r="G255" s="2"/>
    </row>
    <row r="256" spans="2:7" x14ac:dyDescent="0.25">
      <c r="B256" s="4">
        <v>46197</v>
      </c>
      <c r="C256" s="2" t="s">
        <v>6383</v>
      </c>
      <c r="D256" s="2"/>
      <c r="E256" s="23"/>
      <c r="F256" s="23"/>
      <c r="G256" s="2"/>
    </row>
    <row r="257" spans="2:7" x14ac:dyDescent="0.25">
      <c r="B257" s="4">
        <v>46198</v>
      </c>
      <c r="C257" s="2" t="s">
        <v>6383</v>
      </c>
      <c r="D257" s="2"/>
      <c r="E257" s="23"/>
      <c r="F257" s="23"/>
      <c r="G257" s="2"/>
    </row>
    <row r="258" spans="2:7" x14ac:dyDescent="0.25">
      <c r="B258" s="4">
        <v>46199</v>
      </c>
      <c r="C258" s="2" t="s">
        <v>7308</v>
      </c>
      <c r="D258" s="2"/>
      <c r="E258" s="23"/>
      <c r="F258" s="23"/>
      <c r="G258" s="2"/>
    </row>
    <row r="259" spans="2:7" x14ac:dyDescent="0.25">
      <c r="B259" s="4">
        <v>46200</v>
      </c>
      <c r="C259" s="2" t="s">
        <v>7309</v>
      </c>
      <c r="D259" s="2"/>
      <c r="E259" s="23"/>
      <c r="F259" s="23"/>
      <c r="G259" s="2"/>
    </row>
    <row r="260" spans="2:7" x14ac:dyDescent="0.25">
      <c r="B260" s="4">
        <v>46201</v>
      </c>
      <c r="C260" s="2"/>
      <c r="D260" s="2"/>
      <c r="E260" s="23"/>
      <c r="F260" s="23"/>
      <c r="G260" s="2"/>
    </row>
    <row r="261" spans="2:7" x14ac:dyDescent="0.25">
      <c r="B261" s="4">
        <v>46202</v>
      </c>
      <c r="C261" s="2"/>
      <c r="D261" s="2"/>
      <c r="E261" s="23"/>
      <c r="F261" s="23"/>
      <c r="G261" s="2"/>
    </row>
    <row r="262" spans="2:7" x14ac:dyDescent="0.25">
      <c r="B262" s="4">
        <v>46203</v>
      </c>
      <c r="C262" s="2"/>
      <c r="D262" s="2"/>
      <c r="E262" s="23"/>
      <c r="F262" s="23"/>
      <c r="G262" s="2"/>
    </row>
    <row r="263" spans="2:7" x14ac:dyDescent="0.25">
      <c r="B263" s="4">
        <v>46204</v>
      </c>
      <c r="C263" s="2"/>
      <c r="D263" s="2"/>
      <c r="E263" s="23"/>
      <c r="F263" s="23"/>
      <c r="G263" s="2"/>
    </row>
    <row r="264" spans="2:7" x14ac:dyDescent="0.25">
      <c r="B264" s="4">
        <v>46205</v>
      </c>
      <c r="C264" s="2"/>
      <c r="D264" s="2"/>
      <c r="E264" s="23"/>
      <c r="F264" s="23"/>
      <c r="G264" s="2"/>
    </row>
    <row r="265" spans="2:7" x14ac:dyDescent="0.25">
      <c r="B265" s="4">
        <v>46206</v>
      </c>
      <c r="C265" s="2" t="s">
        <v>7346</v>
      </c>
      <c r="D265" s="2"/>
      <c r="E265" s="23"/>
      <c r="F265" s="23"/>
      <c r="G265" s="2"/>
    </row>
    <row r="266" spans="2:7" x14ac:dyDescent="0.25">
      <c r="B266" s="4">
        <v>46207</v>
      </c>
      <c r="C266" s="2"/>
      <c r="D266" s="2"/>
      <c r="E266" s="23"/>
      <c r="F266" s="23"/>
      <c r="G266" s="2"/>
    </row>
    <row r="267" spans="2:7" x14ac:dyDescent="0.25">
      <c r="B267" s="4">
        <v>46208</v>
      </c>
      <c r="C267" s="2"/>
      <c r="D267" s="2"/>
      <c r="E267" s="23"/>
      <c r="F267" s="23"/>
      <c r="G267" s="2"/>
    </row>
    <row r="268" spans="2:7" x14ac:dyDescent="0.25">
      <c r="B268" s="4">
        <v>46209</v>
      </c>
      <c r="C268" s="2"/>
      <c r="D268" s="2"/>
      <c r="E268" s="23"/>
      <c r="F268" s="23"/>
      <c r="G268" s="2"/>
    </row>
    <row r="269" spans="2:7" x14ac:dyDescent="0.25">
      <c r="B269" s="4">
        <v>46210</v>
      </c>
      <c r="C269" s="2"/>
      <c r="D269" s="2"/>
      <c r="E269" s="23"/>
      <c r="F269" s="23"/>
      <c r="G269" s="2"/>
    </row>
    <row r="270" spans="2:7" x14ac:dyDescent="0.25">
      <c r="B270" s="4">
        <v>46211</v>
      </c>
      <c r="C270" s="2"/>
      <c r="D270" s="2"/>
      <c r="E270" s="23"/>
      <c r="F270" s="23"/>
      <c r="G270" s="2"/>
    </row>
    <row r="271" spans="2:7" x14ac:dyDescent="0.25">
      <c r="B271" s="4">
        <v>46212</v>
      </c>
      <c r="C271" s="2"/>
      <c r="D271" s="2"/>
      <c r="E271" s="23"/>
      <c r="F271" s="23"/>
      <c r="G271" s="2"/>
    </row>
    <row r="272" spans="2:7" x14ac:dyDescent="0.25">
      <c r="B272" s="4">
        <v>46213</v>
      </c>
      <c r="C272" s="2"/>
      <c r="D272" s="2"/>
      <c r="E272" s="23"/>
      <c r="F272" s="23"/>
      <c r="G272" s="2"/>
    </row>
    <row r="273" spans="2:7" x14ac:dyDescent="0.25">
      <c r="B273" s="4">
        <v>46214</v>
      </c>
      <c r="C273" s="2" t="s">
        <v>7373</v>
      </c>
      <c r="D273" s="2"/>
      <c r="E273" s="23"/>
      <c r="F273" s="23"/>
      <c r="G273" s="2"/>
    </row>
    <row r="274" spans="2:7" x14ac:dyDescent="0.25">
      <c r="B274" s="4">
        <v>46215</v>
      </c>
      <c r="C274" s="2" t="s">
        <v>7389</v>
      </c>
      <c r="D274" s="2"/>
      <c r="E274" s="23"/>
      <c r="F274" s="23"/>
      <c r="G274" s="2"/>
    </row>
    <row r="275" spans="2:7" x14ac:dyDescent="0.25">
      <c r="B275" s="4">
        <v>46216</v>
      </c>
      <c r="C275" s="2" t="s">
        <v>7642</v>
      </c>
      <c r="D275" s="2"/>
      <c r="E275" s="23"/>
      <c r="F275" s="23"/>
      <c r="G275" s="2"/>
    </row>
    <row r="276" spans="2:7" x14ac:dyDescent="0.25">
      <c r="B276" s="4">
        <v>46217</v>
      </c>
      <c r="C276" s="2" t="s">
        <v>7642</v>
      </c>
      <c r="D276" s="2"/>
      <c r="E276" s="23"/>
      <c r="F276" s="23"/>
      <c r="G276" s="2"/>
    </row>
    <row r="277" spans="2:7" x14ac:dyDescent="0.25">
      <c r="B277" s="4">
        <v>46218</v>
      </c>
      <c r="C277" s="2" t="s">
        <v>7642</v>
      </c>
      <c r="D277" s="2"/>
      <c r="E277" s="23"/>
      <c r="F277" s="23"/>
      <c r="G277" s="2"/>
    </row>
    <row r="278" spans="2:7" x14ac:dyDescent="0.25">
      <c r="B278" s="4">
        <v>46219</v>
      </c>
      <c r="C278" s="2" t="s">
        <v>7461</v>
      </c>
      <c r="D278" s="2"/>
      <c r="E278" s="23"/>
      <c r="F278" s="23"/>
      <c r="G278" s="2"/>
    </row>
    <row r="279" spans="2:7" x14ac:dyDescent="0.25">
      <c r="B279" s="4">
        <v>46220</v>
      </c>
      <c r="C279" s="2" t="s">
        <v>7640</v>
      </c>
      <c r="D279" s="2"/>
      <c r="E279" s="23"/>
      <c r="F279" s="23"/>
      <c r="G279" s="2"/>
    </row>
    <row r="280" spans="2:7" x14ac:dyDescent="0.25">
      <c r="B280" s="4">
        <v>46221</v>
      </c>
      <c r="C280" s="2" t="s">
        <v>7641</v>
      </c>
      <c r="D280" s="2"/>
      <c r="E280" s="23"/>
      <c r="F280" s="23"/>
      <c r="G280" s="2"/>
    </row>
    <row r="281" spans="2:7" x14ac:dyDescent="0.25">
      <c r="B281" s="4">
        <v>46222</v>
      </c>
      <c r="C281" s="2" t="s">
        <v>7641</v>
      </c>
      <c r="D281" s="2"/>
      <c r="E281" s="23"/>
      <c r="F281" s="23"/>
      <c r="G281" s="2"/>
    </row>
    <row r="282" spans="2:7" x14ac:dyDescent="0.25">
      <c r="B282" s="4">
        <v>46223</v>
      </c>
      <c r="C282" s="2" t="s">
        <v>7641</v>
      </c>
      <c r="D282" s="2"/>
      <c r="E282" s="23"/>
      <c r="F282" s="23"/>
      <c r="G282" s="2"/>
    </row>
    <row r="283" spans="2:7" x14ac:dyDescent="0.25">
      <c r="B283" s="4">
        <v>46224</v>
      </c>
      <c r="C283" s="2" t="s">
        <v>7612</v>
      </c>
      <c r="D283" s="2" t="s">
        <v>7613</v>
      </c>
      <c r="E283" s="23"/>
      <c r="F283" s="23"/>
      <c r="G283" s="2"/>
    </row>
    <row r="284" spans="2:7" x14ac:dyDescent="0.25">
      <c r="B284" s="4">
        <v>46225</v>
      </c>
      <c r="C284" s="2" t="s">
        <v>7614</v>
      </c>
      <c r="D284" s="2"/>
      <c r="E284" s="23"/>
      <c r="F284" s="23"/>
      <c r="G284" s="2"/>
    </row>
    <row r="285" spans="2:7" x14ac:dyDescent="0.25">
      <c r="B285" s="4">
        <v>46226</v>
      </c>
      <c r="C285" s="2" t="s">
        <v>7615</v>
      </c>
      <c r="D285" s="2" t="s">
        <v>7616</v>
      </c>
      <c r="E285" s="23"/>
      <c r="F285" s="23"/>
      <c r="G285" s="2"/>
    </row>
    <row r="286" spans="2:7" x14ac:dyDescent="0.25">
      <c r="B286" s="4">
        <v>46227</v>
      </c>
      <c r="C286" s="2" t="s">
        <v>7616</v>
      </c>
      <c r="D286" s="2"/>
      <c r="E286" s="23"/>
      <c r="F286" s="23"/>
      <c r="G286" s="2"/>
    </row>
    <row r="287" spans="2:7" x14ac:dyDescent="0.25">
      <c r="B287" s="4">
        <v>46228</v>
      </c>
      <c r="C287" s="2"/>
      <c r="D287" s="2"/>
      <c r="E287" s="23"/>
      <c r="F287" s="23"/>
      <c r="G287" s="2"/>
    </row>
    <row r="288" spans="2:7" x14ac:dyDescent="0.25">
      <c r="B288" s="4">
        <v>46229</v>
      </c>
      <c r="C288" s="2"/>
      <c r="D288" s="2"/>
      <c r="E288" s="23"/>
      <c r="F288" s="23"/>
      <c r="G288" s="2"/>
    </row>
    <row r="289" spans="2:7" x14ac:dyDescent="0.25">
      <c r="B289" s="4">
        <v>46230</v>
      </c>
      <c r="C289" s="2"/>
      <c r="D289" s="2"/>
      <c r="E289" s="23"/>
      <c r="F289" s="23"/>
      <c r="G289" s="2"/>
    </row>
    <row r="290" spans="2:7" x14ac:dyDescent="0.25">
      <c r="B290" s="4">
        <v>46231</v>
      </c>
      <c r="C290" s="2"/>
      <c r="D290" s="2"/>
      <c r="E290" s="23"/>
      <c r="F290" s="23"/>
      <c r="G290" s="2"/>
    </row>
    <row r="291" spans="2:7" x14ac:dyDescent="0.25">
      <c r="B291" s="4">
        <v>46232</v>
      </c>
      <c r="C291" s="2"/>
      <c r="D291" s="2"/>
      <c r="E291" s="23"/>
      <c r="F291" s="23"/>
      <c r="G291" s="2"/>
    </row>
    <row r="292" spans="2:7" x14ac:dyDescent="0.25">
      <c r="B292" s="4">
        <v>46233</v>
      </c>
      <c r="C292" s="2"/>
      <c r="D292" s="2"/>
      <c r="E292" s="23"/>
      <c r="F292" s="23"/>
      <c r="G292" s="2"/>
    </row>
    <row r="293" spans="2:7" x14ac:dyDescent="0.25">
      <c r="B293" s="4">
        <v>46234</v>
      </c>
      <c r="C293" s="2"/>
      <c r="D293" s="2"/>
      <c r="E293" s="23"/>
      <c r="F293" s="23"/>
      <c r="G293" s="2"/>
    </row>
    <row r="294" spans="2:7" x14ac:dyDescent="0.25">
      <c r="B294" s="4">
        <v>46235</v>
      </c>
      <c r="C294" s="2"/>
      <c r="D294" s="2"/>
      <c r="E294" s="23"/>
      <c r="F294" s="23"/>
      <c r="G294" s="2"/>
    </row>
    <row r="295" spans="2:7" x14ac:dyDescent="0.25">
      <c r="B295" s="4">
        <v>46236</v>
      </c>
      <c r="C295" s="2"/>
      <c r="D295" s="2"/>
      <c r="E295" s="23"/>
      <c r="F295" s="23"/>
      <c r="G295" s="2"/>
    </row>
    <row r="296" spans="2:7" x14ac:dyDescent="0.25">
      <c r="B296" s="4">
        <v>46237</v>
      </c>
      <c r="C296" s="2"/>
      <c r="D296" s="2"/>
      <c r="E296" s="23"/>
      <c r="F296" s="23"/>
      <c r="G296" s="2"/>
    </row>
    <row r="297" spans="2:7" x14ac:dyDescent="0.25">
      <c r="B297" s="4">
        <v>46238</v>
      </c>
      <c r="C297" s="2"/>
      <c r="D297" s="2"/>
      <c r="E297" s="23"/>
      <c r="F297" s="23"/>
      <c r="G297" s="2"/>
    </row>
    <row r="298" spans="2:7" x14ac:dyDescent="0.25">
      <c r="B298" s="4">
        <v>46239</v>
      </c>
      <c r="C298" s="2" t="s">
        <v>7669</v>
      </c>
      <c r="D298" s="2"/>
      <c r="E298" s="23"/>
      <c r="F298" s="23"/>
      <c r="G298" s="2"/>
    </row>
    <row r="299" spans="2:7" x14ac:dyDescent="0.25">
      <c r="B299" s="4">
        <v>46240</v>
      </c>
      <c r="C299" s="2" t="s">
        <v>7681</v>
      </c>
      <c r="D299" s="2"/>
      <c r="E299" s="23"/>
      <c r="F299" s="23"/>
      <c r="G299" s="2"/>
    </row>
    <row r="300" spans="2:7" x14ac:dyDescent="0.25">
      <c r="B300" s="4">
        <v>46241</v>
      </c>
      <c r="C300" s="2" t="s">
        <v>7682</v>
      </c>
      <c r="D300" s="2"/>
      <c r="E300" s="23"/>
      <c r="F300" s="23"/>
      <c r="G300" s="2"/>
    </row>
    <row r="301" spans="2:7" x14ac:dyDescent="0.25">
      <c r="B301" s="4">
        <v>46242</v>
      </c>
      <c r="C301" s="2" t="s">
        <v>7683</v>
      </c>
      <c r="D301" s="2"/>
      <c r="E301" s="23"/>
      <c r="F301" s="23"/>
      <c r="G301" s="2"/>
    </row>
    <row r="302" spans="2:7" x14ac:dyDescent="0.25">
      <c r="B302" s="4">
        <v>46243</v>
      </c>
      <c r="C302" s="2"/>
      <c r="D302" s="2"/>
      <c r="E302" s="23"/>
      <c r="F302" s="23"/>
      <c r="G302" s="2"/>
    </row>
    <row r="303" spans="2:7" x14ac:dyDescent="0.25">
      <c r="B303" s="4">
        <v>46244</v>
      </c>
      <c r="C303" s="2"/>
      <c r="D303" s="2"/>
      <c r="E303" s="23"/>
      <c r="F303" s="23"/>
      <c r="G303" s="2"/>
    </row>
    <row r="304" spans="2:7" x14ac:dyDescent="0.25">
      <c r="B304" s="4">
        <v>46245</v>
      </c>
      <c r="C304" s="2"/>
      <c r="D304" s="2"/>
      <c r="E304" s="23"/>
      <c r="F304" s="23"/>
      <c r="G304" s="2"/>
    </row>
    <row r="305" spans="2:7" x14ac:dyDescent="0.25">
      <c r="B305" s="4">
        <v>46246</v>
      </c>
      <c r="C305" s="2"/>
      <c r="D305" s="2"/>
      <c r="E305" s="23"/>
      <c r="F305" s="23"/>
      <c r="G305" s="2"/>
    </row>
    <row r="306" spans="2:7" x14ac:dyDescent="0.25">
      <c r="B306" s="4">
        <v>46247</v>
      </c>
      <c r="C306" s="2"/>
      <c r="D306" s="2"/>
      <c r="E306" s="23"/>
      <c r="F306" s="23"/>
      <c r="G306" s="2"/>
    </row>
  </sheetData>
  <mergeCells count="1">
    <mergeCell ref="I219:J219"/>
  </mergeCells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51F5F-C86C-4D3D-AB56-CAB3425E98C5}">
  <dimension ref="B2:G288"/>
  <sheetViews>
    <sheetView workbookViewId="0">
      <pane ySplit="3" topLeftCell="A212" activePane="bottomLeft" state="frozen"/>
      <selection activeCell="D8" sqref="D8"/>
      <selection pane="bottomLeft" activeCell="C221" sqref="C221"/>
    </sheetView>
  </sheetViews>
  <sheetFormatPr defaultRowHeight="15" x14ac:dyDescent="0.25"/>
  <cols>
    <col min="2" max="2" width="18" bestFit="1" customWidth="1"/>
    <col min="3" max="3" width="55.5703125" customWidth="1"/>
    <col min="4" max="4" width="44.140625" customWidth="1"/>
    <col min="5" max="5" width="11.85546875" style="24" bestFit="1" customWidth="1"/>
    <col min="6" max="6" width="8.42578125" style="24" bestFit="1" customWidth="1"/>
    <col min="7" max="7" width="11" bestFit="1" customWidth="1"/>
  </cols>
  <sheetData>
    <row r="2" spans="2:7" ht="18.75" x14ac:dyDescent="0.3">
      <c r="B2" s="144" t="s">
        <v>6721</v>
      </c>
      <c r="D2" s="123" t="s">
        <v>5515</v>
      </c>
      <c r="E2" s="124" t="s">
        <v>5516</v>
      </c>
      <c r="F2" s="154">
        <f>SUM(F4:F71)</f>
        <v>11.5</v>
      </c>
    </row>
    <row r="3" spans="2:7" ht="15.75" x14ac:dyDescent="0.25">
      <c r="B3" s="10" t="s">
        <v>0</v>
      </c>
      <c r="C3" s="11" t="s">
        <v>1</v>
      </c>
      <c r="D3" s="11" t="s">
        <v>2</v>
      </c>
      <c r="E3" s="11" t="s">
        <v>934</v>
      </c>
      <c r="F3" s="11" t="s">
        <v>1095</v>
      </c>
      <c r="G3" s="11" t="s">
        <v>1507</v>
      </c>
    </row>
    <row r="4" spans="2:7" x14ac:dyDescent="0.25">
      <c r="B4" s="4">
        <v>45924</v>
      </c>
      <c r="C4" s="2" t="s">
        <v>5459</v>
      </c>
      <c r="D4" s="2"/>
      <c r="E4" s="23"/>
      <c r="F4" s="23"/>
      <c r="G4" s="2"/>
    </row>
    <row r="5" spans="2:7" x14ac:dyDescent="0.25">
      <c r="B5" s="4">
        <v>45925</v>
      </c>
      <c r="C5" s="2" t="s">
        <v>5459</v>
      </c>
      <c r="D5" s="2"/>
      <c r="E5" s="23"/>
      <c r="F5" s="23"/>
      <c r="G5" s="2"/>
    </row>
    <row r="6" spans="2:7" x14ac:dyDescent="0.25">
      <c r="B6" s="4">
        <v>45926</v>
      </c>
      <c r="C6" s="2"/>
      <c r="D6" s="2"/>
      <c r="E6" s="23"/>
      <c r="F6" s="23"/>
      <c r="G6" s="2"/>
    </row>
    <row r="7" spans="2:7" x14ac:dyDescent="0.25">
      <c r="B7" s="4">
        <v>45927</v>
      </c>
      <c r="C7" s="2"/>
      <c r="D7" s="58"/>
      <c r="E7" s="23"/>
      <c r="F7" s="23"/>
      <c r="G7" s="2"/>
    </row>
    <row r="8" spans="2:7" x14ac:dyDescent="0.25">
      <c r="B8" s="4">
        <v>45928</v>
      </c>
      <c r="C8" s="2"/>
      <c r="D8" s="58"/>
      <c r="E8" s="23"/>
      <c r="F8" s="23"/>
      <c r="G8" s="2"/>
    </row>
    <row r="9" spans="2:7" x14ac:dyDescent="0.25">
      <c r="B9" s="4">
        <v>45929</v>
      </c>
      <c r="C9" s="2" t="s">
        <v>4729</v>
      </c>
      <c r="D9" s="58"/>
      <c r="E9" s="23"/>
      <c r="F9" s="23"/>
      <c r="G9" s="2"/>
    </row>
    <row r="10" spans="2:7" x14ac:dyDescent="0.25">
      <c r="B10" s="4">
        <v>45930</v>
      </c>
      <c r="C10" s="2"/>
      <c r="D10" s="2"/>
      <c r="E10" s="23"/>
      <c r="F10" s="23"/>
      <c r="G10" s="2"/>
    </row>
    <row r="11" spans="2:7" x14ac:dyDescent="0.25">
      <c r="B11" s="4">
        <v>45931</v>
      </c>
      <c r="C11" s="2"/>
      <c r="D11" s="2"/>
      <c r="E11" s="23"/>
      <c r="F11" s="23"/>
      <c r="G11" s="2"/>
    </row>
    <row r="12" spans="2:7" x14ac:dyDescent="0.25">
      <c r="B12" s="4">
        <v>45932</v>
      </c>
      <c r="C12" s="2" t="s">
        <v>5522</v>
      </c>
      <c r="D12" s="2"/>
      <c r="E12" s="23"/>
      <c r="F12" s="23"/>
      <c r="G12" s="2"/>
    </row>
    <row r="13" spans="2:7" x14ac:dyDescent="0.25">
      <c r="B13" s="4">
        <v>45933</v>
      </c>
      <c r="C13" s="2"/>
      <c r="D13" s="2"/>
      <c r="E13" s="23"/>
      <c r="F13" s="23"/>
      <c r="G13" s="2"/>
    </row>
    <row r="14" spans="2:7" x14ac:dyDescent="0.25">
      <c r="B14" s="4">
        <v>45934</v>
      </c>
      <c r="C14" s="2"/>
      <c r="D14" s="2"/>
      <c r="E14" s="23"/>
      <c r="F14" s="23"/>
      <c r="G14" s="2"/>
    </row>
    <row r="15" spans="2:7" x14ac:dyDescent="0.25">
      <c r="B15" s="4">
        <v>45935</v>
      </c>
      <c r="C15" s="2"/>
      <c r="D15" s="2"/>
      <c r="E15" s="23"/>
      <c r="F15" s="23"/>
      <c r="G15" s="2"/>
    </row>
    <row r="16" spans="2:7" x14ac:dyDescent="0.25">
      <c r="B16" s="4">
        <v>45936</v>
      </c>
      <c r="C16" s="2" t="s">
        <v>5550</v>
      </c>
      <c r="D16" s="2"/>
      <c r="E16" s="23"/>
      <c r="F16" s="23"/>
      <c r="G16" s="2"/>
    </row>
    <row r="17" spans="2:7" x14ac:dyDescent="0.25">
      <c r="B17" s="4">
        <v>45937</v>
      </c>
      <c r="C17" s="2" t="s">
        <v>5512</v>
      </c>
      <c r="D17" s="2"/>
      <c r="E17" s="23"/>
      <c r="F17" s="23"/>
      <c r="G17" s="2"/>
    </row>
    <row r="18" spans="2:7" x14ac:dyDescent="0.25">
      <c r="B18" s="4">
        <v>45938</v>
      </c>
      <c r="C18" s="2" t="s">
        <v>5590</v>
      </c>
      <c r="D18" s="2"/>
      <c r="E18" s="23"/>
      <c r="F18" s="23"/>
      <c r="G18" s="2"/>
    </row>
    <row r="19" spans="2:7" x14ac:dyDescent="0.25">
      <c r="B19" s="4">
        <v>45939</v>
      </c>
      <c r="C19" s="2"/>
      <c r="D19" s="2"/>
      <c r="E19" s="23"/>
      <c r="F19" s="23"/>
      <c r="G19" s="2"/>
    </row>
    <row r="20" spans="2:7" x14ac:dyDescent="0.25">
      <c r="B20" s="4">
        <v>45940</v>
      </c>
      <c r="C20" s="2" t="s">
        <v>5613</v>
      </c>
      <c r="D20" s="2"/>
      <c r="E20" s="23"/>
      <c r="F20" s="23"/>
      <c r="G20" s="2"/>
    </row>
    <row r="21" spans="2:7" x14ac:dyDescent="0.25">
      <c r="B21" s="4">
        <v>45941</v>
      </c>
      <c r="C21" s="2" t="s">
        <v>5620</v>
      </c>
      <c r="D21" s="2"/>
      <c r="E21" s="23"/>
      <c r="F21" s="23"/>
      <c r="G21" s="2"/>
    </row>
    <row r="22" spans="2:7" x14ac:dyDescent="0.25">
      <c r="B22" s="4">
        <v>45942</v>
      </c>
      <c r="C22" s="2" t="s">
        <v>5621</v>
      </c>
      <c r="D22" s="2"/>
      <c r="E22" s="23"/>
      <c r="F22" s="23"/>
      <c r="G22" s="2"/>
    </row>
    <row r="23" spans="2:7" x14ac:dyDescent="0.25">
      <c r="B23" s="4">
        <v>45943</v>
      </c>
      <c r="C23" s="2" t="s">
        <v>5628</v>
      </c>
      <c r="D23" s="2"/>
      <c r="E23" s="23"/>
      <c r="F23" s="23"/>
      <c r="G23" s="2"/>
    </row>
    <row r="24" spans="2:7" x14ac:dyDescent="0.25">
      <c r="B24" s="4">
        <v>45944</v>
      </c>
      <c r="C24" s="2" t="s">
        <v>5635</v>
      </c>
      <c r="D24" s="2"/>
      <c r="E24" s="23"/>
      <c r="F24" s="23"/>
      <c r="G24" s="2"/>
    </row>
    <row r="25" spans="2:7" x14ac:dyDescent="0.25">
      <c r="B25" s="4">
        <v>45945</v>
      </c>
      <c r="C25" s="2" t="s">
        <v>5645</v>
      </c>
      <c r="D25" s="2"/>
      <c r="E25" s="23"/>
      <c r="F25" s="23"/>
      <c r="G25" s="2"/>
    </row>
    <row r="26" spans="2:7" x14ac:dyDescent="0.25">
      <c r="B26" s="4">
        <v>45946</v>
      </c>
      <c r="C26" s="2" t="s">
        <v>279</v>
      </c>
      <c r="D26" s="2"/>
      <c r="E26" s="23"/>
      <c r="F26" s="23"/>
      <c r="G26" s="2"/>
    </row>
    <row r="27" spans="2:7" x14ac:dyDescent="0.25">
      <c r="B27" s="4">
        <v>45947</v>
      </c>
      <c r="C27" s="2" t="s">
        <v>5660</v>
      </c>
      <c r="D27" s="2"/>
      <c r="E27" s="23"/>
      <c r="F27" s="23"/>
      <c r="G27" s="2"/>
    </row>
    <row r="28" spans="2:7" x14ac:dyDescent="0.25">
      <c r="B28" s="4">
        <v>45948</v>
      </c>
      <c r="C28" s="2" t="s">
        <v>5672</v>
      </c>
      <c r="D28" s="2"/>
      <c r="E28" s="23"/>
      <c r="F28" s="23"/>
      <c r="G28" s="2"/>
    </row>
    <row r="29" spans="2:7" x14ac:dyDescent="0.25">
      <c r="B29" s="4">
        <v>45949</v>
      </c>
      <c r="C29" s="2" t="s">
        <v>5673</v>
      </c>
      <c r="D29" s="2"/>
      <c r="E29" s="23"/>
      <c r="F29" s="23"/>
      <c r="G29" s="2"/>
    </row>
    <row r="30" spans="2:7" x14ac:dyDescent="0.25">
      <c r="B30" s="4">
        <v>45950</v>
      </c>
      <c r="C30" s="2" t="s">
        <v>5688</v>
      </c>
      <c r="D30" s="2"/>
      <c r="E30" s="23"/>
      <c r="F30" s="23"/>
      <c r="G30" s="2"/>
    </row>
    <row r="31" spans="2:7" x14ac:dyDescent="0.25">
      <c r="B31" s="4">
        <v>45951</v>
      </c>
      <c r="C31" s="2" t="s">
        <v>5673</v>
      </c>
      <c r="D31" s="2"/>
      <c r="E31" s="23"/>
      <c r="F31" s="23"/>
      <c r="G31" s="2"/>
    </row>
    <row r="32" spans="2:7" x14ac:dyDescent="0.25">
      <c r="B32" s="4">
        <v>45952</v>
      </c>
      <c r="C32" s="2" t="s">
        <v>5705</v>
      </c>
      <c r="D32" s="2"/>
      <c r="E32" s="23">
        <v>16</v>
      </c>
      <c r="F32" s="23">
        <f>E32-E31</f>
        <v>16</v>
      </c>
      <c r="G32" s="2"/>
    </row>
    <row r="33" spans="2:7" x14ac:dyDescent="0.25">
      <c r="B33" s="4">
        <v>45953</v>
      </c>
      <c r="C33" s="2" t="s">
        <v>5715</v>
      </c>
      <c r="D33" s="2" t="s">
        <v>5716</v>
      </c>
      <c r="E33" s="23">
        <v>8</v>
      </c>
      <c r="F33" s="23">
        <f t="shared" ref="F33:F95" si="0">E33-E32</f>
        <v>-8</v>
      </c>
      <c r="G33" s="2"/>
    </row>
    <row r="34" spans="2:7" x14ac:dyDescent="0.25">
      <c r="B34" s="4">
        <v>45954</v>
      </c>
      <c r="C34" s="2" t="s">
        <v>5721</v>
      </c>
      <c r="D34" s="2" t="s">
        <v>5722</v>
      </c>
      <c r="E34" s="23">
        <v>10</v>
      </c>
      <c r="F34" s="23">
        <f t="shared" si="0"/>
        <v>2</v>
      </c>
      <c r="G34" s="2"/>
    </row>
    <row r="35" spans="2:7" x14ac:dyDescent="0.25">
      <c r="B35" s="4">
        <v>45955</v>
      </c>
      <c r="C35" s="2" t="s">
        <v>5741</v>
      </c>
      <c r="D35" s="2"/>
      <c r="E35" s="23">
        <v>18</v>
      </c>
      <c r="F35" s="23">
        <f t="shared" si="0"/>
        <v>8</v>
      </c>
      <c r="G35" s="2"/>
    </row>
    <row r="36" spans="2:7" x14ac:dyDescent="0.25">
      <c r="B36" s="4">
        <v>45956</v>
      </c>
      <c r="C36" s="2" t="s">
        <v>5731</v>
      </c>
      <c r="D36" s="2" t="s">
        <v>5735</v>
      </c>
      <c r="E36" s="23">
        <v>22</v>
      </c>
      <c r="F36" s="23">
        <f t="shared" si="0"/>
        <v>4</v>
      </c>
      <c r="G36" s="2"/>
    </row>
    <row r="37" spans="2:7" x14ac:dyDescent="0.25">
      <c r="B37" s="4">
        <v>45957</v>
      </c>
      <c r="C37" s="2" t="s">
        <v>5743</v>
      </c>
      <c r="D37" s="2"/>
      <c r="E37" s="23">
        <v>28</v>
      </c>
      <c r="F37" s="23">
        <f t="shared" si="0"/>
        <v>6</v>
      </c>
      <c r="G37" s="2"/>
    </row>
    <row r="38" spans="2:7" x14ac:dyDescent="0.25">
      <c r="B38" s="4">
        <v>45958</v>
      </c>
      <c r="C38" s="2" t="s">
        <v>5749</v>
      </c>
      <c r="D38" s="2"/>
      <c r="E38" s="23">
        <v>29.5</v>
      </c>
      <c r="F38" s="23">
        <f t="shared" si="0"/>
        <v>1.5</v>
      </c>
      <c r="G38" s="2"/>
    </row>
    <row r="39" spans="2:7" x14ac:dyDescent="0.25">
      <c r="B39" s="4">
        <v>45959</v>
      </c>
      <c r="C39" s="2" t="s">
        <v>5762</v>
      </c>
      <c r="D39" s="2"/>
      <c r="E39" s="23">
        <v>32.5</v>
      </c>
      <c r="F39" s="23">
        <f t="shared" si="0"/>
        <v>3</v>
      </c>
      <c r="G39" s="2"/>
    </row>
    <row r="40" spans="2:7" x14ac:dyDescent="0.25">
      <c r="B40" s="4">
        <v>45960</v>
      </c>
      <c r="C40" s="2" t="s">
        <v>5763</v>
      </c>
      <c r="D40" s="2"/>
      <c r="E40" s="23">
        <v>35</v>
      </c>
      <c r="F40" s="23">
        <f t="shared" si="0"/>
        <v>2.5</v>
      </c>
      <c r="G40" s="2"/>
    </row>
    <row r="41" spans="2:7" x14ac:dyDescent="0.25">
      <c r="B41" s="4">
        <v>45961</v>
      </c>
      <c r="C41" s="2" t="s">
        <v>5772</v>
      </c>
      <c r="D41" s="2" t="s">
        <v>5768</v>
      </c>
      <c r="E41" s="23">
        <v>39.5</v>
      </c>
      <c r="F41" s="23">
        <f t="shared" si="0"/>
        <v>4.5</v>
      </c>
      <c r="G41" s="2"/>
    </row>
    <row r="42" spans="2:7" x14ac:dyDescent="0.25">
      <c r="B42" s="4">
        <v>45962</v>
      </c>
      <c r="C42" s="2" t="s">
        <v>5778</v>
      </c>
      <c r="D42" s="2"/>
      <c r="E42" s="23">
        <v>46</v>
      </c>
      <c r="F42" s="23">
        <f t="shared" si="0"/>
        <v>6.5</v>
      </c>
      <c r="G42" s="2"/>
    </row>
    <row r="43" spans="2:7" x14ac:dyDescent="0.25">
      <c r="B43" s="4">
        <v>45963</v>
      </c>
      <c r="C43" s="2" t="s">
        <v>5779</v>
      </c>
      <c r="D43" s="2" t="s">
        <v>5780</v>
      </c>
      <c r="E43" s="23">
        <v>47</v>
      </c>
      <c r="F43" s="23">
        <f t="shared" si="0"/>
        <v>1</v>
      </c>
      <c r="G43" s="2"/>
    </row>
    <row r="44" spans="2:7" x14ac:dyDescent="0.25">
      <c r="B44" s="4">
        <v>45964</v>
      </c>
      <c r="C44" s="2" t="s">
        <v>5788</v>
      </c>
      <c r="D44" s="2"/>
      <c r="E44" s="23">
        <v>49.5</v>
      </c>
      <c r="F44" s="23">
        <f t="shared" si="0"/>
        <v>2.5</v>
      </c>
      <c r="G44" s="2"/>
    </row>
    <row r="45" spans="2:7" x14ac:dyDescent="0.25">
      <c r="B45" s="4">
        <v>45965</v>
      </c>
      <c r="C45" s="2" t="s">
        <v>5795</v>
      </c>
      <c r="D45" s="2" t="s">
        <v>5796</v>
      </c>
      <c r="E45" s="23">
        <v>50</v>
      </c>
      <c r="F45" s="23">
        <f t="shared" si="0"/>
        <v>0.5</v>
      </c>
      <c r="G45" s="2"/>
    </row>
    <row r="46" spans="2:7" x14ac:dyDescent="0.25">
      <c r="B46" s="4">
        <v>45966</v>
      </c>
      <c r="C46" s="2" t="s">
        <v>5061</v>
      </c>
      <c r="D46" s="2"/>
      <c r="E46" s="23">
        <v>50</v>
      </c>
      <c r="F46" s="23">
        <f t="shared" si="0"/>
        <v>0</v>
      </c>
      <c r="G46" s="2"/>
    </row>
    <row r="47" spans="2:7" x14ac:dyDescent="0.25">
      <c r="B47" s="4">
        <v>45967</v>
      </c>
      <c r="C47" s="2" t="s">
        <v>5810</v>
      </c>
      <c r="D47" s="2"/>
      <c r="E47" s="23"/>
      <c r="F47" s="23">
        <f t="shared" si="0"/>
        <v>-50</v>
      </c>
      <c r="G47" s="2"/>
    </row>
    <row r="48" spans="2:7" x14ac:dyDescent="0.25">
      <c r="B48" s="4">
        <v>45968</v>
      </c>
      <c r="C48" s="2" t="s">
        <v>5815</v>
      </c>
      <c r="D48" s="2" t="s">
        <v>5816</v>
      </c>
      <c r="E48" s="23"/>
      <c r="F48" s="23">
        <f t="shared" si="0"/>
        <v>0</v>
      </c>
      <c r="G48" s="2"/>
    </row>
    <row r="49" spans="2:7" x14ac:dyDescent="0.25">
      <c r="B49" s="4">
        <v>45969</v>
      </c>
      <c r="C49" s="2" t="s">
        <v>5832</v>
      </c>
      <c r="D49" s="2"/>
      <c r="E49" s="23"/>
      <c r="F49" s="23">
        <f t="shared" si="0"/>
        <v>0</v>
      </c>
      <c r="G49" s="2"/>
    </row>
    <row r="50" spans="2:7" x14ac:dyDescent="0.25">
      <c r="B50" s="4">
        <v>45970</v>
      </c>
      <c r="C50" s="2" t="s">
        <v>480</v>
      </c>
      <c r="D50" s="2"/>
      <c r="E50" s="23"/>
      <c r="F50" s="23">
        <f t="shared" si="0"/>
        <v>0</v>
      </c>
      <c r="G50" s="2"/>
    </row>
    <row r="51" spans="2:7" x14ac:dyDescent="0.25">
      <c r="B51" s="4">
        <v>45971</v>
      </c>
      <c r="C51" s="2" t="s">
        <v>5833</v>
      </c>
      <c r="D51" s="2" t="s">
        <v>5844</v>
      </c>
      <c r="E51" s="23">
        <v>5</v>
      </c>
      <c r="F51" s="23">
        <f t="shared" si="0"/>
        <v>5</v>
      </c>
      <c r="G51" s="2"/>
    </row>
    <row r="52" spans="2:7" x14ac:dyDescent="0.25">
      <c r="B52" s="4">
        <v>45972</v>
      </c>
      <c r="C52" s="2" t="s">
        <v>5843</v>
      </c>
      <c r="D52" s="2" t="s">
        <v>5845</v>
      </c>
      <c r="E52" s="23">
        <v>8</v>
      </c>
      <c r="F52" s="23">
        <f t="shared" si="0"/>
        <v>3</v>
      </c>
      <c r="G52" s="2"/>
    </row>
    <row r="53" spans="2:7" x14ac:dyDescent="0.25">
      <c r="B53" s="4">
        <v>45973</v>
      </c>
      <c r="C53" s="2" t="s">
        <v>5850</v>
      </c>
      <c r="D53" s="2"/>
      <c r="E53" s="23">
        <v>8</v>
      </c>
      <c r="F53" s="23">
        <f t="shared" si="0"/>
        <v>0</v>
      </c>
      <c r="G53" s="2"/>
    </row>
    <row r="54" spans="2:7" x14ac:dyDescent="0.25">
      <c r="B54" s="4">
        <v>45974</v>
      </c>
      <c r="C54" s="2" t="s">
        <v>5857</v>
      </c>
      <c r="D54" s="2" t="s">
        <v>5861</v>
      </c>
      <c r="E54" s="23">
        <v>15.5</v>
      </c>
      <c r="F54" s="23">
        <f t="shared" si="0"/>
        <v>7.5</v>
      </c>
      <c r="G54" s="2"/>
    </row>
    <row r="55" spans="2:7" x14ac:dyDescent="0.25">
      <c r="B55" s="4">
        <v>45975</v>
      </c>
      <c r="C55" s="2" t="s">
        <v>5862</v>
      </c>
      <c r="D55" s="2" t="s">
        <v>5863</v>
      </c>
      <c r="E55" s="23">
        <v>16</v>
      </c>
      <c r="F55" s="23">
        <f t="shared" si="0"/>
        <v>0.5</v>
      </c>
      <c r="G55" s="2"/>
    </row>
    <row r="56" spans="2:7" x14ac:dyDescent="0.25">
      <c r="B56" s="4">
        <v>45976</v>
      </c>
      <c r="C56" s="2" t="s">
        <v>5872</v>
      </c>
      <c r="D56" s="2"/>
      <c r="E56" s="23">
        <v>16</v>
      </c>
      <c r="F56" s="23">
        <f t="shared" si="0"/>
        <v>0</v>
      </c>
      <c r="G56" s="2"/>
    </row>
    <row r="57" spans="2:7" x14ac:dyDescent="0.25">
      <c r="B57" s="4">
        <v>45977</v>
      </c>
      <c r="C57" s="2" t="s">
        <v>5862</v>
      </c>
      <c r="D57" s="2"/>
      <c r="E57" s="23">
        <v>16</v>
      </c>
      <c r="F57" s="23">
        <f t="shared" si="0"/>
        <v>0</v>
      </c>
      <c r="G57" s="2"/>
    </row>
    <row r="58" spans="2:7" x14ac:dyDescent="0.25">
      <c r="B58" s="4">
        <v>45978</v>
      </c>
      <c r="C58" s="2" t="s">
        <v>5880</v>
      </c>
      <c r="D58" s="2" t="s">
        <v>5884</v>
      </c>
      <c r="E58" s="23">
        <v>16</v>
      </c>
      <c r="F58" s="23">
        <f t="shared" si="0"/>
        <v>0</v>
      </c>
      <c r="G58" s="2"/>
    </row>
    <row r="59" spans="2:7" x14ac:dyDescent="0.25">
      <c r="B59" s="4">
        <v>45979</v>
      </c>
      <c r="C59" s="2" t="s">
        <v>5901</v>
      </c>
      <c r="D59" s="2"/>
      <c r="E59" s="23">
        <v>16</v>
      </c>
      <c r="F59" s="23">
        <f t="shared" si="0"/>
        <v>0</v>
      </c>
      <c r="G59" s="2"/>
    </row>
    <row r="60" spans="2:7" x14ac:dyDescent="0.25">
      <c r="B60" s="4">
        <v>45980</v>
      </c>
      <c r="C60" s="2" t="s">
        <v>5921</v>
      </c>
      <c r="D60" s="2" t="s">
        <v>656</v>
      </c>
      <c r="E60" s="23">
        <v>10</v>
      </c>
      <c r="F60" s="23">
        <f t="shared" si="0"/>
        <v>-6</v>
      </c>
      <c r="G60" s="2"/>
    </row>
    <row r="61" spans="2:7" x14ac:dyDescent="0.25">
      <c r="B61" s="4">
        <v>45981</v>
      </c>
      <c r="C61" s="2" t="s">
        <v>5929</v>
      </c>
      <c r="D61" s="2"/>
      <c r="E61" s="23">
        <v>10</v>
      </c>
      <c r="F61" s="23">
        <f t="shared" si="0"/>
        <v>0</v>
      </c>
      <c r="G61" s="2"/>
    </row>
    <row r="62" spans="2:7" x14ac:dyDescent="0.25">
      <c r="B62" s="4">
        <v>45982</v>
      </c>
      <c r="C62" s="2" t="s">
        <v>5945</v>
      </c>
      <c r="D62" s="2" t="s">
        <v>5073</v>
      </c>
      <c r="E62" s="23">
        <v>10</v>
      </c>
      <c r="F62" s="23">
        <f t="shared" si="0"/>
        <v>0</v>
      </c>
      <c r="G62" s="2"/>
    </row>
    <row r="63" spans="2:7" x14ac:dyDescent="0.25">
      <c r="B63" s="4">
        <v>45983</v>
      </c>
      <c r="C63" s="2" t="s">
        <v>5945</v>
      </c>
      <c r="D63" s="2" t="s">
        <v>5946</v>
      </c>
      <c r="E63" s="23">
        <v>10</v>
      </c>
      <c r="F63" s="23">
        <f t="shared" si="0"/>
        <v>0</v>
      </c>
      <c r="G63" s="2"/>
    </row>
    <row r="64" spans="2:7" x14ac:dyDescent="0.25">
      <c r="B64" s="4">
        <v>45984</v>
      </c>
      <c r="C64" s="2" t="s">
        <v>5952</v>
      </c>
      <c r="D64" s="2" t="s">
        <v>5953</v>
      </c>
      <c r="E64" s="23">
        <v>10</v>
      </c>
      <c r="F64" s="23">
        <f t="shared" si="0"/>
        <v>0</v>
      </c>
      <c r="G64" s="2"/>
    </row>
    <row r="65" spans="2:7" x14ac:dyDescent="0.25">
      <c r="B65" s="4">
        <v>45985</v>
      </c>
      <c r="C65" s="2" t="s">
        <v>5952</v>
      </c>
      <c r="D65" s="2" t="s">
        <v>5959</v>
      </c>
      <c r="E65" s="23">
        <v>10</v>
      </c>
      <c r="F65" s="23">
        <f t="shared" si="0"/>
        <v>0</v>
      </c>
      <c r="G65" s="2"/>
    </row>
    <row r="66" spans="2:7" x14ac:dyDescent="0.25">
      <c r="B66" s="4">
        <v>45986</v>
      </c>
      <c r="C66" s="2" t="s">
        <v>5971</v>
      </c>
      <c r="D66" s="2"/>
      <c r="E66" s="23">
        <v>10</v>
      </c>
      <c r="F66" s="23">
        <f t="shared" si="0"/>
        <v>0</v>
      </c>
      <c r="G66" s="2"/>
    </row>
    <row r="67" spans="2:7" x14ac:dyDescent="0.25">
      <c r="B67" s="4">
        <v>45987</v>
      </c>
      <c r="C67" s="2" t="s">
        <v>5976</v>
      </c>
      <c r="D67" s="2" t="s">
        <v>5977</v>
      </c>
      <c r="E67" s="23">
        <v>11</v>
      </c>
      <c r="F67" s="23">
        <f t="shared" si="0"/>
        <v>1</v>
      </c>
      <c r="G67" s="2"/>
    </row>
    <row r="68" spans="2:7" x14ac:dyDescent="0.25">
      <c r="B68" s="4">
        <v>45988</v>
      </c>
      <c r="C68" s="2" t="s">
        <v>5986</v>
      </c>
      <c r="D68" s="2"/>
      <c r="E68" s="23"/>
      <c r="F68" s="23">
        <f t="shared" si="0"/>
        <v>-11</v>
      </c>
      <c r="G68" s="2"/>
    </row>
    <row r="69" spans="2:7" x14ac:dyDescent="0.25">
      <c r="B69" s="4">
        <v>45989</v>
      </c>
      <c r="C69" s="2" t="s">
        <v>5997</v>
      </c>
      <c r="D69" s="2"/>
      <c r="E69" s="23"/>
      <c r="F69" s="23">
        <f t="shared" si="0"/>
        <v>0</v>
      </c>
      <c r="G69" s="2"/>
    </row>
    <row r="70" spans="2:7" x14ac:dyDescent="0.25">
      <c r="B70" s="4">
        <v>45990</v>
      </c>
      <c r="C70" s="2" t="s">
        <v>6003</v>
      </c>
      <c r="D70" s="2"/>
      <c r="E70" s="23">
        <v>11.5</v>
      </c>
      <c r="F70" s="23">
        <f t="shared" si="0"/>
        <v>11.5</v>
      </c>
      <c r="G70" s="2"/>
    </row>
    <row r="71" spans="2:7" x14ac:dyDescent="0.25">
      <c r="B71" s="4">
        <v>45991</v>
      </c>
      <c r="C71" s="2" t="s">
        <v>6011</v>
      </c>
      <c r="D71" s="2"/>
      <c r="E71" s="23">
        <v>11.5</v>
      </c>
      <c r="F71" s="23">
        <f t="shared" si="0"/>
        <v>0</v>
      </c>
      <c r="G71" s="2"/>
    </row>
    <row r="72" spans="2:7" x14ac:dyDescent="0.25">
      <c r="B72" s="4">
        <v>45992</v>
      </c>
      <c r="C72" s="2" t="s">
        <v>6020</v>
      </c>
      <c r="D72" s="2" t="s">
        <v>6021</v>
      </c>
      <c r="E72" s="23">
        <v>12</v>
      </c>
      <c r="F72" s="23">
        <f t="shared" si="0"/>
        <v>0.5</v>
      </c>
      <c r="G72" s="2"/>
    </row>
    <row r="73" spans="2:7" x14ac:dyDescent="0.25">
      <c r="B73" s="4">
        <v>45993</v>
      </c>
      <c r="C73" s="2" t="s">
        <v>6033</v>
      </c>
      <c r="D73" s="2"/>
      <c r="E73" s="23"/>
      <c r="F73" s="23">
        <f t="shared" si="0"/>
        <v>-12</v>
      </c>
      <c r="G73" s="2"/>
    </row>
    <row r="74" spans="2:7" x14ac:dyDescent="0.25">
      <c r="B74" s="4">
        <v>45994</v>
      </c>
      <c r="C74" s="2" t="s">
        <v>6041</v>
      </c>
      <c r="D74" s="2"/>
      <c r="E74" s="23"/>
      <c r="F74" s="23">
        <f t="shared" si="0"/>
        <v>0</v>
      </c>
      <c r="G74" s="2"/>
    </row>
    <row r="75" spans="2:7" x14ac:dyDescent="0.25">
      <c r="B75" s="4">
        <v>45995</v>
      </c>
      <c r="C75" s="2" t="s">
        <v>6047</v>
      </c>
      <c r="D75" s="2"/>
      <c r="E75" s="23"/>
      <c r="F75" s="23">
        <f t="shared" si="0"/>
        <v>0</v>
      </c>
      <c r="G75" s="2"/>
    </row>
    <row r="76" spans="2:7" x14ac:dyDescent="0.25">
      <c r="B76" s="4">
        <v>45996</v>
      </c>
      <c r="C76" s="2" t="s">
        <v>279</v>
      </c>
      <c r="D76" s="2" t="s">
        <v>5329</v>
      </c>
      <c r="E76" s="23"/>
      <c r="F76" s="23">
        <f t="shared" si="0"/>
        <v>0</v>
      </c>
      <c r="G76" s="2"/>
    </row>
    <row r="77" spans="2:7" x14ac:dyDescent="0.25">
      <c r="B77" s="4">
        <v>45997</v>
      </c>
      <c r="C77" s="2" t="s">
        <v>6061</v>
      </c>
      <c r="D77" s="2"/>
      <c r="E77" s="23"/>
      <c r="F77" s="23">
        <f t="shared" si="0"/>
        <v>0</v>
      </c>
      <c r="G77" s="2"/>
    </row>
    <row r="78" spans="2:7" x14ac:dyDescent="0.25">
      <c r="B78" s="4">
        <v>45998</v>
      </c>
      <c r="C78" s="2" t="s">
        <v>6069</v>
      </c>
      <c r="D78" s="2"/>
      <c r="E78" s="23"/>
      <c r="F78" s="23">
        <f t="shared" si="0"/>
        <v>0</v>
      </c>
      <c r="G78" s="2"/>
    </row>
    <row r="79" spans="2:7" x14ac:dyDescent="0.25">
      <c r="B79" s="4">
        <v>45999</v>
      </c>
      <c r="C79" s="2" t="s">
        <v>6081</v>
      </c>
      <c r="D79" s="2"/>
      <c r="E79" s="23"/>
      <c r="F79" s="23">
        <f t="shared" si="0"/>
        <v>0</v>
      </c>
      <c r="G79" s="2"/>
    </row>
    <row r="80" spans="2:7" x14ac:dyDescent="0.25">
      <c r="B80" s="4">
        <v>46000</v>
      </c>
      <c r="C80" s="2" t="s">
        <v>6084</v>
      </c>
      <c r="D80" s="2" t="s">
        <v>5562</v>
      </c>
      <c r="E80" s="23"/>
      <c r="F80" s="23">
        <f t="shared" si="0"/>
        <v>0</v>
      </c>
      <c r="G80" s="2"/>
    </row>
    <row r="81" spans="2:7" x14ac:dyDescent="0.25">
      <c r="B81" s="4">
        <v>46001</v>
      </c>
      <c r="C81" s="2" t="s">
        <v>6091</v>
      </c>
      <c r="D81" s="2"/>
      <c r="E81" s="23">
        <v>9</v>
      </c>
      <c r="F81" s="23">
        <f t="shared" si="0"/>
        <v>9</v>
      </c>
      <c r="G81" s="2"/>
    </row>
    <row r="82" spans="2:7" x14ac:dyDescent="0.25">
      <c r="B82" s="4">
        <v>46002</v>
      </c>
      <c r="C82" s="2" t="s">
        <v>6097</v>
      </c>
      <c r="D82" s="2"/>
      <c r="E82" s="23"/>
      <c r="F82" s="23">
        <f t="shared" si="0"/>
        <v>-9</v>
      </c>
      <c r="G82" s="2"/>
    </row>
    <row r="83" spans="2:7" x14ac:dyDescent="0.25">
      <c r="B83" s="4">
        <v>46003</v>
      </c>
      <c r="C83" s="2" t="s">
        <v>6126</v>
      </c>
      <c r="D83" s="2"/>
      <c r="E83" s="23"/>
      <c r="F83" s="23">
        <f t="shared" si="0"/>
        <v>0</v>
      </c>
      <c r="G83" s="2"/>
    </row>
    <row r="84" spans="2:7" x14ac:dyDescent="0.25">
      <c r="B84" s="4">
        <v>46004</v>
      </c>
      <c r="C84" s="2" t="s">
        <v>6127</v>
      </c>
      <c r="D84" s="2"/>
      <c r="E84" s="23"/>
      <c r="F84" s="23">
        <f t="shared" si="0"/>
        <v>0</v>
      </c>
      <c r="G84" s="2"/>
    </row>
    <row r="85" spans="2:7" x14ac:dyDescent="0.25">
      <c r="B85" s="4">
        <v>46005</v>
      </c>
      <c r="C85" s="2" t="s">
        <v>6128</v>
      </c>
      <c r="D85" s="2"/>
      <c r="E85" s="23"/>
      <c r="F85" s="23">
        <f t="shared" si="0"/>
        <v>0</v>
      </c>
      <c r="G85" s="2"/>
    </row>
    <row r="86" spans="2:7" x14ac:dyDescent="0.25">
      <c r="B86" s="4">
        <v>46006</v>
      </c>
      <c r="C86" s="2" t="s">
        <v>480</v>
      </c>
      <c r="D86" s="2"/>
      <c r="E86" s="23"/>
      <c r="F86" s="23">
        <f t="shared" si="0"/>
        <v>0</v>
      </c>
      <c r="G86" s="2"/>
    </row>
    <row r="87" spans="2:7" x14ac:dyDescent="0.25">
      <c r="B87" s="4">
        <v>46007</v>
      </c>
      <c r="C87" s="2" t="s">
        <v>480</v>
      </c>
      <c r="D87" s="2"/>
      <c r="E87" s="23"/>
      <c r="F87" s="23">
        <f t="shared" si="0"/>
        <v>0</v>
      </c>
      <c r="G87" s="2"/>
    </row>
    <row r="88" spans="2:7" x14ac:dyDescent="0.25">
      <c r="B88" s="4">
        <v>46008</v>
      </c>
      <c r="C88" s="2" t="s">
        <v>6139</v>
      </c>
      <c r="D88" s="2"/>
      <c r="E88" s="23"/>
      <c r="F88" s="23">
        <f t="shared" si="0"/>
        <v>0</v>
      </c>
      <c r="G88" s="2"/>
    </row>
    <row r="89" spans="2:7" x14ac:dyDescent="0.25">
      <c r="B89" s="4">
        <v>46009</v>
      </c>
      <c r="C89" s="2" t="s">
        <v>480</v>
      </c>
      <c r="D89" s="2"/>
      <c r="E89" s="23"/>
      <c r="F89" s="23">
        <f t="shared" si="0"/>
        <v>0</v>
      </c>
      <c r="G89" s="2"/>
    </row>
    <row r="90" spans="2:7" x14ac:dyDescent="0.25">
      <c r="B90" s="4">
        <v>46010</v>
      </c>
      <c r="C90" s="2" t="s">
        <v>480</v>
      </c>
      <c r="D90" s="2"/>
      <c r="E90" s="23"/>
      <c r="F90" s="23">
        <f t="shared" si="0"/>
        <v>0</v>
      </c>
      <c r="G90" s="2"/>
    </row>
    <row r="91" spans="2:7" x14ac:dyDescent="0.25">
      <c r="B91" s="4">
        <v>46011</v>
      </c>
      <c r="C91" s="2" t="s">
        <v>480</v>
      </c>
      <c r="D91" s="2"/>
      <c r="E91" s="23"/>
      <c r="F91" s="23">
        <f t="shared" si="0"/>
        <v>0</v>
      </c>
      <c r="G91" s="2"/>
    </row>
    <row r="92" spans="2:7" x14ac:dyDescent="0.25">
      <c r="B92" s="4">
        <v>46012</v>
      </c>
      <c r="C92" s="2" t="s">
        <v>480</v>
      </c>
      <c r="D92" s="2"/>
      <c r="E92" s="23"/>
      <c r="F92" s="23">
        <f t="shared" si="0"/>
        <v>0</v>
      </c>
      <c r="G92" s="2"/>
    </row>
    <row r="93" spans="2:7" x14ac:dyDescent="0.25">
      <c r="B93" s="4">
        <v>46013</v>
      </c>
      <c r="C93" s="2" t="s">
        <v>480</v>
      </c>
      <c r="D93" s="2"/>
      <c r="E93" s="23"/>
      <c r="F93" s="23">
        <f t="shared" si="0"/>
        <v>0</v>
      </c>
      <c r="G93" s="2"/>
    </row>
    <row r="94" spans="2:7" x14ac:dyDescent="0.25">
      <c r="B94" s="4">
        <v>46014</v>
      </c>
      <c r="C94" s="2"/>
      <c r="D94" s="2"/>
      <c r="E94" s="23"/>
      <c r="F94" s="23">
        <f t="shared" si="0"/>
        <v>0</v>
      </c>
      <c r="G94" s="2"/>
    </row>
    <row r="95" spans="2:7" x14ac:dyDescent="0.25">
      <c r="B95" s="4">
        <v>46015</v>
      </c>
      <c r="C95" s="2"/>
      <c r="D95" s="2"/>
      <c r="E95" s="23"/>
      <c r="F95" s="23">
        <f t="shared" si="0"/>
        <v>0</v>
      </c>
      <c r="G95" s="2"/>
    </row>
    <row r="96" spans="2:7" x14ac:dyDescent="0.25">
      <c r="B96" s="4">
        <v>46016</v>
      </c>
      <c r="C96" s="2"/>
      <c r="D96" s="2"/>
      <c r="E96" s="23"/>
      <c r="F96" s="23"/>
      <c r="G96" s="2"/>
    </row>
    <row r="97" spans="2:7" x14ac:dyDescent="0.25">
      <c r="B97" s="4">
        <v>46017</v>
      </c>
      <c r="C97" s="2"/>
      <c r="D97" s="2"/>
      <c r="E97" s="23"/>
      <c r="F97" s="23"/>
      <c r="G97" s="2"/>
    </row>
    <row r="98" spans="2:7" x14ac:dyDescent="0.25">
      <c r="B98" s="4">
        <v>46018</v>
      </c>
      <c r="C98" s="2"/>
      <c r="D98" s="2"/>
      <c r="E98" s="23"/>
      <c r="F98" s="23"/>
      <c r="G98" s="2"/>
    </row>
    <row r="99" spans="2:7" x14ac:dyDescent="0.25">
      <c r="B99" s="4">
        <v>46019</v>
      </c>
      <c r="C99" s="2"/>
      <c r="D99" s="2"/>
      <c r="E99" s="23"/>
      <c r="F99" s="23"/>
      <c r="G99" s="2"/>
    </row>
    <row r="100" spans="2:7" x14ac:dyDescent="0.25">
      <c r="B100" s="4">
        <v>46020</v>
      </c>
      <c r="C100" s="2"/>
      <c r="D100" s="2"/>
      <c r="E100" s="23"/>
      <c r="F100" s="23"/>
      <c r="G100" s="2"/>
    </row>
    <row r="101" spans="2:7" x14ac:dyDescent="0.25">
      <c r="B101" s="4">
        <v>46021</v>
      </c>
      <c r="C101" s="2"/>
      <c r="D101" s="2"/>
      <c r="E101" s="23"/>
      <c r="F101" s="23"/>
      <c r="G101" s="2"/>
    </row>
    <row r="102" spans="2:7" x14ac:dyDescent="0.25">
      <c r="B102" s="4">
        <v>46022</v>
      </c>
      <c r="C102" s="2"/>
      <c r="D102" s="2"/>
      <c r="E102" s="23"/>
      <c r="F102" s="23"/>
      <c r="G102" s="2"/>
    </row>
    <row r="103" spans="2:7" x14ac:dyDescent="0.25">
      <c r="B103" s="4">
        <v>46023</v>
      </c>
      <c r="C103" s="2"/>
      <c r="D103" s="2"/>
      <c r="E103" s="23"/>
      <c r="F103" s="23"/>
      <c r="G103" s="2"/>
    </row>
    <row r="104" spans="2:7" x14ac:dyDescent="0.25">
      <c r="B104" s="4">
        <v>46024</v>
      </c>
      <c r="C104" s="2"/>
      <c r="D104" s="2"/>
      <c r="E104" s="23"/>
      <c r="F104" s="23"/>
      <c r="G104" s="2"/>
    </row>
    <row r="105" spans="2:7" x14ac:dyDescent="0.25">
      <c r="B105" s="4">
        <v>46025</v>
      </c>
      <c r="C105" s="2"/>
      <c r="D105" s="2"/>
      <c r="E105" s="23"/>
      <c r="F105" s="23"/>
      <c r="G105" s="2"/>
    </row>
    <row r="106" spans="2:7" x14ac:dyDescent="0.25">
      <c r="B106" s="4">
        <v>46026</v>
      </c>
      <c r="C106" s="2"/>
      <c r="D106" s="2"/>
      <c r="E106" s="23"/>
      <c r="F106" s="23"/>
      <c r="G106" s="2"/>
    </row>
    <row r="107" spans="2:7" x14ac:dyDescent="0.25">
      <c r="B107" s="4">
        <v>46027</v>
      </c>
      <c r="C107" s="2"/>
      <c r="D107" s="2"/>
      <c r="E107" s="23"/>
      <c r="F107" s="23"/>
      <c r="G107" s="2"/>
    </row>
    <row r="108" spans="2:7" x14ac:dyDescent="0.25">
      <c r="B108" s="4">
        <v>46028</v>
      </c>
      <c r="C108" s="2"/>
      <c r="D108" s="2"/>
      <c r="E108" s="23"/>
      <c r="F108" s="23"/>
      <c r="G108" s="2"/>
    </row>
    <row r="109" spans="2:7" x14ac:dyDescent="0.25">
      <c r="B109" s="4">
        <v>46029</v>
      </c>
      <c r="C109" s="2"/>
      <c r="D109" s="2"/>
      <c r="E109" s="23"/>
      <c r="F109" s="23"/>
      <c r="G109" s="2"/>
    </row>
    <row r="110" spans="2:7" x14ac:dyDescent="0.25">
      <c r="B110" s="4">
        <v>46030</v>
      </c>
      <c r="C110" s="2"/>
      <c r="D110" s="2"/>
      <c r="E110" s="23"/>
      <c r="F110" s="23"/>
      <c r="G110" s="2"/>
    </row>
    <row r="111" spans="2:7" x14ac:dyDescent="0.25">
      <c r="B111" s="4">
        <v>46031</v>
      </c>
      <c r="C111" s="2" t="s">
        <v>6295</v>
      </c>
      <c r="D111" s="2"/>
      <c r="E111" s="23"/>
      <c r="F111" s="23"/>
      <c r="G111" s="2"/>
    </row>
    <row r="112" spans="2:7" x14ac:dyDescent="0.25">
      <c r="B112" s="4">
        <v>46032</v>
      </c>
      <c r="C112" s="2" t="s">
        <v>6296</v>
      </c>
      <c r="D112" s="2"/>
      <c r="E112" s="23"/>
      <c r="F112" s="23"/>
      <c r="G112" s="2"/>
    </row>
    <row r="113" spans="2:7" x14ac:dyDescent="0.25">
      <c r="B113" s="4">
        <v>46033</v>
      </c>
      <c r="C113" s="2" t="s">
        <v>5413</v>
      </c>
      <c r="D113" s="2"/>
      <c r="E113" s="23"/>
      <c r="F113" s="23"/>
      <c r="G113" s="2"/>
    </row>
    <row r="114" spans="2:7" x14ac:dyDescent="0.25">
      <c r="B114" s="4">
        <v>46034</v>
      </c>
      <c r="C114" s="2" t="s">
        <v>6315</v>
      </c>
      <c r="D114" s="2"/>
      <c r="E114" s="23"/>
      <c r="F114" s="23"/>
      <c r="G114" s="2"/>
    </row>
    <row r="115" spans="2:7" x14ac:dyDescent="0.25">
      <c r="B115" s="4">
        <v>46035</v>
      </c>
      <c r="C115" s="2" t="s">
        <v>6324</v>
      </c>
      <c r="D115" s="2"/>
      <c r="E115" s="23"/>
      <c r="F115" s="23"/>
      <c r="G115" s="2"/>
    </row>
    <row r="116" spans="2:7" x14ac:dyDescent="0.25">
      <c r="B116" s="4">
        <v>46036</v>
      </c>
      <c r="C116" s="2" t="s">
        <v>5645</v>
      </c>
      <c r="D116" s="2"/>
      <c r="E116" s="23"/>
      <c r="F116" s="23"/>
      <c r="G116" s="2"/>
    </row>
    <row r="117" spans="2:7" x14ac:dyDescent="0.25">
      <c r="B117" s="4">
        <v>46037</v>
      </c>
      <c r="C117" s="2" t="s">
        <v>6341</v>
      </c>
      <c r="D117" s="2"/>
      <c r="E117" s="23"/>
      <c r="F117" s="23"/>
      <c r="G117" s="2"/>
    </row>
    <row r="118" spans="2:7" x14ac:dyDescent="0.25">
      <c r="B118" s="4">
        <v>46038</v>
      </c>
      <c r="C118" s="2" t="s">
        <v>6342</v>
      </c>
      <c r="D118" s="2"/>
      <c r="E118" s="23"/>
      <c r="F118" s="23"/>
      <c r="G118" s="2"/>
    </row>
    <row r="119" spans="2:7" x14ac:dyDescent="0.25">
      <c r="B119" s="4">
        <v>46039</v>
      </c>
      <c r="C119" s="2" t="s">
        <v>4825</v>
      </c>
      <c r="D119" s="2"/>
      <c r="E119" s="23"/>
      <c r="F119" s="23"/>
      <c r="G119" s="2"/>
    </row>
    <row r="120" spans="2:7" x14ac:dyDescent="0.25">
      <c r="B120" s="4">
        <v>46040</v>
      </c>
      <c r="C120" s="2" t="s">
        <v>6353</v>
      </c>
      <c r="D120" s="2"/>
      <c r="E120" s="23"/>
      <c r="F120" s="23"/>
      <c r="G120" s="2"/>
    </row>
    <row r="121" spans="2:7" x14ac:dyDescent="0.25">
      <c r="B121" s="4">
        <v>46041</v>
      </c>
      <c r="C121" s="2" t="s">
        <v>6359</v>
      </c>
      <c r="D121" s="2" t="s">
        <v>6360</v>
      </c>
      <c r="E121" s="23"/>
      <c r="F121" s="23"/>
      <c r="G121" s="2"/>
    </row>
    <row r="122" spans="2:7" x14ac:dyDescent="0.25">
      <c r="B122" s="4">
        <v>46042</v>
      </c>
      <c r="C122" s="2" t="s">
        <v>6363</v>
      </c>
      <c r="D122" s="2"/>
      <c r="E122" s="23"/>
      <c r="F122" s="23"/>
      <c r="G122" s="2"/>
    </row>
    <row r="123" spans="2:7" x14ac:dyDescent="0.25">
      <c r="B123" s="4">
        <v>46043</v>
      </c>
      <c r="C123" s="2" t="s">
        <v>6372</v>
      </c>
      <c r="D123" s="2" t="s">
        <v>6373</v>
      </c>
      <c r="E123" s="23"/>
      <c r="F123" s="23"/>
      <c r="G123" s="2"/>
    </row>
    <row r="124" spans="2:7" x14ac:dyDescent="0.25">
      <c r="B124" s="4">
        <v>46044</v>
      </c>
      <c r="C124" s="2" t="s">
        <v>6379</v>
      </c>
      <c r="D124" s="2"/>
      <c r="E124" s="23"/>
      <c r="F124" s="23"/>
      <c r="G124" s="2"/>
    </row>
    <row r="125" spans="2:7" x14ac:dyDescent="0.25">
      <c r="B125" s="4">
        <v>46045</v>
      </c>
      <c r="C125" s="2" t="s">
        <v>6387</v>
      </c>
      <c r="D125" s="2" t="s">
        <v>6388</v>
      </c>
      <c r="E125" s="23"/>
      <c r="F125" s="23"/>
      <c r="G125" s="2"/>
    </row>
    <row r="126" spans="2:7" x14ac:dyDescent="0.25">
      <c r="B126" s="4">
        <v>46046</v>
      </c>
      <c r="C126" s="2" t="s">
        <v>6393</v>
      </c>
      <c r="D126" s="2"/>
      <c r="E126" s="23"/>
      <c r="F126" s="23"/>
      <c r="G126" s="2"/>
    </row>
    <row r="127" spans="2:7" x14ac:dyDescent="0.25">
      <c r="B127" s="4">
        <v>46047</v>
      </c>
      <c r="C127" s="2" t="s">
        <v>6393</v>
      </c>
      <c r="D127" s="2" t="s">
        <v>6401</v>
      </c>
      <c r="E127" s="23"/>
      <c r="F127" s="23"/>
      <c r="G127" s="2"/>
    </row>
    <row r="128" spans="2:7" x14ac:dyDescent="0.25">
      <c r="B128" s="4">
        <v>46048</v>
      </c>
      <c r="C128" s="2" t="s">
        <v>6393</v>
      </c>
      <c r="D128" s="2"/>
      <c r="E128" s="23"/>
      <c r="F128" s="23"/>
      <c r="G128" s="2"/>
    </row>
    <row r="129" spans="2:7" x14ac:dyDescent="0.25">
      <c r="B129" s="4">
        <v>46049</v>
      </c>
      <c r="C129" s="2" t="s">
        <v>6393</v>
      </c>
      <c r="D129" s="2"/>
      <c r="E129" s="23"/>
      <c r="F129" s="23"/>
      <c r="G129" s="2"/>
    </row>
    <row r="130" spans="2:7" x14ac:dyDescent="0.25">
      <c r="B130" s="4">
        <v>46050</v>
      </c>
      <c r="C130" s="2" t="s">
        <v>6413</v>
      </c>
      <c r="D130" s="2" t="s">
        <v>6408</v>
      </c>
      <c r="E130" s="23">
        <v>2</v>
      </c>
      <c r="F130" s="23">
        <f>E130-E129</f>
        <v>2</v>
      </c>
      <c r="G130" s="2"/>
    </row>
    <row r="131" spans="2:7" x14ac:dyDescent="0.25">
      <c r="B131" s="4">
        <v>46051</v>
      </c>
      <c r="C131" s="2" t="s">
        <v>6414</v>
      </c>
      <c r="D131" s="2" t="s">
        <v>6412</v>
      </c>
      <c r="E131" s="23">
        <v>3</v>
      </c>
      <c r="F131" s="23">
        <f t="shared" ref="F131:F194" si="1">E131-E130</f>
        <v>1</v>
      </c>
      <c r="G131" s="2"/>
    </row>
    <row r="132" spans="2:7" x14ac:dyDescent="0.25">
      <c r="B132" s="4">
        <v>46052</v>
      </c>
      <c r="C132" s="2" t="s">
        <v>6414</v>
      </c>
      <c r="D132" s="2" t="s">
        <v>6422</v>
      </c>
      <c r="E132" s="23">
        <v>3</v>
      </c>
      <c r="F132" s="23">
        <f t="shared" si="1"/>
        <v>0</v>
      </c>
      <c r="G132" s="2"/>
    </row>
    <row r="133" spans="2:7" x14ac:dyDescent="0.25">
      <c r="B133" s="4">
        <v>46053</v>
      </c>
      <c r="C133" s="2" t="s">
        <v>6434</v>
      </c>
      <c r="D133" s="2"/>
      <c r="E133" s="23">
        <v>8</v>
      </c>
      <c r="F133" s="23">
        <f t="shared" si="1"/>
        <v>5</v>
      </c>
      <c r="G133" s="2"/>
    </row>
    <row r="134" spans="2:7" x14ac:dyDescent="0.25">
      <c r="B134" s="4">
        <v>46054</v>
      </c>
      <c r="C134" s="2" t="s">
        <v>6425</v>
      </c>
      <c r="D134" s="2"/>
      <c r="E134" s="23">
        <v>15</v>
      </c>
      <c r="F134" s="23">
        <f t="shared" si="1"/>
        <v>7</v>
      </c>
      <c r="G134" s="2"/>
    </row>
    <row r="135" spans="2:7" x14ac:dyDescent="0.25">
      <c r="B135" s="4">
        <v>46055</v>
      </c>
      <c r="C135" s="2" t="s">
        <v>6435</v>
      </c>
      <c r="D135" s="2"/>
      <c r="E135" s="23">
        <v>20</v>
      </c>
      <c r="F135" s="23">
        <f t="shared" si="1"/>
        <v>5</v>
      </c>
      <c r="G135" s="2"/>
    </row>
    <row r="136" spans="2:7" x14ac:dyDescent="0.25">
      <c r="B136" s="4">
        <v>46056</v>
      </c>
      <c r="C136" s="2" t="s">
        <v>6441</v>
      </c>
      <c r="D136" s="2" t="s">
        <v>6442</v>
      </c>
      <c r="E136" s="23">
        <v>21</v>
      </c>
      <c r="F136" s="23">
        <f t="shared" si="1"/>
        <v>1</v>
      </c>
      <c r="G136" s="2"/>
    </row>
    <row r="137" spans="2:7" x14ac:dyDescent="0.25">
      <c r="B137" s="4">
        <v>46057</v>
      </c>
      <c r="C137" s="2" t="s">
        <v>6459</v>
      </c>
      <c r="D137" s="2"/>
      <c r="E137" s="23">
        <v>26</v>
      </c>
      <c r="F137" s="23">
        <f t="shared" si="1"/>
        <v>5</v>
      </c>
      <c r="G137" s="2"/>
    </row>
    <row r="138" spans="2:7" x14ac:dyDescent="0.25">
      <c r="B138" s="4">
        <v>46058</v>
      </c>
      <c r="C138" s="2" t="s">
        <v>6460</v>
      </c>
      <c r="D138" s="2"/>
      <c r="E138" s="23">
        <v>31</v>
      </c>
      <c r="F138" s="23">
        <f t="shared" si="1"/>
        <v>5</v>
      </c>
      <c r="G138" s="2"/>
    </row>
    <row r="139" spans="2:7" x14ac:dyDescent="0.25">
      <c r="B139" s="4">
        <v>46059</v>
      </c>
      <c r="C139" s="2" t="s">
        <v>6464</v>
      </c>
      <c r="D139" s="2"/>
      <c r="E139" s="23">
        <v>36</v>
      </c>
      <c r="F139" s="23">
        <f t="shared" si="1"/>
        <v>5</v>
      </c>
      <c r="G139" s="2"/>
    </row>
    <row r="140" spans="2:7" x14ac:dyDescent="0.25">
      <c r="B140" s="4">
        <v>46060</v>
      </c>
      <c r="C140" s="2" t="s">
        <v>6470</v>
      </c>
      <c r="D140" s="2"/>
      <c r="E140" s="23">
        <v>38.5</v>
      </c>
      <c r="F140" s="23">
        <f t="shared" si="1"/>
        <v>2.5</v>
      </c>
      <c r="G140" s="2"/>
    </row>
    <row r="141" spans="2:7" x14ac:dyDescent="0.25">
      <c r="B141" s="4">
        <v>46061</v>
      </c>
      <c r="C141" s="2" t="s">
        <v>6471</v>
      </c>
      <c r="D141" s="2" t="s">
        <v>6472</v>
      </c>
      <c r="E141" s="23">
        <v>39.5</v>
      </c>
      <c r="F141" s="23">
        <f t="shared" si="1"/>
        <v>1</v>
      </c>
      <c r="G141" s="2"/>
    </row>
    <row r="142" spans="2:7" x14ac:dyDescent="0.25">
      <c r="B142" s="4">
        <v>46062</v>
      </c>
      <c r="C142" s="2" t="s">
        <v>6471</v>
      </c>
      <c r="D142" s="2" t="s">
        <v>2673</v>
      </c>
      <c r="E142" s="23">
        <v>39.5</v>
      </c>
      <c r="F142" s="23">
        <f t="shared" si="1"/>
        <v>0</v>
      </c>
      <c r="G142" s="2"/>
    </row>
    <row r="143" spans="2:7" x14ac:dyDescent="0.25">
      <c r="B143" s="4">
        <v>46063</v>
      </c>
      <c r="C143" s="2" t="s">
        <v>6486</v>
      </c>
      <c r="D143" s="2" t="s">
        <v>5804</v>
      </c>
      <c r="E143" s="23">
        <v>40</v>
      </c>
      <c r="F143" s="23">
        <f t="shared" si="1"/>
        <v>0.5</v>
      </c>
      <c r="G143" s="2"/>
    </row>
    <row r="144" spans="2:7" x14ac:dyDescent="0.25">
      <c r="B144" s="4">
        <v>46064</v>
      </c>
      <c r="C144" s="2" t="s">
        <v>6491</v>
      </c>
      <c r="D144" s="2"/>
      <c r="E144" s="23">
        <v>40</v>
      </c>
      <c r="F144" s="23">
        <f t="shared" si="1"/>
        <v>0</v>
      </c>
      <c r="G144" s="2"/>
    </row>
    <row r="145" spans="2:7" x14ac:dyDescent="0.25">
      <c r="B145" s="4">
        <v>46065</v>
      </c>
      <c r="C145" s="2" t="s">
        <v>6500</v>
      </c>
      <c r="D145" s="2" t="s">
        <v>6501</v>
      </c>
      <c r="E145" s="23">
        <v>41</v>
      </c>
      <c r="F145" s="23">
        <f t="shared" si="1"/>
        <v>1</v>
      </c>
      <c r="G145" s="2"/>
    </row>
    <row r="146" spans="2:7" x14ac:dyDescent="0.25">
      <c r="B146" s="4">
        <v>46066</v>
      </c>
      <c r="C146" s="2" t="s">
        <v>6502</v>
      </c>
      <c r="D146" s="2" t="s">
        <v>6503</v>
      </c>
      <c r="E146" s="23">
        <v>42</v>
      </c>
      <c r="F146" s="23">
        <f t="shared" si="1"/>
        <v>1</v>
      </c>
      <c r="G146" s="2"/>
    </row>
    <row r="147" spans="2:7" x14ac:dyDescent="0.25">
      <c r="B147" s="4">
        <v>46067</v>
      </c>
      <c r="C147" s="2" t="s">
        <v>6517</v>
      </c>
      <c r="D147" s="2"/>
      <c r="E147" s="23">
        <v>43</v>
      </c>
      <c r="F147" s="23">
        <f t="shared" si="1"/>
        <v>1</v>
      </c>
      <c r="G147" s="2"/>
    </row>
    <row r="148" spans="2:7" x14ac:dyDescent="0.25">
      <c r="B148" s="4">
        <v>46068</v>
      </c>
      <c r="C148" s="2" t="s">
        <v>6518</v>
      </c>
      <c r="D148" s="2"/>
      <c r="E148" s="23">
        <v>47</v>
      </c>
      <c r="F148" s="23">
        <f t="shared" si="1"/>
        <v>4</v>
      </c>
      <c r="G148" s="2"/>
    </row>
    <row r="149" spans="2:7" x14ac:dyDescent="0.25">
      <c r="B149" s="4">
        <v>46069</v>
      </c>
      <c r="C149" s="2" t="s">
        <v>6529</v>
      </c>
      <c r="D149" s="2"/>
      <c r="E149" s="23">
        <v>47.5</v>
      </c>
      <c r="F149" s="23">
        <f t="shared" si="1"/>
        <v>0.5</v>
      </c>
      <c r="G149" s="2"/>
    </row>
    <row r="150" spans="2:7" x14ac:dyDescent="0.25">
      <c r="B150" s="4">
        <v>46070</v>
      </c>
      <c r="C150" s="2" t="s">
        <v>6546</v>
      </c>
      <c r="D150" s="2"/>
      <c r="E150" s="23">
        <v>48.5</v>
      </c>
      <c r="F150" s="23">
        <f t="shared" si="1"/>
        <v>1</v>
      </c>
      <c r="G150" s="2"/>
    </row>
    <row r="151" spans="2:7" x14ac:dyDescent="0.25">
      <c r="B151" s="4">
        <v>46071</v>
      </c>
      <c r="C151" s="2" t="s">
        <v>6545</v>
      </c>
      <c r="D151" s="2"/>
      <c r="E151" s="23">
        <v>49.5</v>
      </c>
      <c r="F151" s="23">
        <f t="shared" si="1"/>
        <v>1</v>
      </c>
      <c r="G151" s="2"/>
    </row>
    <row r="152" spans="2:7" x14ac:dyDescent="0.25">
      <c r="B152" s="4">
        <v>46072</v>
      </c>
      <c r="C152" s="2" t="s">
        <v>6547</v>
      </c>
      <c r="D152" s="2"/>
      <c r="E152" s="23">
        <v>58</v>
      </c>
      <c r="F152" s="23">
        <f t="shared" si="1"/>
        <v>8.5</v>
      </c>
      <c r="G152" s="2"/>
    </row>
    <row r="153" spans="2:7" x14ac:dyDescent="0.25">
      <c r="B153" s="4">
        <v>46073</v>
      </c>
      <c r="C153" s="2" t="s">
        <v>6551</v>
      </c>
      <c r="D153" s="2"/>
      <c r="E153" s="23">
        <v>59</v>
      </c>
      <c r="F153" s="23">
        <f t="shared" si="1"/>
        <v>1</v>
      </c>
      <c r="G153" s="2"/>
    </row>
    <row r="154" spans="2:7" x14ac:dyDescent="0.25">
      <c r="B154" s="4">
        <v>46074</v>
      </c>
      <c r="C154" s="2" t="s">
        <v>6558</v>
      </c>
      <c r="D154" s="2"/>
      <c r="E154" s="23">
        <v>60</v>
      </c>
      <c r="F154" s="23">
        <f t="shared" si="1"/>
        <v>1</v>
      </c>
      <c r="G154" s="2"/>
    </row>
    <row r="155" spans="2:7" x14ac:dyDescent="0.25">
      <c r="B155" s="4">
        <v>46075</v>
      </c>
      <c r="C155" s="2" t="s">
        <v>6559</v>
      </c>
      <c r="D155" s="2"/>
      <c r="E155" s="23">
        <v>61</v>
      </c>
      <c r="F155" s="23">
        <f t="shared" si="1"/>
        <v>1</v>
      </c>
      <c r="G155" s="2"/>
    </row>
    <row r="156" spans="2:7" x14ac:dyDescent="0.25">
      <c r="B156" s="4">
        <v>46076</v>
      </c>
      <c r="C156" s="2" t="s">
        <v>6575</v>
      </c>
      <c r="D156" s="2"/>
      <c r="E156" s="23">
        <v>63</v>
      </c>
      <c r="F156" s="23">
        <f t="shared" si="1"/>
        <v>2</v>
      </c>
      <c r="G156" s="2"/>
    </row>
    <row r="157" spans="2:7" x14ac:dyDescent="0.25">
      <c r="B157" s="4">
        <v>46077</v>
      </c>
      <c r="C157" s="2" t="s">
        <v>6583</v>
      </c>
      <c r="D157" s="2"/>
      <c r="E157" s="23">
        <v>65</v>
      </c>
      <c r="F157" s="23">
        <f t="shared" si="1"/>
        <v>2</v>
      </c>
      <c r="G157" s="2"/>
    </row>
    <row r="158" spans="2:7" x14ac:dyDescent="0.25">
      <c r="B158" s="4">
        <v>46078</v>
      </c>
      <c r="C158" s="2" t="s">
        <v>6591</v>
      </c>
      <c r="D158" s="2"/>
      <c r="E158" s="23">
        <v>66.5</v>
      </c>
      <c r="F158" s="23">
        <f t="shared" si="1"/>
        <v>1.5</v>
      </c>
      <c r="G158" s="2"/>
    </row>
    <row r="159" spans="2:7" x14ac:dyDescent="0.25">
      <c r="B159" s="4">
        <v>46079</v>
      </c>
      <c r="C159" s="2" t="s">
        <v>6639</v>
      </c>
      <c r="D159" s="2"/>
      <c r="E159" s="23">
        <v>68.5</v>
      </c>
      <c r="F159" s="23">
        <f t="shared" si="1"/>
        <v>2</v>
      </c>
      <c r="G159" s="2"/>
    </row>
    <row r="160" spans="2:7" x14ac:dyDescent="0.25">
      <c r="B160" s="4">
        <v>46080</v>
      </c>
      <c r="C160" s="2" t="s">
        <v>6606</v>
      </c>
      <c r="D160" s="2"/>
      <c r="E160" s="23">
        <v>70</v>
      </c>
      <c r="F160" s="23">
        <f t="shared" si="1"/>
        <v>1.5</v>
      </c>
      <c r="G160" s="2"/>
    </row>
    <row r="161" spans="2:7" x14ac:dyDescent="0.25">
      <c r="B161" s="4">
        <v>46081</v>
      </c>
      <c r="C161" s="2" t="s">
        <v>6640</v>
      </c>
      <c r="D161" s="2"/>
      <c r="E161" s="23">
        <v>72.5</v>
      </c>
      <c r="F161" s="23">
        <f t="shared" si="1"/>
        <v>2.5</v>
      </c>
      <c r="G161" s="2"/>
    </row>
    <row r="162" spans="2:7" x14ac:dyDescent="0.25">
      <c r="B162" s="4">
        <v>46082</v>
      </c>
      <c r="C162" s="2" t="s">
        <v>6641</v>
      </c>
      <c r="D162" s="2"/>
      <c r="E162" s="23">
        <v>73.5</v>
      </c>
      <c r="F162" s="23">
        <f t="shared" si="1"/>
        <v>1</v>
      </c>
      <c r="G162" s="2"/>
    </row>
    <row r="163" spans="2:7" x14ac:dyDescent="0.25">
      <c r="B163" s="4">
        <v>46083</v>
      </c>
      <c r="C163" s="2" t="s">
        <v>6652</v>
      </c>
      <c r="D163" s="2"/>
      <c r="E163" s="23">
        <v>75</v>
      </c>
      <c r="F163" s="23">
        <f t="shared" si="1"/>
        <v>1.5</v>
      </c>
      <c r="G163" s="2"/>
    </row>
    <row r="164" spans="2:7" x14ac:dyDescent="0.25">
      <c r="B164" s="4">
        <v>46084</v>
      </c>
      <c r="C164" s="2" t="s">
        <v>6653</v>
      </c>
      <c r="D164" s="2"/>
      <c r="E164" s="23">
        <v>76.5</v>
      </c>
      <c r="F164" s="23">
        <f t="shared" si="1"/>
        <v>1.5</v>
      </c>
      <c r="G164" s="2"/>
    </row>
    <row r="165" spans="2:7" x14ac:dyDescent="0.25">
      <c r="B165" s="4">
        <v>46085</v>
      </c>
      <c r="C165" s="2" t="s">
        <v>6654</v>
      </c>
      <c r="D165" s="2"/>
      <c r="E165" s="23">
        <v>78.5</v>
      </c>
      <c r="F165" s="23">
        <f t="shared" si="1"/>
        <v>2</v>
      </c>
      <c r="G165" s="2"/>
    </row>
    <row r="166" spans="2:7" x14ac:dyDescent="0.25">
      <c r="B166" s="4">
        <v>46086</v>
      </c>
      <c r="C166" s="2" t="s">
        <v>6665</v>
      </c>
      <c r="D166" s="2"/>
      <c r="E166" s="23">
        <v>80.5</v>
      </c>
      <c r="F166" s="23">
        <f t="shared" si="1"/>
        <v>2</v>
      </c>
      <c r="G166" s="2"/>
    </row>
    <row r="167" spans="2:7" x14ac:dyDescent="0.25">
      <c r="B167" s="4">
        <v>46087</v>
      </c>
      <c r="C167" s="2" t="s">
        <v>6670</v>
      </c>
      <c r="D167" s="2"/>
      <c r="E167" s="23">
        <v>82</v>
      </c>
      <c r="F167" s="23">
        <f t="shared" si="1"/>
        <v>1.5</v>
      </c>
      <c r="G167" s="2"/>
    </row>
    <row r="168" spans="2:7" x14ac:dyDescent="0.25">
      <c r="B168" s="4">
        <v>46088</v>
      </c>
      <c r="C168" s="2" t="s">
        <v>6670</v>
      </c>
      <c r="D168" s="2" t="s">
        <v>6676</v>
      </c>
      <c r="E168" s="23">
        <v>82</v>
      </c>
      <c r="F168" s="23">
        <f t="shared" si="1"/>
        <v>0</v>
      </c>
      <c r="G168" s="2"/>
    </row>
    <row r="169" spans="2:7" x14ac:dyDescent="0.25">
      <c r="B169" s="4">
        <v>46089</v>
      </c>
      <c r="C169" s="2" t="s">
        <v>6677</v>
      </c>
      <c r="D169" s="2"/>
      <c r="E169" s="23"/>
      <c r="F169" s="23">
        <f t="shared" si="1"/>
        <v>-82</v>
      </c>
      <c r="G169" s="2"/>
    </row>
    <row r="170" spans="2:7" x14ac:dyDescent="0.25">
      <c r="B170" s="4">
        <v>46090</v>
      </c>
      <c r="C170" s="2" t="s">
        <v>6689</v>
      </c>
      <c r="D170" s="2"/>
      <c r="E170" s="23"/>
      <c r="F170" s="23">
        <f t="shared" si="1"/>
        <v>0</v>
      </c>
      <c r="G170" s="2"/>
    </row>
    <row r="171" spans="2:7" x14ac:dyDescent="0.25">
      <c r="B171" s="4">
        <v>46091</v>
      </c>
      <c r="C171" s="2"/>
      <c r="D171" s="2"/>
      <c r="E171" s="23"/>
      <c r="F171" s="23">
        <f t="shared" si="1"/>
        <v>0</v>
      </c>
      <c r="G171" s="2"/>
    </row>
    <row r="172" spans="2:7" x14ac:dyDescent="0.25">
      <c r="B172" s="4">
        <v>46092</v>
      </c>
      <c r="C172" s="2"/>
      <c r="D172" s="2"/>
      <c r="E172" s="23"/>
      <c r="F172" s="23">
        <f t="shared" si="1"/>
        <v>0</v>
      </c>
      <c r="G172" s="2"/>
    </row>
    <row r="173" spans="2:7" x14ac:dyDescent="0.25">
      <c r="B173" s="4">
        <v>46093</v>
      </c>
      <c r="C173" s="2"/>
      <c r="D173" s="2"/>
      <c r="E173" s="23"/>
      <c r="F173" s="23">
        <f t="shared" si="1"/>
        <v>0</v>
      </c>
      <c r="G173" s="2"/>
    </row>
    <row r="174" spans="2:7" x14ac:dyDescent="0.25">
      <c r="B174" s="4">
        <v>46094</v>
      </c>
      <c r="C174" s="2"/>
      <c r="D174" s="2"/>
      <c r="E174" s="23"/>
      <c r="F174" s="23">
        <f t="shared" si="1"/>
        <v>0</v>
      </c>
      <c r="G174" s="2"/>
    </row>
    <row r="175" spans="2:7" x14ac:dyDescent="0.25">
      <c r="B175" s="4">
        <v>46095</v>
      </c>
      <c r="C175" s="2"/>
      <c r="D175" s="2"/>
      <c r="E175" s="23"/>
      <c r="F175" s="23">
        <f t="shared" si="1"/>
        <v>0</v>
      </c>
      <c r="G175" s="2"/>
    </row>
    <row r="176" spans="2:7" x14ac:dyDescent="0.25">
      <c r="B176" s="4">
        <v>46096</v>
      </c>
      <c r="C176" s="2"/>
      <c r="D176" s="2"/>
      <c r="E176" s="23"/>
      <c r="F176" s="23">
        <f t="shared" si="1"/>
        <v>0</v>
      </c>
      <c r="G176" s="2"/>
    </row>
    <row r="177" spans="2:7" x14ac:dyDescent="0.25">
      <c r="B177" s="4">
        <v>46097</v>
      </c>
      <c r="C177" s="2"/>
      <c r="D177" s="2"/>
      <c r="E177" s="23"/>
      <c r="F177" s="23">
        <f t="shared" si="1"/>
        <v>0</v>
      </c>
      <c r="G177" s="2"/>
    </row>
    <row r="178" spans="2:7" x14ac:dyDescent="0.25">
      <c r="B178" s="4">
        <v>46098</v>
      </c>
      <c r="C178" s="2"/>
      <c r="D178" s="2"/>
      <c r="E178" s="23"/>
      <c r="F178" s="23">
        <f t="shared" si="1"/>
        <v>0</v>
      </c>
      <c r="G178" s="2"/>
    </row>
    <row r="179" spans="2:7" x14ac:dyDescent="0.25">
      <c r="B179" s="4">
        <v>46099</v>
      </c>
      <c r="C179" s="2"/>
      <c r="D179" s="2"/>
      <c r="E179" s="23"/>
      <c r="F179" s="23">
        <f t="shared" si="1"/>
        <v>0</v>
      </c>
      <c r="G179" s="2"/>
    </row>
    <row r="180" spans="2:7" x14ac:dyDescent="0.25">
      <c r="B180" s="4">
        <v>46100</v>
      </c>
      <c r="C180" s="2"/>
      <c r="D180" s="2"/>
      <c r="E180" s="23"/>
      <c r="F180" s="23">
        <f t="shared" si="1"/>
        <v>0</v>
      </c>
      <c r="G180" s="2"/>
    </row>
    <row r="181" spans="2:7" x14ac:dyDescent="0.25">
      <c r="B181" s="4">
        <v>46101</v>
      </c>
      <c r="C181" s="2"/>
      <c r="D181" s="2"/>
      <c r="E181" s="23"/>
      <c r="F181" s="23">
        <f t="shared" si="1"/>
        <v>0</v>
      </c>
      <c r="G181" s="2"/>
    </row>
    <row r="182" spans="2:7" x14ac:dyDescent="0.25">
      <c r="B182" s="4">
        <v>46102</v>
      </c>
      <c r="C182" s="2"/>
      <c r="D182" s="2"/>
      <c r="E182" s="23"/>
      <c r="F182" s="23">
        <f t="shared" si="1"/>
        <v>0</v>
      </c>
      <c r="G182" s="2"/>
    </row>
    <row r="183" spans="2:7" x14ac:dyDescent="0.25">
      <c r="B183" s="4">
        <v>46103</v>
      </c>
      <c r="C183" s="2"/>
      <c r="D183" s="2"/>
      <c r="E183" s="23"/>
      <c r="F183" s="23">
        <f t="shared" si="1"/>
        <v>0</v>
      </c>
      <c r="G183" s="2"/>
    </row>
    <row r="184" spans="2:7" x14ac:dyDescent="0.25">
      <c r="B184" s="4">
        <v>46104</v>
      </c>
      <c r="C184" s="2"/>
      <c r="D184" s="2"/>
      <c r="E184" s="23"/>
      <c r="F184" s="23">
        <f t="shared" si="1"/>
        <v>0</v>
      </c>
      <c r="G184" s="2"/>
    </row>
    <row r="185" spans="2:7" x14ac:dyDescent="0.25">
      <c r="B185" s="4">
        <v>46105</v>
      </c>
      <c r="C185" s="2"/>
      <c r="D185" s="2"/>
      <c r="E185" s="23"/>
      <c r="F185" s="23">
        <f t="shared" si="1"/>
        <v>0</v>
      </c>
      <c r="G185" s="2"/>
    </row>
    <row r="186" spans="2:7" x14ac:dyDescent="0.25">
      <c r="B186" s="4">
        <v>46106</v>
      </c>
      <c r="C186" s="2"/>
      <c r="D186" s="2"/>
      <c r="E186" s="23"/>
      <c r="F186" s="23">
        <f t="shared" si="1"/>
        <v>0</v>
      </c>
      <c r="G186" s="2"/>
    </row>
    <row r="187" spans="2:7" x14ac:dyDescent="0.25">
      <c r="B187" s="4">
        <v>46107</v>
      </c>
      <c r="C187" s="2"/>
      <c r="D187" s="2"/>
      <c r="E187" s="23"/>
      <c r="F187" s="23">
        <f t="shared" si="1"/>
        <v>0</v>
      </c>
      <c r="G187" s="2"/>
    </row>
    <row r="188" spans="2:7" x14ac:dyDescent="0.25">
      <c r="B188" s="4">
        <v>46108</v>
      </c>
      <c r="C188" s="2"/>
      <c r="D188" s="2"/>
      <c r="E188" s="23"/>
      <c r="F188" s="23">
        <f t="shared" si="1"/>
        <v>0</v>
      </c>
      <c r="G188" s="2"/>
    </row>
    <row r="189" spans="2:7" x14ac:dyDescent="0.25">
      <c r="B189" s="4">
        <v>46109</v>
      </c>
      <c r="C189" s="2"/>
      <c r="D189" s="2"/>
      <c r="E189" s="23"/>
      <c r="F189" s="23">
        <f t="shared" si="1"/>
        <v>0</v>
      </c>
      <c r="G189" s="2"/>
    </row>
    <row r="190" spans="2:7" x14ac:dyDescent="0.25">
      <c r="B190" s="4">
        <v>46110</v>
      </c>
      <c r="C190" s="2"/>
      <c r="D190" s="2"/>
      <c r="E190" s="23"/>
      <c r="F190" s="23">
        <f t="shared" si="1"/>
        <v>0</v>
      </c>
      <c r="G190" s="2"/>
    </row>
    <row r="191" spans="2:7" x14ac:dyDescent="0.25">
      <c r="B191" s="4">
        <v>46111</v>
      </c>
      <c r="C191" s="2"/>
      <c r="D191" s="2"/>
      <c r="E191" s="23"/>
      <c r="F191" s="23">
        <f t="shared" si="1"/>
        <v>0</v>
      </c>
      <c r="G191" s="2"/>
    </row>
    <row r="192" spans="2:7" x14ac:dyDescent="0.25">
      <c r="B192" s="4">
        <v>46112</v>
      </c>
      <c r="C192" s="2" t="s">
        <v>6714</v>
      </c>
      <c r="D192" s="2"/>
      <c r="E192" s="23"/>
      <c r="F192" s="23">
        <f t="shared" si="1"/>
        <v>0</v>
      </c>
      <c r="G192" s="2"/>
    </row>
    <row r="193" spans="2:7" x14ac:dyDescent="0.25">
      <c r="B193" s="4">
        <v>46113</v>
      </c>
      <c r="C193" s="2" t="s">
        <v>6755</v>
      </c>
      <c r="D193" s="2"/>
      <c r="E193" s="23"/>
      <c r="F193" s="23">
        <f t="shared" si="1"/>
        <v>0</v>
      </c>
      <c r="G193" s="2"/>
    </row>
    <row r="194" spans="2:7" x14ac:dyDescent="0.25">
      <c r="B194" s="4">
        <v>46114</v>
      </c>
      <c r="C194" s="2" t="s">
        <v>6715</v>
      </c>
      <c r="D194" s="2" t="s">
        <v>6716</v>
      </c>
      <c r="E194" s="23">
        <v>82</v>
      </c>
      <c r="F194" s="23">
        <f t="shared" si="1"/>
        <v>82</v>
      </c>
      <c r="G194" s="2"/>
    </row>
    <row r="195" spans="2:7" x14ac:dyDescent="0.25">
      <c r="B195" s="4">
        <v>46115</v>
      </c>
      <c r="C195" s="2" t="s">
        <v>6756</v>
      </c>
      <c r="D195" s="2"/>
      <c r="E195" s="23">
        <v>83</v>
      </c>
      <c r="F195" s="23">
        <f t="shared" ref="F195:F209" si="2">E195-E194</f>
        <v>1</v>
      </c>
      <c r="G195" s="2"/>
    </row>
    <row r="196" spans="2:7" x14ac:dyDescent="0.25">
      <c r="B196" s="4">
        <v>46116</v>
      </c>
      <c r="C196" s="2" t="s">
        <v>6756</v>
      </c>
      <c r="D196" s="2"/>
      <c r="E196" s="23">
        <v>83</v>
      </c>
      <c r="F196" s="23">
        <f t="shared" si="2"/>
        <v>0</v>
      </c>
      <c r="G196" s="2"/>
    </row>
    <row r="197" spans="2:7" x14ac:dyDescent="0.25">
      <c r="B197" s="4">
        <v>46117</v>
      </c>
      <c r="C197" s="2" t="s">
        <v>6757</v>
      </c>
      <c r="D197" s="2"/>
      <c r="E197" s="23">
        <v>85</v>
      </c>
      <c r="F197" s="23">
        <f t="shared" si="2"/>
        <v>2</v>
      </c>
      <c r="G197" s="2"/>
    </row>
    <row r="198" spans="2:7" x14ac:dyDescent="0.25">
      <c r="B198" s="4">
        <v>46118</v>
      </c>
      <c r="C198" s="2" t="s">
        <v>6757</v>
      </c>
      <c r="D198" s="2"/>
      <c r="E198" s="23"/>
      <c r="F198" s="23">
        <f t="shared" si="2"/>
        <v>-85</v>
      </c>
      <c r="G198" s="2"/>
    </row>
    <row r="199" spans="2:7" x14ac:dyDescent="0.25">
      <c r="B199" s="4">
        <v>46119</v>
      </c>
      <c r="C199" s="2" t="s">
        <v>6758</v>
      </c>
      <c r="D199" s="2"/>
      <c r="E199" s="23">
        <v>86</v>
      </c>
      <c r="F199" s="23">
        <f t="shared" si="2"/>
        <v>86</v>
      </c>
      <c r="G199" s="2"/>
    </row>
    <row r="200" spans="2:7" x14ac:dyDescent="0.25">
      <c r="B200" s="4">
        <v>46120</v>
      </c>
      <c r="C200" s="2" t="s">
        <v>6759</v>
      </c>
      <c r="D200" s="2" t="s">
        <v>6760</v>
      </c>
      <c r="E200" s="23"/>
      <c r="F200" s="23">
        <f t="shared" si="2"/>
        <v>-86</v>
      </c>
      <c r="G200" s="2"/>
    </row>
    <row r="201" spans="2:7" x14ac:dyDescent="0.25">
      <c r="B201" s="4">
        <v>46121</v>
      </c>
      <c r="C201" s="2" t="s">
        <v>6761</v>
      </c>
      <c r="D201" s="2"/>
      <c r="E201" s="23"/>
      <c r="F201" s="23">
        <f t="shared" si="2"/>
        <v>0</v>
      </c>
      <c r="G201" s="2"/>
    </row>
    <row r="202" spans="2:7" x14ac:dyDescent="0.25">
      <c r="B202" s="4">
        <v>46122</v>
      </c>
      <c r="C202" s="2" t="s">
        <v>6762</v>
      </c>
      <c r="D202" s="2" t="s">
        <v>6763</v>
      </c>
      <c r="E202" s="23"/>
      <c r="F202" s="23">
        <f t="shared" si="2"/>
        <v>0</v>
      </c>
      <c r="G202" s="2"/>
    </row>
    <row r="203" spans="2:7" x14ac:dyDescent="0.25">
      <c r="B203" s="4">
        <v>46123</v>
      </c>
      <c r="C203" s="2" t="s">
        <v>6762</v>
      </c>
      <c r="D203" s="2"/>
      <c r="E203" s="23"/>
      <c r="F203" s="23">
        <f t="shared" si="2"/>
        <v>0</v>
      </c>
      <c r="G203" s="2"/>
    </row>
    <row r="204" spans="2:7" x14ac:dyDescent="0.25">
      <c r="B204" s="4">
        <v>46124</v>
      </c>
      <c r="C204" s="2" t="s">
        <v>6762</v>
      </c>
      <c r="D204" s="2"/>
      <c r="E204" s="23"/>
      <c r="F204" s="23">
        <f t="shared" si="2"/>
        <v>0</v>
      </c>
      <c r="G204" s="2"/>
    </row>
    <row r="205" spans="2:7" x14ac:dyDescent="0.25">
      <c r="B205" s="4">
        <v>46125</v>
      </c>
      <c r="C205" s="2" t="s">
        <v>6764</v>
      </c>
      <c r="D205" s="2"/>
      <c r="E205" s="23"/>
      <c r="F205" s="23">
        <f t="shared" si="2"/>
        <v>0</v>
      </c>
      <c r="G205" s="2"/>
    </row>
    <row r="206" spans="2:7" x14ac:dyDescent="0.25">
      <c r="B206" s="4">
        <v>46126</v>
      </c>
      <c r="C206" s="2" t="s">
        <v>6764</v>
      </c>
      <c r="D206" s="2"/>
      <c r="E206" s="23"/>
      <c r="F206" s="23">
        <f t="shared" si="2"/>
        <v>0</v>
      </c>
      <c r="G206" s="2"/>
    </row>
    <row r="207" spans="2:7" x14ac:dyDescent="0.25">
      <c r="B207" s="4">
        <v>46127</v>
      </c>
      <c r="C207" s="2" t="s">
        <v>6764</v>
      </c>
      <c r="D207" s="2"/>
      <c r="E207" s="23"/>
      <c r="F207" s="23">
        <f t="shared" si="2"/>
        <v>0</v>
      </c>
      <c r="G207" s="2"/>
    </row>
    <row r="208" spans="2:7" x14ac:dyDescent="0.25">
      <c r="B208" s="4">
        <v>46128</v>
      </c>
      <c r="C208" s="2" t="s">
        <v>6764</v>
      </c>
      <c r="D208" s="2"/>
      <c r="E208" s="23"/>
      <c r="F208" s="23">
        <f t="shared" si="2"/>
        <v>0</v>
      </c>
      <c r="G208" s="2"/>
    </row>
    <row r="209" spans="2:7" x14ac:dyDescent="0.25">
      <c r="B209" s="4">
        <v>46129</v>
      </c>
      <c r="C209" s="2" t="s">
        <v>6764</v>
      </c>
      <c r="D209" s="2"/>
      <c r="E209" s="23"/>
      <c r="F209" s="23">
        <f t="shared" si="2"/>
        <v>0</v>
      </c>
      <c r="G209" s="2"/>
    </row>
    <row r="210" spans="2:7" x14ac:dyDescent="0.25">
      <c r="B210" s="4">
        <v>46130</v>
      </c>
      <c r="C210" s="2" t="s">
        <v>6764</v>
      </c>
      <c r="D210" s="2"/>
      <c r="E210" s="23"/>
      <c r="F210" s="23">
        <f>E212-E209</f>
        <v>0</v>
      </c>
      <c r="G210" s="2"/>
    </row>
    <row r="211" spans="2:7" x14ac:dyDescent="0.25">
      <c r="B211" s="4">
        <v>46131</v>
      </c>
      <c r="C211" s="2" t="s">
        <v>6764</v>
      </c>
      <c r="D211" s="2"/>
      <c r="E211" s="23"/>
      <c r="F211" s="23">
        <f t="shared" ref="F211" si="3">E213-E210</f>
        <v>0</v>
      </c>
      <c r="G211" s="2"/>
    </row>
    <row r="212" spans="2:7" x14ac:dyDescent="0.25">
      <c r="B212" s="4">
        <v>46132</v>
      </c>
      <c r="C212" s="2" t="s">
        <v>6812</v>
      </c>
      <c r="D212" s="2"/>
      <c r="E212" s="23"/>
      <c r="F212" s="23"/>
      <c r="G212" s="2"/>
    </row>
    <row r="213" spans="2:7" x14ac:dyDescent="0.25">
      <c r="B213" s="4">
        <v>46133</v>
      </c>
      <c r="C213" s="2" t="s">
        <v>6837</v>
      </c>
      <c r="D213" s="2" t="s">
        <v>6838</v>
      </c>
      <c r="E213" s="23"/>
      <c r="F213" s="23"/>
      <c r="G213" s="2"/>
    </row>
    <row r="214" spans="2:7" x14ac:dyDescent="0.25">
      <c r="B214" s="4">
        <v>46134</v>
      </c>
      <c r="C214" s="2" t="s">
        <v>6837</v>
      </c>
      <c r="D214" s="2" t="s">
        <v>6838</v>
      </c>
      <c r="E214" s="23"/>
      <c r="F214" s="23"/>
      <c r="G214" s="2"/>
    </row>
    <row r="215" spans="2:7" x14ac:dyDescent="0.25">
      <c r="B215" s="4">
        <v>46135</v>
      </c>
      <c r="C215" s="2" t="s">
        <v>6880</v>
      </c>
      <c r="D215" s="2"/>
      <c r="E215" s="23"/>
      <c r="F215" s="23"/>
      <c r="G215" s="2"/>
    </row>
    <row r="216" spans="2:7" x14ac:dyDescent="0.25">
      <c r="B216" s="4">
        <v>46136</v>
      </c>
      <c r="C216" s="2" t="s">
        <v>6887</v>
      </c>
      <c r="D216" s="2"/>
      <c r="E216" s="23"/>
      <c r="F216" s="23"/>
      <c r="G216" s="2"/>
    </row>
    <row r="217" spans="2:7" x14ac:dyDescent="0.25">
      <c r="B217" s="4">
        <v>46137</v>
      </c>
      <c r="C217" s="2" t="s">
        <v>6911</v>
      </c>
      <c r="D217" s="2"/>
      <c r="E217" s="23"/>
      <c r="F217" s="23"/>
      <c r="G217" s="2"/>
    </row>
    <row r="218" spans="2:7" x14ac:dyDescent="0.25">
      <c r="B218" s="4">
        <v>46138</v>
      </c>
      <c r="C218" s="2" t="s">
        <v>6911</v>
      </c>
      <c r="D218" s="2"/>
      <c r="E218" s="23"/>
      <c r="F218" s="23"/>
      <c r="G218" s="2"/>
    </row>
    <row r="219" spans="2:7" x14ac:dyDescent="0.25">
      <c r="B219" s="4">
        <v>46139</v>
      </c>
      <c r="C219" s="2" t="s">
        <v>6934</v>
      </c>
      <c r="D219" s="2"/>
      <c r="E219" s="23"/>
      <c r="F219" s="23"/>
      <c r="G219" s="2"/>
    </row>
    <row r="220" spans="2:7" x14ac:dyDescent="0.25">
      <c r="B220" s="4">
        <v>46140</v>
      </c>
      <c r="C220" s="2" t="s">
        <v>6689</v>
      </c>
      <c r="D220" s="2"/>
      <c r="E220" s="23"/>
      <c r="F220" s="23"/>
      <c r="G220" s="2"/>
    </row>
    <row r="221" spans="2:7" x14ac:dyDescent="0.25">
      <c r="B221" s="4">
        <v>46141</v>
      </c>
      <c r="C221" s="2"/>
      <c r="D221" s="2"/>
      <c r="E221" s="23"/>
      <c r="F221" s="23"/>
      <c r="G221" s="2"/>
    </row>
    <row r="222" spans="2:7" x14ac:dyDescent="0.25">
      <c r="B222" s="4">
        <v>46142</v>
      </c>
      <c r="C222" s="2"/>
      <c r="D222" s="2"/>
      <c r="E222" s="23"/>
      <c r="F222" s="23"/>
      <c r="G222" s="2"/>
    </row>
    <row r="223" spans="2:7" x14ac:dyDescent="0.25">
      <c r="B223" s="4">
        <v>46143</v>
      </c>
      <c r="C223" s="2"/>
      <c r="D223" s="2"/>
      <c r="E223" s="23"/>
      <c r="F223" s="23"/>
      <c r="G223" s="2"/>
    </row>
    <row r="224" spans="2:7" x14ac:dyDescent="0.25">
      <c r="B224" s="4">
        <v>46144</v>
      </c>
      <c r="C224" s="2"/>
      <c r="D224" s="2"/>
      <c r="E224" s="23"/>
      <c r="F224" s="23"/>
      <c r="G224" s="2"/>
    </row>
    <row r="225" spans="2:7" x14ac:dyDescent="0.25">
      <c r="B225" s="4">
        <v>46145</v>
      </c>
      <c r="C225" s="2"/>
      <c r="D225" s="2"/>
      <c r="E225" s="23"/>
      <c r="F225" s="23"/>
      <c r="G225" s="2"/>
    </row>
    <row r="226" spans="2:7" x14ac:dyDescent="0.25">
      <c r="B226" s="4">
        <v>46146</v>
      </c>
      <c r="C226" s="2"/>
      <c r="D226" s="2"/>
      <c r="E226" s="23"/>
      <c r="F226" s="23"/>
      <c r="G226" s="2"/>
    </row>
    <row r="227" spans="2:7" x14ac:dyDescent="0.25">
      <c r="B227" s="4">
        <v>46147</v>
      </c>
      <c r="C227" s="2"/>
      <c r="D227" s="2"/>
      <c r="E227" s="23"/>
      <c r="F227" s="23"/>
      <c r="G227" s="2"/>
    </row>
    <row r="228" spans="2:7" x14ac:dyDescent="0.25">
      <c r="B228" s="4">
        <v>46148</v>
      </c>
      <c r="C228" s="2"/>
      <c r="D228" s="2"/>
      <c r="E228" s="23"/>
      <c r="F228" s="23"/>
      <c r="G228" s="2"/>
    </row>
    <row r="229" spans="2:7" x14ac:dyDescent="0.25">
      <c r="B229" s="4">
        <v>46149</v>
      </c>
      <c r="C229" s="2"/>
      <c r="D229" s="2"/>
      <c r="E229" s="23"/>
      <c r="F229" s="23"/>
      <c r="G229" s="2"/>
    </row>
    <row r="230" spans="2:7" x14ac:dyDescent="0.25">
      <c r="B230" s="4"/>
      <c r="C230" s="2"/>
      <c r="D230" s="2"/>
      <c r="E230" s="23"/>
      <c r="F230" s="23"/>
      <c r="G230" s="2"/>
    </row>
    <row r="231" spans="2:7" x14ac:dyDescent="0.25">
      <c r="B231" s="4"/>
      <c r="C231" s="2"/>
      <c r="D231" s="2"/>
      <c r="E231" s="23"/>
      <c r="F231" s="23"/>
      <c r="G231" s="2"/>
    </row>
    <row r="232" spans="2:7" x14ac:dyDescent="0.25">
      <c r="B232" s="4"/>
      <c r="C232" s="2"/>
      <c r="D232" s="2"/>
      <c r="E232" s="23"/>
      <c r="F232" s="23"/>
      <c r="G232" s="2"/>
    </row>
    <row r="233" spans="2:7" x14ac:dyDescent="0.25">
      <c r="B233" s="4"/>
      <c r="C233" s="2"/>
      <c r="D233" s="2"/>
      <c r="E233" s="23"/>
      <c r="F233" s="23"/>
      <c r="G233" s="2"/>
    </row>
    <row r="234" spans="2:7" x14ac:dyDescent="0.25">
      <c r="B234" s="4"/>
      <c r="C234" s="2"/>
      <c r="D234" s="2"/>
      <c r="E234" s="23"/>
      <c r="F234" s="23"/>
      <c r="G234" s="2"/>
    </row>
    <row r="235" spans="2:7" x14ac:dyDescent="0.25">
      <c r="B235" s="4"/>
      <c r="C235" s="2"/>
      <c r="D235" s="2"/>
      <c r="E235" s="23"/>
      <c r="F235" s="23"/>
      <c r="G235" s="2"/>
    </row>
    <row r="236" spans="2:7" x14ac:dyDescent="0.25">
      <c r="B236" s="4"/>
      <c r="C236" s="2"/>
      <c r="D236" s="2"/>
      <c r="E236" s="23"/>
      <c r="F236" s="23"/>
      <c r="G236" s="2"/>
    </row>
    <row r="237" spans="2:7" x14ac:dyDescent="0.25">
      <c r="B237" s="4"/>
      <c r="C237" s="2"/>
      <c r="D237" s="2"/>
      <c r="E237" s="23"/>
      <c r="F237" s="23"/>
      <c r="G237" s="2"/>
    </row>
    <row r="238" spans="2:7" x14ac:dyDescent="0.25">
      <c r="B238" s="4"/>
      <c r="C238" s="2"/>
      <c r="D238" s="2"/>
      <c r="E238" s="23"/>
      <c r="F238" s="23"/>
      <c r="G238" s="2"/>
    </row>
    <row r="239" spans="2:7" x14ac:dyDescent="0.25">
      <c r="B239" s="4"/>
      <c r="C239" s="2"/>
      <c r="D239" s="2"/>
      <c r="E239" s="23"/>
      <c r="F239" s="23"/>
      <c r="G239" s="2"/>
    </row>
    <row r="240" spans="2:7" x14ac:dyDescent="0.25">
      <c r="B240" s="4"/>
      <c r="C240" s="2"/>
      <c r="D240" s="2"/>
      <c r="E240" s="23"/>
      <c r="F240" s="23"/>
      <c r="G240" s="2"/>
    </row>
    <row r="241" spans="2:7" x14ac:dyDescent="0.25">
      <c r="B241" s="4"/>
      <c r="C241" s="2"/>
      <c r="D241" s="2"/>
      <c r="E241" s="23"/>
      <c r="F241" s="23"/>
      <c r="G241" s="2"/>
    </row>
    <row r="242" spans="2:7" x14ac:dyDescent="0.25">
      <c r="B242" s="4"/>
      <c r="C242" s="2"/>
      <c r="D242" s="2"/>
      <c r="E242" s="23"/>
      <c r="F242" s="23"/>
      <c r="G242" s="2"/>
    </row>
    <row r="243" spans="2:7" x14ac:dyDescent="0.25">
      <c r="B243" s="4"/>
      <c r="C243" s="2"/>
      <c r="D243" s="2"/>
      <c r="E243" s="23"/>
      <c r="F243" s="23"/>
      <c r="G243" s="2"/>
    </row>
    <row r="244" spans="2:7" x14ac:dyDescent="0.25">
      <c r="B244" s="4"/>
      <c r="C244" s="2"/>
      <c r="D244" s="2"/>
      <c r="E244" s="23"/>
      <c r="F244" s="23"/>
      <c r="G244" s="2"/>
    </row>
    <row r="245" spans="2:7" x14ac:dyDescent="0.25">
      <c r="B245" s="4"/>
      <c r="C245" s="2"/>
      <c r="D245" s="2"/>
      <c r="E245" s="23"/>
      <c r="F245" s="23"/>
      <c r="G245" s="2"/>
    </row>
    <row r="246" spans="2:7" x14ac:dyDescent="0.25">
      <c r="B246" s="4"/>
      <c r="C246" s="2"/>
      <c r="D246" s="2"/>
      <c r="E246" s="23"/>
      <c r="F246" s="23"/>
      <c r="G246" s="2"/>
    </row>
    <row r="247" spans="2:7" x14ac:dyDescent="0.25">
      <c r="B247" s="4"/>
      <c r="C247" s="2"/>
      <c r="D247" s="2"/>
      <c r="E247" s="23"/>
      <c r="F247" s="23"/>
      <c r="G247" s="2"/>
    </row>
    <row r="248" spans="2:7" x14ac:dyDescent="0.25">
      <c r="B248" s="4"/>
      <c r="C248" s="2"/>
      <c r="D248" s="2"/>
      <c r="E248" s="23"/>
      <c r="F248" s="23"/>
      <c r="G248" s="2"/>
    </row>
    <row r="249" spans="2:7" x14ac:dyDescent="0.25">
      <c r="B249" s="4"/>
      <c r="C249" s="2"/>
      <c r="D249" s="2"/>
      <c r="E249" s="23"/>
      <c r="F249" s="23"/>
      <c r="G249" s="2"/>
    </row>
    <row r="250" spans="2:7" x14ac:dyDescent="0.25">
      <c r="B250" s="4"/>
      <c r="C250" s="2"/>
      <c r="D250" s="2"/>
      <c r="E250" s="23"/>
      <c r="F250" s="23"/>
      <c r="G250" s="2"/>
    </row>
    <row r="251" spans="2:7" x14ac:dyDescent="0.25">
      <c r="B251" s="4"/>
      <c r="C251" s="2"/>
      <c r="D251" s="2"/>
      <c r="E251" s="23"/>
      <c r="F251" s="23"/>
      <c r="G251" s="2"/>
    </row>
    <row r="252" spans="2:7" x14ac:dyDescent="0.25">
      <c r="B252" s="4"/>
      <c r="C252" s="2"/>
      <c r="D252" s="2"/>
      <c r="E252" s="23"/>
      <c r="F252" s="23"/>
      <c r="G252" s="2"/>
    </row>
    <row r="253" spans="2:7" x14ac:dyDescent="0.25">
      <c r="B253" s="4"/>
      <c r="C253" s="2"/>
      <c r="D253" s="2"/>
      <c r="E253" s="23"/>
      <c r="F253" s="23"/>
      <c r="G253" s="2"/>
    </row>
    <row r="254" spans="2:7" x14ac:dyDescent="0.25">
      <c r="B254" s="4"/>
      <c r="C254" s="2"/>
      <c r="D254" s="2"/>
      <c r="E254" s="23"/>
      <c r="F254" s="23"/>
      <c r="G254" s="2"/>
    </row>
    <row r="255" spans="2:7" x14ac:dyDescent="0.25">
      <c r="B255" s="4"/>
      <c r="C255" s="2"/>
      <c r="D255" s="2"/>
      <c r="E255" s="23"/>
      <c r="F255" s="23"/>
      <c r="G255" s="2"/>
    </row>
    <row r="256" spans="2:7" x14ac:dyDescent="0.25">
      <c r="B256" s="4"/>
      <c r="C256" s="2"/>
      <c r="D256" s="2"/>
      <c r="E256" s="23"/>
      <c r="F256" s="23"/>
      <c r="G256" s="2"/>
    </row>
    <row r="257" spans="2:7" x14ac:dyDescent="0.25">
      <c r="B257" s="4"/>
      <c r="C257" s="2"/>
      <c r="D257" s="2"/>
      <c r="E257" s="23"/>
      <c r="F257" s="23"/>
      <c r="G257" s="2"/>
    </row>
    <row r="258" spans="2:7" x14ac:dyDescent="0.25">
      <c r="B258" s="4"/>
      <c r="C258" s="2"/>
      <c r="D258" s="2"/>
      <c r="E258" s="23"/>
      <c r="F258" s="23"/>
      <c r="G258" s="2"/>
    </row>
    <row r="259" spans="2:7" x14ac:dyDescent="0.25">
      <c r="B259" s="4"/>
      <c r="C259" s="2"/>
      <c r="D259" s="2"/>
      <c r="E259" s="23"/>
      <c r="F259" s="23"/>
      <c r="G259" s="2"/>
    </row>
    <row r="260" spans="2:7" x14ac:dyDescent="0.25">
      <c r="B260" s="4"/>
      <c r="C260" s="2"/>
      <c r="D260" s="2"/>
      <c r="E260" s="23"/>
      <c r="F260" s="23"/>
      <c r="G260" s="2"/>
    </row>
    <row r="261" spans="2:7" x14ac:dyDescent="0.25">
      <c r="B261" s="4"/>
      <c r="C261" s="2"/>
      <c r="D261" s="2"/>
      <c r="E261" s="23"/>
      <c r="F261" s="23"/>
      <c r="G261" s="2"/>
    </row>
    <row r="262" spans="2:7" x14ac:dyDescent="0.25">
      <c r="B262" s="4"/>
      <c r="C262" s="2"/>
      <c r="D262" s="2"/>
      <c r="E262" s="23"/>
      <c r="F262" s="23"/>
      <c r="G262" s="2"/>
    </row>
    <row r="263" spans="2:7" x14ac:dyDescent="0.25">
      <c r="B263" s="4"/>
      <c r="C263" s="2"/>
      <c r="D263" s="2"/>
      <c r="E263" s="23"/>
      <c r="F263" s="23"/>
      <c r="G263" s="2"/>
    </row>
    <row r="264" spans="2:7" x14ac:dyDescent="0.25">
      <c r="B264" s="4"/>
      <c r="C264" s="2"/>
      <c r="D264" s="2"/>
      <c r="E264" s="23"/>
      <c r="F264" s="23"/>
      <c r="G264" s="2"/>
    </row>
    <row r="265" spans="2:7" x14ac:dyDescent="0.25">
      <c r="B265" s="4"/>
      <c r="C265" s="2"/>
      <c r="D265" s="2"/>
      <c r="E265" s="23"/>
      <c r="F265" s="23"/>
      <c r="G265" s="2"/>
    </row>
    <row r="266" spans="2:7" x14ac:dyDescent="0.25">
      <c r="B266" s="4"/>
      <c r="C266" s="2"/>
      <c r="D266" s="2"/>
      <c r="E266" s="23"/>
      <c r="F266" s="23"/>
      <c r="G266" s="2"/>
    </row>
    <row r="267" spans="2:7" x14ac:dyDescent="0.25">
      <c r="B267" s="4"/>
      <c r="C267" s="2"/>
      <c r="D267" s="2"/>
      <c r="E267" s="23"/>
      <c r="F267" s="23"/>
      <c r="G267" s="2"/>
    </row>
    <row r="268" spans="2:7" x14ac:dyDescent="0.25">
      <c r="B268" s="4"/>
      <c r="C268" s="2"/>
      <c r="D268" s="2"/>
      <c r="E268" s="23"/>
      <c r="F268" s="23"/>
      <c r="G268" s="2"/>
    </row>
    <row r="269" spans="2:7" x14ac:dyDescent="0.25">
      <c r="B269" s="4"/>
      <c r="C269" s="2"/>
      <c r="D269" s="2"/>
      <c r="E269" s="23"/>
      <c r="F269" s="23"/>
      <c r="G269" s="2"/>
    </row>
    <row r="270" spans="2:7" x14ac:dyDescent="0.25">
      <c r="B270" s="4"/>
      <c r="C270" s="2"/>
      <c r="D270" s="2"/>
      <c r="E270" s="23"/>
      <c r="F270" s="23"/>
      <c r="G270" s="2"/>
    </row>
    <row r="271" spans="2:7" x14ac:dyDescent="0.25">
      <c r="B271" s="4"/>
      <c r="C271" s="2"/>
      <c r="D271" s="2"/>
      <c r="E271" s="23"/>
      <c r="F271" s="23"/>
      <c r="G271" s="2"/>
    </row>
    <row r="272" spans="2:7" x14ac:dyDescent="0.25">
      <c r="B272" s="4"/>
      <c r="C272" s="2"/>
      <c r="D272" s="2"/>
      <c r="E272" s="23"/>
      <c r="F272" s="23"/>
      <c r="G272" s="2"/>
    </row>
    <row r="273" spans="2:7" x14ac:dyDescent="0.25">
      <c r="B273" s="4"/>
      <c r="C273" s="2"/>
      <c r="D273" s="2"/>
      <c r="E273" s="23"/>
      <c r="F273" s="23"/>
      <c r="G273" s="2"/>
    </row>
    <row r="274" spans="2:7" x14ac:dyDescent="0.25">
      <c r="B274" s="4"/>
      <c r="C274" s="2"/>
      <c r="D274" s="2"/>
      <c r="E274" s="23"/>
      <c r="F274" s="23"/>
      <c r="G274" s="2"/>
    </row>
    <row r="275" spans="2:7" x14ac:dyDescent="0.25">
      <c r="B275" s="4"/>
      <c r="C275" s="2"/>
      <c r="D275" s="2"/>
      <c r="E275" s="23"/>
      <c r="F275" s="23"/>
      <c r="G275" s="2"/>
    </row>
    <row r="276" spans="2:7" x14ac:dyDescent="0.25">
      <c r="B276" s="4"/>
      <c r="C276" s="2"/>
      <c r="D276" s="2"/>
      <c r="E276" s="23"/>
      <c r="F276" s="23"/>
      <c r="G276" s="2"/>
    </row>
    <row r="277" spans="2:7" x14ac:dyDescent="0.25">
      <c r="B277" s="4"/>
      <c r="C277" s="2"/>
      <c r="D277" s="2"/>
      <c r="E277" s="23"/>
      <c r="F277" s="23"/>
      <c r="G277" s="2"/>
    </row>
    <row r="278" spans="2:7" x14ac:dyDescent="0.25">
      <c r="B278" s="4"/>
      <c r="C278" s="2"/>
      <c r="D278" s="2"/>
      <c r="E278" s="23"/>
      <c r="F278" s="23"/>
      <c r="G278" s="2"/>
    </row>
    <row r="279" spans="2:7" x14ac:dyDescent="0.25">
      <c r="B279" s="4"/>
      <c r="C279" s="2"/>
      <c r="D279" s="2"/>
      <c r="E279" s="23"/>
      <c r="F279" s="23"/>
      <c r="G279" s="2"/>
    </row>
    <row r="280" spans="2:7" x14ac:dyDescent="0.25">
      <c r="B280" s="4"/>
      <c r="C280" s="2"/>
      <c r="D280" s="2"/>
      <c r="E280" s="23"/>
      <c r="F280" s="23"/>
      <c r="G280" s="2"/>
    </row>
    <row r="281" spans="2:7" x14ac:dyDescent="0.25">
      <c r="B281" s="4"/>
      <c r="C281" s="2"/>
      <c r="D281" s="2"/>
      <c r="E281" s="23"/>
      <c r="F281" s="23"/>
      <c r="G281" s="2"/>
    </row>
    <row r="282" spans="2:7" x14ac:dyDescent="0.25">
      <c r="B282" s="4"/>
      <c r="C282" s="2"/>
      <c r="D282" s="2"/>
      <c r="E282" s="23"/>
      <c r="F282" s="23"/>
      <c r="G282" s="2"/>
    </row>
    <row r="283" spans="2:7" x14ac:dyDescent="0.25">
      <c r="B283" s="4"/>
      <c r="C283" s="2"/>
      <c r="D283" s="2"/>
      <c r="E283" s="23"/>
      <c r="F283" s="23"/>
      <c r="G283" s="2"/>
    </row>
    <row r="284" spans="2:7" x14ac:dyDescent="0.25">
      <c r="B284" s="4"/>
      <c r="C284" s="2"/>
      <c r="D284" s="2"/>
      <c r="E284" s="23"/>
      <c r="F284" s="23"/>
      <c r="G284" s="2"/>
    </row>
    <row r="285" spans="2:7" x14ac:dyDescent="0.25">
      <c r="B285" s="4"/>
      <c r="C285" s="2"/>
      <c r="D285" s="2"/>
      <c r="E285" s="23"/>
      <c r="F285" s="23"/>
      <c r="G285" s="2"/>
    </row>
    <row r="286" spans="2:7" x14ac:dyDescent="0.25">
      <c r="B286" s="4"/>
      <c r="C286" s="2"/>
      <c r="D286" s="2"/>
      <c r="E286" s="23"/>
      <c r="F286" s="23"/>
      <c r="G286" s="2"/>
    </row>
    <row r="287" spans="2:7" x14ac:dyDescent="0.25">
      <c r="B287" s="4"/>
      <c r="C287" s="2"/>
      <c r="D287" s="2"/>
      <c r="E287" s="23"/>
      <c r="F287" s="23"/>
      <c r="G287" s="2"/>
    </row>
    <row r="288" spans="2:7" x14ac:dyDescent="0.25">
      <c r="B288" s="4"/>
      <c r="C288" s="2"/>
      <c r="D288" s="2"/>
      <c r="E288" s="23"/>
      <c r="F288" s="23"/>
      <c r="G288" s="2"/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6EA57-1264-4D74-A04A-96982946F527}">
  <dimension ref="B2:I259"/>
  <sheetViews>
    <sheetView zoomScale="90" zoomScaleNormal="90" workbookViewId="0">
      <pane ySplit="3" topLeftCell="A241" activePane="bottomLeft" state="frozen"/>
      <selection activeCell="D8" sqref="D8"/>
      <selection pane="bottomLeft" activeCell="B210" sqref="B210"/>
    </sheetView>
  </sheetViews>
  <sheetFormatPr defaultRowHeight="15" x14ac:dyDescent="0.25"/>
  <cols>
    <col min="2" max="2" width="19.5703125" customWidth="1"/>
    <col min="3" max="3" width="59.7109375" customWidth="1"/>
    <col min="4" max="4" width="50.140625" customWidth="1"/>
    <col min="5" max="5" width="11.85546875" style="24" bestFit="1" customWidth="1"/>
    <col min="6" max="6" width="9.140625" style="24"/>
    <col min="7" max="7" width="11" bestFit="1" customWidth="1"/>
    <col min="8" max="8" width="19.7109375" bestFit="1" customWidth="1"/>
    <col min="9" max="9" width="9.140625" style="24"/>
  </cols>
  <sheetData>
    <row r="2" spans="2:7" x14ac:dyDescent="0.25">
      <c r="B2" s="144" t="s">
        <v>6869</v>
      </c>
    </row>
    <row r="3" spans="2:7" ht="15.75" x14ac:dyDescent="0.25">
      <c r="B3" s="10" t="s">
        <v>0</v>
      </c>
      <c r="C3" s="11" t="s">
        <v>1</v>
      </c>
      <c r="D3" s="11" t="s">
        <v>2</v>
      </c>
      <c r="E3" s="11" t="s">
        <v>934</v>
      </c>
      <c r="F3" s="11" t="s">
        <v>1095</v>
      </c>
      <c r="G3" s="11" t="s">
        <v>1507</v>
      </c>
    </row>
    <row r="4" spans="2:7" x14ac:dyDescent="0.25">
      <c r="B4" s="4">
        <v>45964</v>
      </c>
      <c r="C4" s="2" t="s">
        <v>5793</v>
      </c>
      <c r="D4" s="2"/>
      <c r="E4" s="23"/>
      <c r="F4" s="23"/>
      <c r="G4" s="2"/>
    </row>
    <row r="5" spans="2:7" x14ac:dyDescent="0.25">
      <c r="B5" s="4">
        <v>45965</v>
      </c>
      <c r="C5" s="2" t="s">
        <v>279</v>
      </c>
      <c r="D5" s="2" t="s">
        <v>5801</v>
      </c>
      <c r="E5" s="23"/>
      <c r="F5" s="23">
        <f>E5-E4</f>
        <v>0</v>
      </c>
      <c r="G5" s="2"/>
    </row>
    <row r="6" spans="2:7" x14ac:dyDescent="0.25">
      <c r="B6" s="4">
        <v>45966</v>
      </c>
      <c r="C6" s="2" t="s">
        <v>5807</v>
      </c>
      <c r="D6" s="2"/>
      <c r="E6" s="23"/>
      <c r="F6" s="23">
        <f t="shared" ref="F6:F56" si="0">E6-E5</f>
        <v>0</v>
      </c>
      <c r="G6" s="2"/>
    </row>
    <row r="7" spans="2:7" x14ac:dyDescent="0.25">
      <c r="B7" s="4">
        <v>45967</v>
      </c>
      <c r="C7" s="2" t="s">
        <v>5824</v>
      </c>
      <c r="D7" s="58"/>
      <c r="E7" s="23">
        <v>11</v>
      </c>
      <c r="F7" s="23">
        <f t="shared" si="0"/>
        <v>11</v>
      </c>
      <c r="G7" s="2"/>
    </row>
    <row r="8" spans="2:7" x14ac:dyDescent="0.25">
      <c r="B8" s="4">
        <v>45968</v>
      </c>
      <c r="C8" s="2" t="s">
        <v>5823</v>
      </c>
      <c r="D8" s="58"/>
      <c r="E8" s="23">
        <v>33</v>
      </c>
      <c r="F8" s="23">
        <f t="shared" si="0"/>
        <v>22</v>
      </c>
      <c r="G8" s="2"/>
    </row>
    <row r="9" spans="2:7" x14ac:dyDescent="0.25">
      <c r="B9" s="4">
        <v>45969</v>
      </c>
      <c r="C9" s="2" t="s">
        <v>5834</v>
      </c>
      <c r="D9" s="58"/>
      <c r="E9" s="23">
        <v>42</v>
      </c>
      <c r="F9" s="23">
        <f t="shared" si="0"/>
        <v>9</v>
      </c>
      <c r="G9" s="2"/>
    </row>
    <row r="10" spans="2:7" x14ac:dyDescent="0.25">
      <c r="B10" s="4">
        <v>45970</v>
      </c>
      <c r="C10" s="2" t="s">
        <v>5835</v>
      </c>
      <c r="D10" s="2"/>
      <c r="E10" s="23">
        <v>72</v>
      </c>
      <c r="F10" s="23">
        <f t="shared" si="0"/>
        <v>30</v>
      </c>
      <c r="G10" s="2"/>
    </row>
    <row r="11" spans="2:7" x14ac:dyDescent="0.25">
      <c r="B11" s="4">
        <v>45971</v>
      </c>
      <c r="C11" s="2" t="s">
        <v>5836</v>
      </c>
      <c r="D11" s="2"/>
      <c r="E11" s="23">
        <v>93</v>
      </c>
      <c r="F11" s="23">
        <f t="shared" si="0"/>
        <v>21</v>
      </c>
      <c r="G11" s="2"/>
    </row>
    <row r="12" spans="2:7" x14ac:dyDescent="0.25">
      <c r="B12" s="4">
        <v>45972</v>
      </c>
      <c r="C12" s="2" t="s">
        <v>5846</v>
      </c>
      <c r="D12" s="2"/>
      <c r="E12" s="23">
        <v>114</v>
      </c>
      <c r="F12" s="23">
        <f t="shared" si="0"/>
        <v>21</v>
      </c>
      <c r="G12" s="2"/>
    </row>
    <row r="13" spans="2:7" x14ac:dyDescent="0.25">
      <c r="B13" s="4">
        <v>45973</v>
      </c>
      <c r="C13" s="2" t="s">
        <v>5849</v>
      </c>
      <c r="D13" s="2"/>
      <c r="E13" s="23">
        <v>114</v>
      </c>
      <c r="F13" s="23">
        <f t="shared" si="0"/>
        <v>0</v>
      </c>
      <c r="G13" s="2"/>
    </row>
    <row r="14" spans="2:7" x14ac:dyDescent="0.25">
      <c r="B14" s="4">
        <v>45974</v>
      </c>
      <c r="C14" s="2" t="s">
        <v>5858</v>
      </c>
      <c r="D14" s="2"/>
      <c r="E14" s="23">
        <v>114</v>
      </c>
      <c r="F14" s="23">
        <f t="shared" si="0"/>
        <v>0</v>
      </c>
      <c r="G14" s="2"/>
    </row>
    <row r="15" spans="2:7" x14ac:dyDescent="0.25">
      <c r="B15" s="4">
        <v>45975</v>
      </c>
      <c r="C15" s="2" t="s">
        <v>5867</v>
      </c>
      <c r="D15" s="2"/>
      <c r="E15" s="23"/>
      <c r="F15" s="23">
        <f t="shared" si="0"/>
        <v>-114</v>
      </c>
      <c r="G15" s="2"/>
    </row>
    <row r="16" spans="2:7" x14ac:dyDescent="0.25">
      <c r="B16" s="4">
        <v>45976</v>
      </c>
      <c r="C16" s="2" t="s">
        <v>5897</v>
      </c>
      <c r="D16" s="2" t="s">
        <v>5882</v>
      </c>
      <c r="E16" s="23">
        <v>30</v>
      </c>
      <c r="F16" s="23">
        <f t="shared" si="0"/>
        <v>30</v>
      </c>
      <c r="G16" s="2"/>
    </row>
    <row r="17" spans="2:7" x14ac:dyDescent="0.25">
      <c r="B17" s="4">
        <v>45977</v>
      </c>
      <c r="C17" s="2" t="s">
        <v>5885</v>
      </c>
      <c r="D17" s="2" t="s">
        <v>5886</v>
      </c>
      <c r="E17" s="23">
        <v>60</v>
      </c>
      <c r="F17" s="23">
        <f t="shared" si="0"/>
        <v>30</v>
      </c>
      <c r="G17" s="2"/>
    </row>
    <row r="18" spans="2:7" x14ac:dyDescent="0.25">
      <c r="B18" s="4">
        <v>45978</v>
      </c>
      <c r="C18" s="2" t="s">
        <v>5896</v>
      </c>
      <c r="D18" s="2"/>
      <c r="E18" s="23">
        <v>96</v>
      </c>
      <c r="F18" s="23">
        <f t="shared" si="0"/>
        <v>36</v>
      </c>
      <c r="G18" s="2"/>
    </row>
    <row r="19" spans="2:7" x14ac:dyDescent="0.25">
      <c r="B19" s="4">
        <v>45979</v>
      </c>
      <c r="C19" s="2" t="s">
        <v>5906</v>
      </c>
      <c r="D19" s="2"/>
      <c r="E19" s="23">
        <v>96</v>
      </c>
      <c r="F19" s="23">
        <f t="shared" si="0"/>
        <v>0</v>
      </c>
      <c r="G19" s="2"/>
    </row>
    <row r="20" spans="2:7" x14ac:dyDescent="0.25">
      <c r="B20" s="4">
        <v>45980</v>
      </c>
      <c r="C20" s="2" t="s">
        <v>5916</v>
      </c>
      <c r="D20" s="2" t="s">
        <v>5917</v>
      </c>
      <c r="E20" s="23"/>
      <c r="F20" s="23">
        <f t="shared" si="0"/>
        <v>-96</v>
      </c>
      <c r="G20" s="2"/>
    </row>
    <row r="21" spans="2:7" x14ac:dyDescent="0.25">
      <c r="B21" s="4">
        <v>45981</v>
      </c>
      <c r="C21" s="2" t="s">
        <v>5922</v>
      </c>
      <c r="D21" s="2" t="s">
        <v>5923</v>
      </c>
      <c r="E21" s="23"/>
      <c r="F21" s="23">
        <f t="shared" si="0"/>
        <v>0</v>
      </c>
      <c r="G21" s="2"/>
    </row>
    <row r="22" spans="2:7" x14ac:dyDescent="0.25">
      <c r="B22" s="4">
        <v>45982</v>
      </c>
      <c r="C22" s="2" t="s">
        <v>5955</v>
      </c>
      <c r="D22" s="2"/>
      <c r="E22" s="23"/>
      <c r="F22" s="23">
        <f t="shared" si="0"/>
        <v>0</v>
      </c>
      <c r="G22" s="2"/>
    </row>
    <row r="23" spans="2:7" x14ac:dyDescent="0.25">
      <c r="B23" s="4">
        <v>45983</v>
      </c>
      <c r="C23" s="2" t="s">
        <v>5956</v>
      </c>
      <c r="D23" s="2"/>
      <c r="E23" s="23"/>
      <c r="F23" s="23">
        <f t="shared" si="0"/>
        <v>0</v>
      </c>
      <c r="G23" s="2"/>
    </row>
    <row r="24" spans="2:7" x14ac:dyDescent="0.25">
      <c r="B24" s="4">
        <v>45984</v>
      </c>
      <c r="C24" s="2" t="s">
        <v>5957</v>
      </c>
      <c r="D24" s="2"/>
      <c r="E24" s="23"/>
      <c r="F24" s="23">
        <f t="shared" si="0"/>
        <v>0</v>
      </c>
      <c r="G24" s="2"/>
    </row>
    <row r="25" spans="2:7" x14ac:dyDescent="0.25">
      <c r="B25" s="4">
        <v>45985</v>
      </c>
      <c r="C25" s="2" t="s">
        <v>5960</v>
      </c>
      <c r="D25" s="2"/>
      <c r="E25" s="23">
        <v>81</v>
      </c>
      <c r="F25" s="23">
        <f t="shared" si="0"/>
        <v>81</v>
      </c>
      <c r="G25" s="2"/>
    </row>
    <row r="26" spans="2:7" x14ac:dyDescent="0.25">
      <c r="B26" s="4">
        <v>45986</v>
      </c>
      <c r="C26" s="2" t="s">
        <v>5973</v>
      </c>
      <c r="D26" s="2"/>
      <c r="E26" s="23">
        <v>111</v>
      </c>
      <c r="F26" s="23">
        <f t="shared" si="0"/>
        <v>30</v>
      </c>
      <c r="G26" s="2"/>
    </row>
    <row r="27" spans="2:7" x14ac:dyDescent="0.25">
      <c r="B27" s="4">
        <v>45987</v>
      </c>
      <c r="C27" s="2" t="s">
        <v>5981</v>
      </c>
      <c r="D27" s="2" t="s">
        <v>1919</v>
      </c>
      <c r="E27" s="23">
        <v>120</v>
      </c>
      <c r="F27" s="23">
        <f t="shared" si="0"/>
        <v>9</v>
      </c>
      <c r="G27" s="2"/>
    </row>
    <row r="28" spans="2:7" x14ac:dyDescent="0.25">
      <c r="B28" s="4">
        <v>45988</v>
      </c>
      <c r="C28" s="2" t="s">
        <v>5991</v>
      </c>
      <c r="D28" s="2"/>
      <c r="E28" s="23">
        <v>120</v>
      </c>
      <c r="F28" s="23">
        <f t="shared" si="0"/>
        <v>0</v>
      </c>
      <c r="G28" s="2"/>
    </row>
    <row r="29" spans="2:7" x14ac:dyDescent="0.25">
      <c r="B29" s="4">
        <v>45989</v>
      </c>
      <c r="C29" s="2" t="s">
        <v>5995</v>
      </c>
      <c r="D29" s="2"/>
      <c r="E29" s="23"/>
      <c r="F29" s="23">
        <f t="shared" si="0"/>
        <v>-120</v>
      </c>
      <c r="G29" s="2"/>
    </row>
    <row r="30" spans="2:7" x14ac:dyDescent="0.25">
      <c r="B30" s="4">
        <v>45990</v>
      </c>
      <c r="C30" s="2" t="s">
        <v>6007</v>
      </c>
      <c r="D30" s="2"/>
      <c r="E30" s="23"/>
      <c r="F30" s="23">
        <f t="shared" si="0"/>
        <v>0</v>
      </c>
      <c r="G30" s="2"/>
    </row>
    <row r="31" spans="2:7" x14ac:dyDescent="0.25">
      <c r="B31" s="4">
        <v>45991</v>
      </c>
      <c r="C31" s="2" t="s">
        <v>6008</v>
      </c>
      <c r="D31" s="2"/>
      <c r="E31" s="23"/>
      <c r="F31" s="23">
        <f t="shared" si="0"/>
        <v>0</v>
      </c>
      <c r="G31" s="2"/>
    </row>
    <row r="32" spans="2:7" x14ac:dyDescent="0.25">
      <c r="B32" s="4">
        <v>45992</v>
      </c>
      <c r="C32" s="2" t="s">
        <v>6130</v>
      </c>
      <c r="D32" s="2"/>
      <c r="E32" s="23">
        <v>90</v>
      </c>
      <c r="F32" s="23">
        <f t="shared" si="0"/>
        <v>90</v>
      </c>
      <c r="G32" s="2"/>
    </row>
    <row r="33" spans="2:7" x14ac:dyDescent="0.25">
      <c r="B33" s="4">
        <v>45993</v>
      </c>
      <c r="C33" s="2" t="s">
        <v>6032</v>
      </c>
      <c r="D33" s="2"/>
      <c r="E33" s="23">
        <v>117</v>
      </c>
      <c r="F33" s="23">
        <f t="shared" si="0"/>
        <v>27</v>
      </c>
      <c r="G33" s="2"/>
    </row>
    <row r="34" spans="2:7" x14ac:dyDescent="0.25">
      <c r="B34" s="4">
        <v>45994</v>
      </c>
      <c r="C34" s="2" t="s">
        <v>5981</v>
      </c>
      <c r="D34" s="2" t="s">
        <v>6042</v>
      </c>
      <c r="E34" s="23">
        <v>120</v>
      </c>
      <c r="F34" s="23">
        <f t="shared" si="0"/>
        <v>3</v>
      </c>
      <c r="G34" s="2"/>
    </row>
    <row r="35" spans="2:7" x14ac:dyDescent="0.25">
      <c r="B35" s="4">
        <v>45995</v>
      </c>
      <c r="C35" s="2" t="s">
        <v>6052</v>
      </c>
      <c r="D35" s="2"/>
      <c r="E35" s="23">
        <v>126</v>
      </c>
      <c r="F35" s="23">
        <f t="shared" si="0"/>
        <v>6</v>
      </c>
      <c r="G35" s="2"/>
    </row>
    <row r="36" spans="2:7" x14ac:dyDescent="0.25">
      <c r="B36" s="4">
        <v>45996</v>
      </c>
      <c r="C36" s="2" t="s">
        <v>6054</v>
      </c>
      <c r="D36" s="2"/>
      <c r="E36" s="23">
        <v>135</v>
      </c>
      <c r="F36" s="23">
        <f t="shared" si="0"/>
        <v>9</v>
      </c>
      <c r="G36" s="2"/>
    </row>
    <row r="37" spans="2:7" x14ac:dyDescent="0.25">
      <c r="B37" s="4">
        <v>45997</v>
      </c>
      <c r="C37" s="2" t="s">
        <v>6131</v>
      </c>
      <c r="D37" s="2"/>
      <c r="E37" s="23">
        <v>135</v>
      </c>
      <c r="F37" s="23">
        <f t="shared" si="0"/>
        <v>0</v>
      </c>
      <c r="G37" s="2"/>
    </row>
    <row r="38" spans="2:7" x14ac:dyDescent="0.25">
      <c r="B38" s="4">
        <v>45998</v>
      </c>
      <c r="C38" s="2" t="s">
        <v>6066</v>
      </c>
      <c r="D38" s="2"/>
      <c r="E38" s="23"/>
      <c r="F38" s="23">
        <f t="shared" si="0"/>
        <v>-135</v>
      </c>
      <c r="G38" s="2"/>
    </row>
    <row r="39" spans="2:7" x14ac:dyDescent="0.25">
      <c r="B39" s="4">
        <v>45999</v>
      </c>
      <c r="C39" s="2" t="s">
        <v>6077</v>
      </c>
      <c r="D39" s="2"/>
      <c r="E39" s="23">
        <v>138</v>
      </c>
      <c r="F39" s="23">
        <f t="shared" si="0"/>
        <v>138</v>
      </c>
      <c r="G39" s="2"/>
    </row>
    <row r="40" spans="2:7" x14ac:dyDescent="0.25">
      <c r="B40" s="4">
        <v>46000</v>
      </c>
      <c r="C40" s="2" t="s">
        <v>6083</v>
      </c>
      <c r="D40" s="2"/>
      <c r="E40" s="23">
        <v>147</v>
      </c>
      <c r="F40" s="23">
        <f t="shared" si="0"/>
        <v>9</v>
      </c>
      <c r="G40" s="2"/>
    </row>
    <row r="41" spans="2:7" x14ac:dyDescent="0.25">
      <c r="B41" s="4">
        <v>46001</v>
      </c>
      <c r="C41" s="2" t="s">
        <v>6083</v>
      </c>
      <c r="D41" s="2" t="s">
        <v>1919</v>
      </c>
      <c r="E41" s="23">
        <v>147</v>
      </c>
      <c r="F41" s="23">
        <f t="shared" si="0"/>
        <v>0</v>
      </c>
      <c r="G41" s="2"/>
    </row>
    <row r="42" spans="2:7" x14ac:dyDescent="0.25">
      <c r="B42" s="4">
        <v>46002</v>
      </c>
      <c r="C42" s="2" t="s">
        <v>6104</v>
      </c>
      <c r="D42" s="2"/>
      <c r="E42" s="23"/>
      <c r="F42" s="23">
        <f t="shared" si="0"/>
        <v>-147</v>
      </c>
      <c r="G42" s="2"/>
    </row>
    <row r="43" spans="2:7" x14ac:dyDescent="0.25">
      <c r="B43" s="4">
        <v>46003</v>
      </c>
      <c r="C43" s="2" t="s">
        <v>6109</v>
      </c>
      <c r="D43" s="2"/>
      <c r="E43" s="23">
        <v>80</v>
      </c>
      <c r="F43" s="23">
        <f t="shared" si="0"/>
        <v>80</v>
      </c>
      <c r="G43" s="2"/>
    </row>
    <row r="44" spans="2:7" x14ac:dyDescent="0.25">
      <c r="B44" s="4">
        <v>46004</v>
      </c>
      <c r="C44" s="2" t="s">
        <v>6007</v>
      </c>
      <c r="D44" s="2"/>
      <c r="E44" s="23">
        <v>80</v>
      </c>
      <c r="F44" s="23">
        <f t="shared" si="0"/>
        <v>0</v>
      </c>
      <c r="G44" s="2"/>
    </row>
    <row r="45" spans="2:7" x14ac:dyDescent="0.25">
      <c r="B45" s="4">
        <v>46005</v>
      </c>
      <c r="C45" s="2" t="s">
        <v>6115</v>
      </c>
      <c r="D45" s="2"/>
      <c r="E45" s="23">
        <v>80</v>
      </c>
      <c r="F45" s="23">
        <f t="shared" si="0"/>
        <v>0</v>
      </c>
      <c r="G45" s="2"/>
    </row>
    <row r="46" spans="2:7" x14ac:dyDescent="0.25">
      <c r="B46" s="4">
        <v>46006</v>
      </c>
      <c r="C46" s="2" t="s">
        <v>6205</v>
      </c>
      <c r="D46" s="2"/>
      <c r="E46" s="23">
        <v>80</v>
      </c>
      <c r="F46" s="23">
        <f t="shared" si="0"/>
        <v>0</v>
      </c>
      <c r="G46" s="2"/>
    </row>
    <row r="47" spans="2:7" x14ac:dyDescent="0.25">
      <c r="B47" s="4">
        <v>46007</v>
      </c>
      <c r="C47" s="2" t="s">
        <v>6206</v>
      </c>
      <c r="D47" s="2"/>
      <c r="E47" s="23">
        <v>84</v>
      </c>
      <c r="F47" s="23">
        <f t="shared" si="0"/>
        <v>4</v>
      </c>
      <c r="G47" s="2"/>
    </row>
    <row r="48" spans="2:7" x14ac:dyDescent="0.25">
      <c r="B48" s="4">
        <v>46008</v>
      </c>
      <c r="C48" s="2" t="s">
        <v>6207</v>
      </c>
      <c r="D48" s="2"/>
      <c r="E48" s="23">
        <v>84</v>
      </c>
      <c r="F48" s="23">
        <f t="shared" si="0"/>
        <v>0</v>
      </c>
      <c r="G48" s="2"/>
    </row>
    <row r="49" spans="2:7" x14ac:dyDescent="0.25">
      <c r="B49" s="4">
        <v>46009</v>
      </c>
      <c r="C49" s="2" t="s">
        <v>6208</v>
      </c>
      <c r="D49" s="2"/>
      <c r="E49" s="23">
        <v>84</v>
      </c>
      <c r="F49" s="23">
        <f t="shared" si="0"/>
        <v>0</v>
      </c>
      <c r="G49" s="2"/>
    </row>
    <row r="50" spans="2:7" x14ac:dyDescent="0.25">
      <c r="B50" s="4">
        <v>46010</v>
      </c>
      <c r="C50" s="2" t="s">
        <v>6164</v>
      </c>
      <c r="D50" s="2"/>
      <c r="E50" s="23">
        <v>84</v>
      </c>
      <c r="F50" s="23">
        <f t="shared" si="0"/>
        <v>0</v>
      </c>
      <c r="G50" s="2"/>
    </row>
    <row r="51" spans="2:7" x14ac:dyDescent="0.25">
      <c r="B51" s="4">
        <v>46011</v>
      </c>
      <c r="C51" s="2" t="s">
        <v>6164</v>
      </c>
      <c r="D51" s="2"/>
      <c r="E51" s="23">
        <v>84</v>
      </c>
      <c r="F51" s="23">
        <f t="shared" si="0"/>
        <v>0</v>
      </c>
      <c r="G51" s="2"/>
    </row>
    <row r="52" spans="2:7" x14ac:dyDescent="0.25">
      <c r="B52" s="4">
        <v>46012</v>
      </c>
      <c r="C52" s="2" t="s">
        <v>6178</v>
      </c>
      <c r="D52" s="2"/>
      <c r="E52" s="23"/>
      <c r="F52" s="23">
        <f t="shared" si="0"/>
        <v>-84</v>
      </c>
      <c r="G52" s="2"/>
    </row>
    <row r="53" spans="2:7" x14ac:dyDescent="0.25">
      <c r="B53" s="4">
        <v>46013</v>
      </c>
      <c r="C53" s="2" t="s">
        <v>6184</v>
      </c>
      <c r="D53" s="2"/>
      <c r="E53" s="23">
        <v>70</v>
      </c>
      <c r="F53" s="23">
        <f t="shared" si="0"/>
        <v>70</v>
      </c>
      <c r="G53" s="2"/>
    </row>
    <row r="54" spans="2:7" x14ac:dyDescent="0.25">
      <c r="B54" s="4">
        <v>46014</v>
      </c>
      <c r="C54" s="2" t="s">
        <v>6202</v>
      </c>
      <c r="D54" s="2"/>
      <c r="E54" s="23">
        <v>141</v>
      </c>
      <c r="F54" s="23">
        <f t="shared" si="0"/>
        <v>71</v>
      </c>
      <c r="G54" s="2"/>
    </row>
    <row r="55" spans="2:7" x14ac:dyDescent="0.25">
      <c r="B55" s="4">
        <v>46015</v>
      </c>
      <c r="C55" s="2" t="s">
        <v>6200</v>
      </c>
      <c r="D55" s="2"/>
      <c r="E55" s="23"/>
      <c r="F55" s="23">
        <f t="shared" si="0"/>
        <v>-141</v>
      </c>
      <c r="G55" s="2"/>
    </row>
    <row r="56" spans="2:7" x14ac:dyDescent="0.25">
      <c r="B56" s="4">
        <v>46016</v>
      </c>
      <c r="C56" s="2" t="s">
        <v>6212</v>
      </c>
      <c r="D56" s="2"/>
      <c r="E56" s="23"/>
      <c r="F56" s="23">
        <f t="shared" si="0"/>
        <v>0</v>
      </c>
      <c r="G56" s="2"/>
    </row>
    <row r="57" spans="2:7" x14ac:dyDescent="0.25">
      <c r="B57" s="4">
        <v>46017</v>
      </c>
      <c r="C57" s="2" t="s">
        <v>6219</v>
      </c>
      <c r="D57" s="2"/>
      <c r="E57" s="23"/>
      <c r="F57" s="23"/>
      <c r="G57" s="2"/>
    </row>
    <row r="58" spans="2:7" x14ac:dyDescent="0.25">
      <c r="B58" s="4">
        <v>46018</v>
      </c>
      <c r="C58" s="2" t="s">
        <v>6212</v>
      </c>
      <c r="D58" s="2"/>
      <c r="E58" s="23"/>
      <c r="F58" s="23"/>
      <c r="G58" s="2"/>
    </row>
    <row r="59" spans="2:7" x14ac:dyDescent="0.25">
      <c r="B59" s="4">
        <v>46019</v>
      </c>
      <c r="C59" s="2" t="s">
        <v>6226</v>
      </c>
      <c r="D59" s="2"/>
      <c r="E59" s="23"/>
      <c r="F59" s="23"/>
      <c r="G59" s="2"/>
    </row>
    <row r="60" spans="2:7" x14ac:dyDescent="0.25">
      <c r="B60" s="4">
        <v>46020</v>
      </c>
      <c r="C60" s="2" t="s">
        <v>6230</v>
      </c>
      <c r="D60" s="2"/>
      <c r="E60" s="23"/>
      <c r="F60" s="23"/>
      <c r="G60" s="2"/>
    </row>
    <row r="61" spans="2:7" x14ac:dyDescent="0.25">
      <c r="B61" s="4">
        <v>46021</v>
      </c>
      <c r="C61" s="2" t="s">
        <v>2181</v>
      </c>
      <c r="D61" s="2"/>
      <c r="E61" s="23"/>
      <c r="F61" s="23"/>
      <c r="G61" s="2"/>
    </row>
    <row r="62" spans="2:7" x14ac:dyDescent="0.25">
      <c r="B62" s="4">
        <v>46022</v>
      </c>
      <c r="C62" s="2" t="s">
        <v>6244</v>
      </c>
      <c r="D62" s="2"/>
      <c r="E62" s="23"/>
      <c r="F62" s="23"/>
      <c r="G62" s="2"/>
    </row>
    <row r="63" spans="2:7" x14ac:dyDescent="0.25">
      <c r="B63" s="4">
        <v>46023</v>
      </c>
      <c r="C63" s="2" t="s">
        <v>6245</v>
      </c>
      <c r="D63" s="2"/>
      <c r="E63" s="23"/>
      <c r="F63" s="23"/>
      <c r="G63" s="2"/>
    </row>
    <row r="64" spans="2:7" x14ac:dyDescent="0.25">
      <c r="B64" s="4">
        <v>46024</v>
      </c>
      <c r="C64" s="2" t="s">
        <v>6254</v>
      </c>
      <c r="D64" s="2"/>
      <c r="E64" s="23"/>
      <c r="F64" s="23"/>
      <c r="G64" s="2"/>
    </row>
    <row r="65" spans="2:7" x14ac:dyDescent="0.25">
      <c r="B65" s="4">
        <v>46025</v>
      </c>
      <c r="C65" s="2" t="s">
        <v>6260</v>
      </c>
      <c r="D65" s="2" t="s">
        <v>6261</v>
      </c>
      <c r="E65" s="23"/>
      <c r="F65" s="23"/>
      <c r="G65" s="2"/>
    </row>
    <row r="66" spans="2:7" x14ac:dyDescent="0.25">
      <c r="B66" s="4">
        <v>46026</v>
      </c>
      <c r="C66" s="2" t="s">
        <v>6262</v>
      </c>
      <c r="D66" s="2" t="s">
        <v>6263</v>
      </c>
      <c r="E66" s="23"/>
      <c r="F66" s="23"/>
      <c r="G66" s="2"/>
    </row>
    <row r="67" spans="2:7" x14ac:dyDescent="0.25">
      <c r="B67" s="4">
        <v>46027</v>
      </c>
      <c r="C67" s="2" t="s">
        <v>6268</v>
      </c>
      <c r="D67" s="2" t="s">
        <v>6264</v>
      </c>
      <c r="E67" s="23"/>
      <c r="F67" s="23"/>
      <c r="G67" s="2"/>
    </row>
    <row r="68" spans="2:7" x14ac:dyDescent="0.25">
      <c r="B68" s="4">
        <v>46028</v>
      </c>
      <c r="C68" s="2" t="s">
        <v>6272</v>
      </c>
      <c r="D68" s="2"/>
      <c r="E68" s="23"/>
      <c r="F68" s="23"/>
      <c r="G68" s="2"/>
    </row>
    <row r="69" spans="2:7" x14ac:dyDescent="0.25">
      <c r="B69" s="4">
        <v>46029</v>
      </c>
      <c r="C69" s="2" t="s">
        <v>6272</v>
      </c>
      <c r="D69" s="2"/>
      <c r="E69" s="23"/>
      <c r="F69" s="23"/>
      <c r="G69" s="2"/>
    </row>
    <row r="70" spans="2:7" x14ac:dyDescent="0.25">
      <c r="B70" s="4">
        <v>46030</v>
      </c>
      <c r="C70" s="2" t="s">
        <v>6284</v>
      </c>
      <c r="D70" s="2"/>
      <c r="E70" s="23"/>
      <c r="F70" s="23"/>
      <c r="G70" s="2"/>
    </row>
    <row r="71" spans="2:7" x14ac:dyDescent="0.25">
      <c r="B71" s="4">
        <v>46031</v>
      </c>
      <c r="C71" s="2" t="s">
        <v>6297</v>
      </c>
      <c r="D71" s="2"/>
      <c r="E71" s="23"/>
      <c r="F71" s="23"/>
      <c r="G71" s="2"/>
    </row>
    <row r="72" spans="2:7" x14ac:dyDescent="0.25">
      <c r="B72" s="4">
        <v>46032</v>
      </c>
      <c r="C72" s="2" t="s">
        <v>6305</v>
      </c>
      <c r="D72" s="2"/>
      <c r="E72" s="23"/>
      <c r="F72" s="23"/>
      <c r="G72" s="2"/>
    </row>
    <row r="73" spans="2:7" x14ac:dyDescent="0.25">
      <c r="B73" s="4">
        <v>46033</v>
      </c>
      <c r="C73" s="2" t="s">
        <v>6312</v>
      </c>
      <c r="D73" s="2"/>
      <c r="E73" s="23"/>
      <c r="F73" s="23"/>
      <c r="G73" s="2"/>
    </row>
    <row r="74" spans="2:7" x14ac:dyDescent="0.25">
      <c r="B74" s="4">
        <v>46034</v>
      </c>
      <c r="C74" s="2" t="s">
        <v>6326</v>
      </c>
      <c r="D74" s="2"/>
      <c r="E74" s="23"/>
      <c r="F74" s="23"/>
      <c r="G74" s="2"/>
    </row>
    <row r="75" spans="2:7" x14ac:dyDescent="0.25">
      <c r="B75" s="4">
        <v>46035</v>
      </c>
      <c r="C75" s="2" t="s">
        <v>6334</v>
      </c>
      <c r="D75" s="2"/>
      <c r="E75" s="23"/>
      <c r="F75" s="23"/>
      <c r="G75" s="2"/>
    </row>
    <row r="76" spans="2:7" x14ac:dyDescent="0.25">
      <c r="B76" s="4">
        <v>46036</v>
      </c>
      <c r="C76" s="2" t="s">
        <v>6333</v>
      </c>
      <c r="D76" s="2"/>
      <c r="E76" s="23"/>
      <c r="F76" s="23"/>
      <c r="G76" s="2"/>
    </row>
    <row r="77" spans="2:7" x14ac:dyDescent="0.25">
      <c r="B77" s="4">
        <v>46037</v>
      </c>
      <c r="C77" s="2" t="s">
        <v>6346</v>
      </c>
      <c r="D77" s="2"/>
      <c r="E77" s="23">
        <v>12</v>
      </c>
      <c r="F77" s="23">
        <f>E77-E76</f>
        <v>12</v>
      </c>
      <c r="G77" s="2"/>
    </row>
    <row r="78" spans="2:7" x14ac:dyDescent="0.25">
      <c r="B78" s="4">
        <v>46038</v>
      </c>
      <c r="C78" s="2" t="s">
        <v>6347</v>
      </c>
      <c r="D78" s="2"/>
      <c r="E78" s="23">
        <v>22</v>
      </c>
      <c r="F78" s="23">
        <f t="shared" ref="F78:F103" si="1">E78-E77</f>
        <v>10</v>
      </c>
      <c r="G78" s="2"/>
    </row>
    <row r="79" spans="2:7" x14ac:dyDescent="0.25">
      <c r="B79" s="4">
        <v>46039</v>
      </c>
      <c r="C79" s="2" t="s">
        <v>6356</v>
      </c>
      <c r="D79" s="2" t="s">
        <v>6348</v>
      </c>
      <c r="E79" s="23">
        <v>24</v>
      </c>
      <c r="F79" s="23">
        <f t="shared" si="1"/>
        <v>2</v>
      </c>
      <c r="G79" s="2"/>
    </row>
    <row r="80" spans="2:7" x14ac:dyDescent="0.25">
      <c r="B80" s="4">
        <v>46040</v>
      </c>
      <c r="C80" s="2" t="s">
        <v>6357</v>
      </c>
      <c r="D80" s="2"/>
      <c r="E80" s="23">
        <v>30</v>
      </c>
      <c r="F80" s="23">
        <f t="shared" si="1"/>
        <v>6</v>
      </c>
      <c r="G80" s="2"/>
    </row>
    <row r="81" spans="2:7" x14ac:dyDescent="0.25">
      <c r="B81" s="4">
        <v>46041</v>
      </c>
      <c r="C81" s="2" t="s">
        <v>6362</v>
      </c>
      <c r="D81" s="2"/>
      <c r="E81" s="23">
        <v>35</v>
      </c>
      <c r="F81" s="23">
        <f t="shared" si="1"/>
        <v>5</v>
      </c>
      <c r="G81" s="2"/>
    </row>
    <row r="82" spans="2:7" x14ac:dyDescent="0.25">
      <c r="B82" s="4">
        <v>46042</v>
      </c>
      <c r="C82" s="2" t="s">
        <v>6369</v>
      </c>
      <c r="D82" s="2"/>
      <c r="E82" s="23">
        <v>39</v>
      </c>
      <c r="F82" s="23">
        <f t="shared" si="1"/>
        <v>4</v>
      </c>
      <c r="G82" s="2"/>
    </row>
    <row r="83" spans="2:7" x14ac:dyDescent="0.25">
      <c r="B83" s="4">
        <v>46043</v>
      </c>
      <c r="C83" s="2" t="s">
        <v>6375</v>
      </c>
      <c r="D83" s="2" t="s">
        <v>6376</v>
      </c>
      <c r="E83" s="23">
        <v>43</v>
      </c>
      <c r="F83" s="23">
        <f t="shared" si="1"/>
        <v>4</v>
      </c>
      <c r="G83" s="2"/>
    </row>
    <row r="84" spans="2:7" x14ac:dyDescent="0.25">
      <c r="B84" s="4">
        <v>46044</v>
      </c>
      <c r="C84" s="2" t="s">
        <v>6380</v>
      </c>
      <c r="D84" s="2" t="s">
        <v>6381</v>
      </c>
      <c r="E84" s="23">
        <v>48</v>
      </c>
      <c r="F84" s="23">
        <f t="shared" si="1"/>
        <v>5</v>
      </c>
      <c r="G84" s="2"/>
    </row>
    <row r="85" spans="2:7" x14ac:dyDescent="0.25">
      <c r="B85" s="4">
        <v>46045</v>
      </c>
      <c r="C85" s="2" t="s">
        <v>6384</v>
      </c>
      <c r="D85" s="2"/>
      <c r="E85" s="23">
        <v>53</v>
      </c>
      <c r="F85" s="23">
        <f t="shared" si="1"/>
        <v>5</v>
      </c>
      <c r="G85" s="2"/>
    </row>
    <row r="86" spans="2:7" x14ac:dyDescent="0.25">
      <c r="B86" s="4">
        <v>46046</v>
      </c>
      <c r="C86" s="2" t="s">
        <v>6391</v>
      </c>
      <c r="D86" s="2"/>
      <c r="E86" s="23">
        <v>60</v>
      </c>
      <c r="F86" s="23">
        <f t="shared" si="1"/>
        <v>7</v>
      </c>
      <c r="G86" s="2"/>
    </row>
    <row r="87" spans="2:7" x14ac:dyDescent="0.25">
      <c r="B87" s="4">
        <v>46047</v>
      </c>
      <c r="C87" s="2" t="s">
        <v>6395</v>
      </c>
      <c r="D87" s="2"/>
      <c r="E87" s="23">
        <v>60</v>
      </c>
      <c r="F87" s="23">
        <f t="shared" si="1"/>
        <v>0</v>
      </c>
      <c r="G87" s="2"/>
    </row>
    <row r="88" spans="2:7" x14ac:dyDescent="0.25">
      <c r="B88" s="4">
        <v>46048</v>
      </c>
      <c r="C88" s="2" t="s">
        <v>6397</v>
      </c>
      <c r="D88" s="2"/>
      <c r="E88" s="23">
        <v>70</v>
      </c>
      <c r="F88" s="23">
        <f t="shared" si="1"/>
        <v>10</v>
      </c>
      <c r="G88" s="2"/>
    </row>
    <row r="89" spans="2:7" x14ac:dyDescent="0.25">
      <c r="B89" s="4">
        <v>46049</v>
      </c>
      <c r="C89" s="2" t="s">
        <v>6407</v>
      </c>
      <c r="D89" s="2"/>
      <c r="E89" s="23">
        <v>87</v>
      </c>
      <c r="F89" s="23">
        <f t="shared" si="1"/>
        <v>17</v>
      </c>
      <c r="G89" s="2"/>
    </row>
    <row r="90" spans="2:7" x14ac:dyDescent="0.25">
      <c r="B90" s="4">
        <v>46050</v>
      </c>
      <c r="C90" s="2" t="s">
        <v>6411</v>
      </c>
      <c r="D90" s="2"/>
      <c r="E90" s="23">
        <v>96</v>
      </c>
      <c r="F90" s="23">
        <f t="shared" si="1"/>
        <v>9</v>
      </c>
      <c r="G90" s="2"/>
    </row>
    <row r="91" spans="2:7" x14ac:dyDescent="0.25">
      <c r="B91" s="4">
        <v>46051</v>
      </c>
      <c r="C91" s="2" t="s">
        <v>6415</v>
      </c>
      <c r="D91" s="2" t="s">
        <v>6416</v>
      </c>
      <c r="E91" s="23">
        <v>114</v>
      </c>
      <c r="F91" s="23">
        <f t="shared" si="1"/>
        <v>18</v>
      </c>
      <c r="G91" s="2"/>
    </row>
    <row r="92" spans="2:7" x14ac:dyDescent="0.25">
      <c r="B92" s="4">
        <v>46052</v>
      </c>
      <c r="C92" s="2" t="s">
        <v>6421</v>
      </c>
      <c r="D92" s="2"/>
      <c r="E92" s="23">
        <v>126</v>
      </c>
      <c r="F92" s="23">
        <f t="shared" si="1"/>
        <v>12</v>
      </c>
      <c r="G92" s="2"/>
    </row>
    <row r="93" spans="2:7" x14ac:dyDescent="0.25">
      <c r="B93" s="4">
        <v>46053</v>
      </c>
      <c r="C93" s="2" t="s">
        <v>6429</v>
      </c>
      <c r="D93" s="2" t="s">
        <v>6430</v>
      </c>
      <c r="E93" s="23">
        <v>129</v>
      </c>
      <c r="F93" s="23">
        <f t="shared" si="1"/>
        <v>3</v>
      </c>
      <c r="G93" s="2"/>
    </row>
    <row r="94" spans="2:7" x14ac:dyDescent="0.25">
      <c r="B94" s="4">
        <v>46054</v>
      </c>
      <c r="C94" s="2" t="s">
        <v>6428</v>
      </c>
      <c r="D94" s="2"/>
      <c r="E94" s="23">
        <v>135</v>
      </c>
      <c r="F94" s="23">
        <f t="shared" si="1"/>
        <v>6</v>
      </c>
      <c r="G94" s="2"/>
    </row>
    <row r="95" spans="2:7" x14ac:dyDescent="0.25">
      <c r="B95" s="4">
        <v>46055</v>
      </c>
      <c r="C95" s="2" t="s">
        <v>6438</v>
      </c>
      <c r="D95" s="2"/>
      <c r="E95" s="23">
        <v>144</v>
      </c>
      <c r="F95" s="23">
        <f t="shared" si="1"/>
        <v>9</v>
      </c>
      <c r="G95" s="2"/>
    </row>
    <row r="96" spans="2:7" x14ac:dyDescent="0.25">
      <c r="B96" s="4">
        <v>46056</v>
      </c>
      <c r="C96" s="2" t="s">
        <v>6439</v>
      </c>
      <c r="D96" s="2"/>
      <c r="E96" s="23">
        <v>159</v>
      </c>
      <c r="F96" s="23">
        <f t="shared" si="1"/>
        <v>15</v>
      </c>
      <c r="G96" s="2"/>
    </row>
    <row r="97" spans="2:7" x14ac:dyDescent="0.25">
      <c r="B97" s="4">
        <v>46057</v>
      </c>
      <c r="C97" s="2" t="s">
        <v>6446</v>
      </c>
      <c r="D97" s="2" t="s">
        <v>6447</v>
      </c>
      <c r="E97" s="23">
        <v>153</v>
      </c>
      <c r="F97" s="23">
        <f t="shared" si="1"/>
        <v>-6</v>
      </c>
      <c r="G97" s="2"/>
    </row>
    <row r="98" spans="2:7" x14ac:dyDescent="0.25">
      <c r="B98" s="4">
        <v>46058</v>
      </c>
      <c r="C98" s="2" t="s">
        <v>6457</v>
      </c>
      <c r="D98" s="2"/>
      <c r="E98" s="23">
        <v>153</v>
      </c>
      <c r="F98" s="23">
        <f t="shared" si="1"/>
        <v>0</v>
      </c>
      <c r="G98" s="2"/>
    </row>
    <row r="99" spans="2:7" x14ac:dyDescent="0.25">
      <c r="B99" s="4">
        <v>46059</v>
      </c>
      <c r="C99" s="2" t="s">
        <v>6466</v>
      </c>
      <c r="D99" s="2"/>
      <c r="E99" s="23">
        <v>156</v>
      </c>
      <c r="F99" s="23">
        <f t="shared" si="1"/>
        <v>3</v>
      </c>
      <c r="G99" s="2"/>
    </row>
    <row r="100" spans="2:7" x14ac:dyDescent="0.25">
      <c r="B100" s="4">
        <v>46060</v>
      </c>
      <c r="C100" s="2" t="s">
        <v>1178</v>
      </c>
      <c r="D100" s="2"/>
      <c r="E100" s="23"/>
      <c r="F100" s="23">
        <f t="shared" si="1"/>
        <v>-156</v>
      </c>
      <c r="G100" s="2"/>
    </row>
    <row r="101" spans="2:7" x14ac:dyDescent="0.25">
      <c r="B101" s="4">
        <v>46061</v>
      </c>
      <c r="C101" s="2" t="s">
        <v>6467</v>
      </c>
      <c r="D101" s="2"/>
      <c r="E101" s="23"/>
      <c r="F101" s="23">
        <f t="shared" si="1"/>
        <v>0</v>
      </c>
      <c r="G101" s="2"/>
    </row>
    <row r="102" spans="2:7" x14ac:dyDescent="0.25">
      <c r="B102" s="4">
        <v>46062</v>
      </c>
      <c r="C102" s="2" t="s">
        <v>6476</v>
      </c>
      <c r="D102" s="2"/>
      <c r="E102" s="23"/>
      <c r="F102" s="23">
        <f t="shared" si="1"/>
        <v>0</v>
      </c>
      <c r="G102" s="2"/>
    </row>
    <row r="103" spans="2:7" x14ac:dyDescent="0.25">
      <c r="B103" s="4">
        <v>46063</v>
      </c>
      <c r="C103" s="2" t="s">
        <v>6488</v>
      </c>
      <c r="D103" s="2" t="s">
        <v>6489</v>
      </c>
      <c r="E103" s="23"/>
      <c r="F103" s="23">
        <f t="shared" si="1"/>
        <v>0</v>
      </c>
      <c r="G103" s="2"/>
    </row>
    <row r="104" spans="2:7" x14ac:dyDescent="0.25">
      <c r="B104" s="4">
        <v>46064</v>
      </c>
      <c r="C104" s="2" t="s">
        <v>6494</v>
      </c>
      <c r="D104" s="2" t="s">
        <v>6495</v>
      </c>
      <c r="E104" s="23"/>
      <c r="F104" s="23"/>
      <c r="G104" s="2"/>
    </row>
    <row r="105" spans="2:7" x14ac:dyDescent="0.25">
      <c r="B105" s="4">
        <v>46065</v>
      </c>
      <c r="C105" s="2" t="s">
        <v>6499</v>
      </c>
      <c r="D105" s="2"/>
      <c r="E105" s="23"/>
      <c r="F105" s="23"/>
      <c r="G105" s="2"/>
    </row>
    <row r="106" spans="2:7" x14ac:dyDescent="0.25">
      <c r="B106" s="4">
        <v>46066</v>
      </c>
      <c r="C106" s="2" t="s">
        <v>6507</v>
      </c>
      <c r="D106" s="2"/>
      <c r="E106" s="23"/>
      <c r="F106" s="23"/>
      <c r="G106" s="2"/>
    </row>
    <row r="107" spans="2:7" x14ac:dyDescent="0.25">
      <c r="B107" s="4">
        <v>46067</v>
      </c>
      <c r="C107" s="2" t="s">
        <v>6522</v>
      </c>
      <c r="D107" s="2"/>
      <c r="E107" s="23"/>
      <c r="F107" s="23"/>
      <c r="G107" s="2"/>
    </row>
    <row r="108" spans="2:7" x14ac:dyDescent="0.25">
      <c r="B108" s="4">
        <v>46068</v>
      </c>
      <c r="C108" s="72" t="s">
        <v>6523</v>
      </c>
      <c r="D108" s="2"/>
      <c r="E108" s="23"/>
      <c r="F108" s="23"/>
      <c r="G108" s="2"/>
    </row>
    <row r="109" spans="2:7" x14ac:dyDescent="0.25">
      <c r="B109" s="4">
        <v>46069</v>
      </c>
      <c r="C109" s="2" t="s">
        <v>6531</v>
      </c>
      <c r="D109" s="2"/>
      <c r="E109" s="23"/>
      <c r="F109" s="23"/>
      <c r="G109" s="2"/>
    </row>
    <row r="110" spans="2:7" x14ac:dyDescent="0.25">
      <c r="B110" s="4">
        <v>46070</v>
      </c>
      <c r="C110" s="2" t="s">
        <v>6536</v>
      </c>
      <c r="D110" s="2"/>
      <c r="E110" s="23"/>
      <c r="F110" s="23"/>
      <c r="G110" s="2"/>
    </row>
    <row r="111" spans="2:7" x14ac:dyDescent="0.25">
      <c r="B111" s="4">
        <v>46071</v>
      </c>
      <c r="C111" s="2" t="s">
        <v>6542</v>
      </c>
      <c r="D111" s="2"/>
      <c r="E111" s="23"/>
      <c r="F111" s="23"/>
      <c r="G111" s="2"/>
    </row>
    <row r="112" spans="2:7" x14ac:dyDescent="0.25">
      <c r="B112" s="4">
        <v>46072</v>
      </c>
      <c r="C112" s="2" t="s">
        <v>6543</v>
      </c>
      <c r="D112" s="2" t="s">
        <v>3793</v>
      </c>
      <c r="E112" s="23"/>
      <c r="F112" s="23"/>
      <c r="G112" s="2"/>
    </row>
    <row r="113" spans="2:8" x14ac:dyDescent="0.25">
      <c r="B113" s="4">
        <v>46073</v>
      </c>
      <c r="C113" s="2" t="s">
        <v>6553</v>
      </c>
      <c r="D113" s="2" t="s">
        <v>6552</v>
      </c>
      <c r="E113" s="23"/>
      <c r="F113" s="23"/>
      <c r="G113" s="2"/>
      <c r="H113">
        <v>8</v>
      </c>
    </row>
    <row r="114" spans="2:8" x14ac:dyDescent="0.25">
      <c r="B114" s="4">
        <v>46074</v>
      </c>
      <c r="C114" s="2" t="s">
        <v>6564</v>
      </c>
      <c r="D114" s="2"/>
      <c r="E114" s="23"/>
      <c r="F114" s="23"/>
      <c r="G114" s="2"/>
    </row>
    <row r="115" spans="2:8" x14ac:dyDescent="0.25">
      <c r="B115" s="4">
        <v>46075</v>
      </c>
      <c r="C115" s="2" t="s">
        <v>6563</v>
      </c>
      <c r="D115" s="2"/>
      <c r="E115" s="23"/>
      <c r="F115" s="23"/>
      <c r="G115" s="2"/>
    </row>
    <row r="116" spans="2:8" x14ac:dyDescent="0.25">
      <c r="B116" s="4">
        <v>46076</v>
      </c>
      <c r="C116" s="2" t="s">
        <v>6577</v>
      </c>
      <c r="D116" s="2" t="s">
        <v>6578</v>
      </c>
      <c r="E116" s="23"/>
      <c r="F116" s="23"/>
      <c r="G116" s="2"/>
    </row>
    <row r="117" spans="2:8" x14ac:dyDescent="0.25">
      <c r="B117" s="4">
        <v>46077</v>
      </c>
      <c r="C117" s="72" t="s">
        <v>6586</v>
      </c>
      <c r="D117" s="2"/>
      <c r="E117" s="23"/>
      <c r="F117" s="23"/>
      <c r="G117" s="2"/>
    </row>
    <row r="118" spans="2:8" x14ac:dyDescent="0.25">
      <c r="B118" s="4">
        <v>46078</v>
      </c>
      <c r="C118" s="2" t="s">
        <v>6594</v>
      </c>
      <c r="D118" s="2"/>
      <c r="E118" s="23"/>
      <c r="F118" s="23"/>
      <c r="G118" s="2"/>
    </row>
    <row r="119" spans="2:8" x14ac:dyDescent="0.25">
      <c r="B119" s="4">
        <v>46079</v>
      </c>
      <c r="C119" s="2" t="s">
        <v>6599</v>
      </c>
      <c r="D119" s="2"/>
      <c r="E119" s="23">
        <v>12</v>
      </c>
      <c r="F119" s="23">
        <f>E119-E118</f>
        <v>12</v>
      </c>
      <c r="G119" s="2"/>
    </row>
    <row r="120" spans="2:8" x14ac:dyDescent="0.25">
      <c r="B120" s="4">
        <v>46080</v>
      </c>
      <c r="C120" s="2" t="s">
        <v>6608</v>
      </c>
      <c r="D120" s="2" t="s">
        <v>6609</v>
      </c>
      <c r="E120" s="23">
        <v>24</v>
      </c>
      <c r="F120" s="23">
        <f t="shared" ref="F120:F179" si="2">E120-E119</f>
        <v>12</v>
      </c>
      <c r="G120" s="2"/>
    </row>
    <row r="121" spans="2:8" x14ac:dyDescent="0.25">
      <c r="B121" s="4">
        <v>46081</v>
      </c>
      <c r="C121" s="2" t="s">
        <v>6645</v>
      </c>
      <c r="D121" s="2"/>
      <c r="E121" s="23">
        <v>24</v>
      </c>
      <c r="F121" s="23">
        <f t="shared" si="2"/>
        <v>0</v>
      </c>
      <c r="G121" s="2"/>
    </row>
    <row r="122" spans="2:8" x14ac:dyDescent="0.25">
      <c r="B122" s="4">
        <v>46082</v>
      </c>
      <c r="C122" s="2" t="s">
        <v>6646</v>
      </c>
      <c r="D122" s="2"/>
      <c r="E122" s="23">
        <v>27</v>
      </c>
      <c r="F122" s="23">
        <f t="shared" si="2"/>
        <v>3</v>
      </c>
      <c r="G122" s="2"/>
    </row>
    <row r="123" spans="2:8" x14ac:dyDescent="0.25">
      <c r="B123" s="4">
        <v>46083</v>
      </c>
      <c r="C123" s="2" t="s">
        <v>6659</v>
      </c>
      <c r="D123" s="2"/>
      <c r="E123" s="23">
        <v>30</v>
      </c>
      <c r="F123" s="23">
        <f t="shared" si="2"/>
        <v>3</v>
      </c>
      <c r="G123" s="2"/>
    </row>
    <row r="124" spans="2:8" x14ac:dyDescent="0.25">
      <c r="B124" s="4">
        <v>46084</v>
      </c>
      <c r="C124" s="2" t="s">
        <v>6660</v>
      </c>
      <c r="D124" s="2" t="s">
        <v>6661</v>
      </c>
      <c r="E124" s="23">
        <v>33</v>
      </c>
      <c r="F124" s="23">
        <f t="shared" si="2"/>
        <v>3</v>
      </c>
      <c r="G124" s="2"/>
    </row>
    <row r="125" spans="2:8" x14ac:dyDescent="0.25">
      <c r="B125" s="4">
        <v>46085</v>
      </c>
      <c r="C125" s="2" t="s">
        <v>6662</v>
      </c>
      <c r="D125" s="2" t="s">
        <v>6663</v>
      </c>
      <c r="E125" s="23">
        <v>45</v>
      </c>
      <c r="F125" s="23">
        <f t="shared" si="2"/>
        <v>12</v>
      </c>
      <c r="G125" s="2"/>
    </row>
    <row r="126" spans="2:8" x14ac:dyDescent="0.25">
      <c r="B126" s="4">
        <v>46086</v>
      </c>
      <c r="C126" s="2" t="s">
        <v>6667</v>
      </c>
      <c r="D126" s="2"/>
      <c r="E126" s="23">
        <v>48</v>
      </c>
      <c r="F126" s="23">
        <f t="shared" si="2"/>
        <v>3</v>
      </c>
      <c r="G126" s="2"/>
    </row>
    <row r="127" spans="2:8" x14ac:dyDescent="0.25">
      <c r="B127" s="4">
        <v>46087</v>
      </c>
      <c r="C127" s="2" t="s">
        <v>6672</v>
      </c>
      <c r="D127" s="2"/>
      <c r="E127" s="23">
        <v>51</v>
      </c>
      <c r="F127" s="23">
        <f t="shared" si="2"/>
        <v>3</v>
      </c>
      <c r="G127" s="2"/>
    </row>
    <row r="128" spans="2:8" x14ac:dyDescent="0.25">
      <c r="B128" s="4">
        <v>46088</v>
      </c>
      <c r="C128" s="2" t="s">
        <v>6679</v>
      </c>
      <c r="D128" s="2"/>
      <c r="E128" s="23">
        <v>51</v>
      </c>
      <c r="F128" s="23">
        <f t="shared" si="2"/>
        <v>0</v>
      </c>
      <c r="G128" s="2"/>
    </row>
    <row r="129" spans="2:7" x14ac:dyDescent="0.25">
      <c r="B129" s="4">
        <v>46089</v>
      </c>
      <c r="C129" s="2" t="s">
        <v>6680</v>
      </c>
      <c r="D129" s="2" t="s">
        <v>6681</v>
      </c>
      <c r="E129" s="23">
        <v>54</v>
      </c>
      <c r="F129" s="23">
        <f t="shared" si="2"/>
        <v>3</v>
      </c>
      <c r="G129" s="2"/>
    </row>
    <row r="130" spans="2:7" x14ac:dyDescent="0.25">
      <c r="B130" s="4">
        <v>46090</v>
      </c>
      <c r="C130" s="2" t="s">
        <v>6686</v>
      </c>
      <c r="D130" s="2" t="s">
        <v>6682</v>
      </c>
      <c r="E130" s="23"/>
      <c r="F130" s="23">
        <f t="shared" si="2"/>
        <v>-54</v>
      </c>
      <c r="G130" s="2"/>
    </row>
    <row r="131" spans="2:7" x14ac:dyDescent="0.25">
      <c r="B131" s="4">
        <v>46091</v>
      </c>
      <c r="C131" s="2" t="s">
        <v>6692</v>
      </c>
      <c r="D131" s="2"/>
      <c r="E131" s="23"/>
      <c r="F131" s="23">
        <f t="shared" si="2"/>
        <v>0</v>
      </c>
      <c r="G131" s="2"/>
    </row>
    <row r="132" spans="2:7" x14ac:dyDescent="0.25">
      <c r="B132" s="126"/>
      <c r="C132" s="53"/>
      <c r="D132" s="53"/>
      <c r="E132" s="33"/>
      <c r="F132" s="23">
        <f t="shared" si="2"/>
        <v>0</v>
      </c>
      <c r="G132" s="53"/>
    </row>
    <row r="133" spans="2:7" x14ac:dyDescent="0.25">
      <c r="B133" s="4">
        <v>46111</v>
      </c>
      <c r="C133" s="2" t="s">
        <v>6707</v>
      </c>
      <c r="D133" s="2"/>
      <c r="E133" s="23">
        <v>36</v>
      </c>
      <c r="F133" s="23">
        <f t="shared" si="2"/>
        <v>36</v>
      </c>
      <c r="G133" s="2"/>
    </row>
    <row r="134" spans="2:7" x14ac:dyDescent="0.25">
      <c r="B134" s="4">
        <v>46112</v>
      </c>
      <c r="C134" s="2" t="s">
        <v>6720</v>
      </c>
      <c r="D134" s="2"/>
      <c r="E134" s="23">
        <v>42</v>
      </c>
      <c r="F134" s="23">
        <f t="shared" si="2"/>
        <v>6</v>
      </c>
      <c r="G134" s="2"/>
    </row>
    <row r="135" spans="2:7" x14ac:dyDescent="0.25">
      <c r="B135" s="4">
        <v>46113</v>
      </c>
      <c r="C135" s="2" t="s">
        <v>6717</v>
      </c>
      <c r="D135" s="2" t="s">
        <v>6765</v>
      </c>
      <c r="E135" s="23">
        <v>48</v>
      </c>
      <c r="F135" s="23">
        <f t="shared" si="2"/>
        <v>6</v>
      </c>
      <c r="G135" s="2"/>
    </row>
    <row r="136" spans="2:7" x14ac:dyDescent="0.25">
      <c r="B136" s="4">
        <v>46114</v>
      </c>
      <c r="C136" s="2" t="s">
        <v>6717</v>
      </c>
      <c r="D136" s="2"/>
      <c r="E136" s="23">
        <v>48</v>
      </c>
      <c r="F136" s="23">
        <f t="shared" si="2"/>
        <v>0</v>
      </c>
      <c r="G136" s="2"/>
    </row>
    <row r="137" spans="2:7" x14ac:dyDescent="0.25">
      <c r="B137" s="4">
        <v>46115</v>
      </c>
      <c r="C137" s="2" t="s">
        <v>6766</v>
      </c>
      <c r="D137" s="2"/>
      <c r="E137" s="23">
        <v>57</v>
      </c>
      <c r="F137" s="23">
        <f t="shared" si="2"/>
        <v>9</v>
      </c>
      <c r="G137" s="2"/>
    </row>
    <row r="138" spans="2:7" x14ac:dyDescent="0.25">
      <c r="B138" s="4">
        <v>46116</v>
      </c>
      <c r="C138" s="2" t="s">
        <v>6391</v>
      </c>
      <c r="D138" s="2"/>
      <c r="E138" s="23">
        <v>60</v>
      </c>
      <c r="F138" s="23">
        <f t="shared" si="2"/>
        <v>3</v>
      </c>
      <c r="G138" s="2"/>
    </row>
    <row r="139" spans="2:7" x14ac:dyDescent="0.25">
      <c r="B139" s="4">
        <v>46117</v>
      </c>
      <c r="C139" s="2" t="s">
        <v>6767</v>
      </c>
      <c r="D139" s="2"/>
      <c r="E139" s="23">
        <v>63</v>
      </c>
      <c r="F139" s="23">
        <f t="shared" si="2"/>
        <v>3</v>
      </c>
      <c r="G139" s="2"/>
    </row>
    <row r="140" spans="2:7" x14ac:dyDescent="0.25">
      <c r="B140" s="4">
        <v>46118</v>
      </c>
      <c r="C140" s="2" t="s">
        <v>6768</v>
      </c>
      <c r="D140" s="2"/>
      <c r="E140" s="23">
        <v>65</v>
      </c>
      <c r="F140" s="23">
        <f t="shared" si="2"/>
        <v>2</v>
      </c>
      <c r="G140" s="2"/>
    </row>
    <row r="141" spans="2:7" x14ac:dyDescent="0.25">
      <c r="B141" s="4">
        <v>46119</v>
      </c>
      <c r="C141" s="2" t="s">
        <v>6769</v>
      </c>
      <c r="D141" s="2"/>
      <c r="E141" s="23">
        <v>69</v>
      </c>
      <c r="F141" s="23">
        <f t="shared" si="2"/>
        <v>4</v>
      </c>
      <c r="G141" s="2"/>
    </row>
    <row r="142" spans="2:7" x14ac:dyDescent="0.25">
      <c r="B142" s="4">
        <v>46120</v>
      </c>
      <c r="C142" s="2" t="s">
        <v>6770</v>
      </c>
      <c r="D142" s="2"/>
      <c r="E142" s="23">
        <v>72</v>
      </c>
      <c r="F142" s="23">
        <f t="shared" si="2"/>
        <v>3</v>
      </c>
      <c r="G142" s="2"/>
    </row>
    <row r="143" spans="2:7" x14ac:dyDescent="0.25">
      <c r="B143" s="4">
        <v>46121</v>
      </c>
      <c r="C143" s="2" t="s">
        <v>6771</v>
      </c>
      <c r="D143" s="2"/>
      <c r="E143" s="23">
        <v>74</v>
      </c>
      <c r="F143" s="23">
        <f t="shared" si="2"/>
        <v>2</v>
      </c>
      <c r="G143" s="2"/>
    </row>
    <row r="144" spans="2:7" x14ac:dyDescent="0.25">
      <c r="B144" s="4">
        <v>46122</v>
      </c>
      <c r="C144" s="2" t="s">
        <v>6772</v>
      </c>
      <c r="D144" s="2"/>
      <c r="E144" s="23">
        <v>74</v>
      </c>
      <c r="F144" s="23">
        <f t="shared" si="2"/>
        <v>0</v>
      </c>
      <c r="G144" s="2"/>
    </row>
    <row r="145" spans="2:9" x14ac:dyDescent="0.25">
      <c r="B145" s="4">
        <v>46123</v>
      </c>
      <c r="C145" s="2" t="s">
        <v>6773</v>
      </c>
      <c r="D145" s="2"/>
      <c r="E145" s="23">
        <v>75</v>
      </c>
      <c r="F145" s="23">
        <f t="shared" si="2"/>
        <v>1</v>
      </c>
      <c r="G145" s="2"/>
    </row>
    <row r="146" spans="2:9" x14ac:dyDescent="0.25">
      <c r="B146" s="4">
        <v>46124</v>
      </c>
      <c r="C146" s="2" t="s">
        <v>6774</v>
      </c>
      <c r="D146" s="2"/>
      <c r="E146" s="23">
        <v>79</v>
      </c>
      <c r="F146" s="23">
        <f t="shared" si="2"/>
        <v>4</v>
      </c>
      <c r="G146" s="2"/>
    </row>
    <row r="147" spans="2:9" x14ac:dyDescent="0.25">
      <c r="B147" s="4">
        <v>46125</v>
      </c>
      <c r="C147" s="2" t="s">
        <v>6803</v>
      </c>
      <c r="D147" s="2"/>
      <c r="E147" s="23">
        <v>79.05</v>
      </c>
      <c r="F147" s="23">
        <f t="shared" si="2"/>
        <v>4.9999999999997158E-2</v>
      </c>
      <c r="G147" s="2"/>
    </row>
    <row r="148" spans="2:9" x14ac:dyDescent="0.25">
      <c r="B148" s="4">
        <v>46126</v>
      </c>
      <c r="C148" s="2" t="s">
        <v>6803</v>
      </c>
      <c r="D148" s="2"/>
      <c r="E148" s="23">
        <v>80</v>
      </c>
      <c r="F148" s="23">
        <f t="shared" si="2"/>
        <v>0.95000000000000284</v>
      </c>
      <c r="G148" s="2"/>
    </row>
    <row r="149" spans="2:9" x14ac:dyDescent="0.25">
      <c r="B149" s="4">
        <v>46127</v>
      </c>
      <c r="C149" s="2" t="s">
        <v>6804</v>
      </c>
      <c r="D149" s="2"/>
      <c r="E149" s="23">
        <v>81</v>
      </c>
      <c r="F149" s="23">
        <f t="shared" si="2"/>
        <v>1</v>
      </c>
      <c r="G149" s="2"/>
    </row>
    <row r="150" spans="2:9" x14ac:dyDescent="0.25">
      <c r="B150" s="4">
        <v>46128</v>
      </c>
      <c r="C150" s="2" t="s">
        <v>6805</v>
      </c>
      <c r="D150" s="2"/>
      <c r="E150" s="23">
        <v>84</v>
      </c>
      <c r="F150" s="23">
        <f t="shared" si="2"/>
        <v>3</v>
      </c>
      <c r="G150" s="2"/>
      <c r="H150" t="s">
        <v>1324</v>
      </c>
      <c r="I150" s="24">
        <v>130</v>
      </c>
    </row>
    <row r="151" spans="2:9" x14ac:dyDescent="0.25">
      <c r="B151" s="4">
        <v>46129</v>
      </c>
      <c r="C151" s="2" t="s">
        <v>6823</v>
      </c>
      <c r="D151" s="2"/>
      <c r="E151" s="23">
        <v>86</v>
      </c>
      <c r="F151" s="23">
        <f t="shared" si="2"/>
        <v>2</v>
      </c>
      <c r="G151" s="2"/>
      <c r="H151" t="s">
        <v>6870</v>
      </c>
      <c r="I151" s="24">
        <v>98</v>
      </c>
    </row>
    <row r="152" spans="2:9" x14ac:dyDescent="0.25">
      <c r="B152" s="4">
        <v>46130</v>
      </c>
      <c r="C152" s="2" t="s">
        <v>6824</v>
      </c>
      <c r="D152" s="2"/>
      <c r="E152" s="23">
        <v>89</v>
      </c>
      <c r="F152" s="23">
        <f t="shared" si="2"/>
        <v>3</v>
      </c>
      <c r="G152" s="2"/>
      <c r="H152" t="s">
        <v>6871</v>
      </c>
      <c r="I152" s="24">
        <f>I150-I151</f>
        <v>32</v>
      </c>
    </row>
    <row r="153" spans="2:9" x14ac:dyDescent="0.25">
      <c r="B153" s="4">
        <v>46131</v>
      </c>
      <c r="C153" s="2" t="s">
        <v>6830</v>
      </c>
      <c r="D153" s="2"/>
      <c r="E153" s="23">
        <v>92</v>
      </c>
      <c r="F153" s="23">
        <f t="shared" si="2"/>
        <v>3</v>
      </c>
      <c r="G153" s="2"/>
      <c r="H153" t="s">
        <v>6872</v>
      </c>
      <c r="I153" s="24">
        <v>2</v>
      </c>
    </row>
    <row r="154" spans="2:9" x14ac:dyDescent="0.25">
      <c r="B154" s="4">
        <v>46132</v>
      </c>
      <c r="C154" s="2" t="s">
        <v>6839</v>
      </c>
      <c r="D154" s="2"/>
      <c r="E154" s="23">
        <v>95</v>
      </c>
      <c r="F154" s="23">
        <f t="shared" si="2"/>
        <v>3</v>
      </c>
      <c r="G154" s="2"/>
      <c r="H154" t="s">
        <v>6873</v>
      </c>
      <c r="I154" s="24">
        <f>I152/I153</f>
        <v>16</v>
      </c>
    </row>
    <row r="155" spans="2:9" x14ac:dyDescent="0.25">
      <c r="B155" s="4">
        <v>46133</v>
      </c>
      <c r="C155" s="2" t="s">
        <v>6848</v>
      </c>
      <c r="D155" s="2"/>
      <c r="E155" s="23">
        <v>96</v>
      </c>
      <c r="F155" s="23">
        <f t="shared" si="2"/>
        <v>1</v>
      </c>
      <c r="G155" s="2"/>
    </row>
    <row r="156" spans="2:9" x14ac:dyDescent="0.25">
      <c r="B156" s="4">
        <v>46134</v>
      </c>
      <c r="C156" s="2" t="s">
        <v>6860</v>
      </c>
      <c r="D156" s="2"/>
      <c r="E156" s="23">
        <v>98</v>
      </c>
      <c r="F156" s="23">
        <f t="shared" si="2"/>
        <v>2</v>
      </c>
      <c r="G156" s="2"/>
    </row>
    <row r="157" spans="2:9" x14ac:dyDescent="0.25">
      <c r="B157" s="4">
        <v>46135</v>
      </c>
      <c r="C157" s="2" t="s">
        <v>6881</v>
      </c>
      <c r="D157" s="2"/>
      <c r="E157" s="23">
        <v>99</v>
      </c>
      <c r="F157" s="23">
        <f t="shared" si="2"/>
        <v>1</v>
      </c>
      <c r="G157" s="2"/>
    </row>
    <row r="158" spans="2:9" x14ac:dyDescent="0.25">
      <c r="B158" s="4">
        <v>46136</v>
      </c>
      <c r="C158" s="2" t="s">
        <v>6888</v>
      </c>
      <c r="D158" s="2" t="s">
        <v>6893</v>
      </c>
      <c r="E158" s="23">
        <v>99.5</v>
      </c>
      <c r="F158" s="23">
        <f t="shared" si="2"/>
        <v>0.5</v>
      </c>
      <c r="G158" s="2"/>
    </row>
    <row r="159" spans="2:9" x14ac:dyDescent="0.25">
      <c r="B159" s="4">
        <v>46137</v>
      </c>
      <c r="C159" s="2" t="s">
        <v>6912</v>
      </c>
      <c r="D159" s="2"/>
      <c r="E159" s="23">
        <v>102</v>
      </c>
      <c r="F159" s="23">
        <f t="shared" si="2"/>
        <v>2.5</v>
      </c>
      <c r="G159" s="2"/>
    </row>
    <row r="160" spans="2:9" x14ac:dyDescent="0.25">
      <c r="B160" s="4">
        <v>46138</v>
      </c>
      <c r="C160" s="2" t="s">
        <v>6913</v>
      </c>
      <c r="D160" s="2"/>
      <c r="E160" s="23">
        <v>105</v>
      </c>
      <c r="F160" s="23">
        <f t="shared" si="2"/>
        <v>3</v>
      </c>
      <c r="G160" s="2"/>
    </row>
    <row r="161" spans="2:7" x14ac:dyDescent="0.25">
      <c r="B161" s="4">
        <v>46139</v>
      </c>
      <c r="C161" s="2" t="s">
        <v>6919</v>
      </c>
      <c r="D161" s="2"/>
      <c r="E161" s="23">
        <v>111</v>
      </c>
      <c r="F161" s="23">
        <f t="shared" si="2"/>
        <v>6</v>
      </c>
      <c r="G161" s="2"/>
    </row>
    <row r="162" spans="2:7" x14ac:dyDescent="0.25">
      <c r="B162" s="4">
        <v>46140</v>
      </c>
      <c r="C162" s="2" t="s">
        <v>6935</v>
      </c>
      <c r="D162" s="2"/>
      <c r="E162" s="23">
        <v>117</v>
      </c>
      <c r="F162" s="23">
        <f t="shared" si="2"/>
        <v>6</v>
      </c>
      <c r="G162" s="2"/>
    </row>
    <row r="163" spans="2:7" x14ac:dyDescent="0.25">
      <c r="B163" s="4">
        <v>46141</v>
      </c>
      <c r="C163" s="2" t="s">
        <v>6942</v>
      </c>
      <c r="D163" s="2"/>
      <c r="E163" s="23">
        <v>120</v>
      </c>
      <c r="F163" s="23">
        <f t="shared" si="2"/>
        <v>3</v>
      </c>
      <c r="G163" s="2"/>
    </row>
    <row r="164" spans="2:7" x14ac:dyDescent="0.25">
      <c r="B164" s="4">
        <v>46142</v>
      </c>
      <c r="C164" s="2" t="s">
        <v>6944</v>
      </c>
      <c r="D164" s="2"/>
      <c r="E164" s="23">
        <v>123</v>
      </c>
      <c r="F164" s="23">
        <f t="shared" si="2"/>
        <v>3</v>
      </c>
      <c r="G164" s="2"/>
    </row>
    <row r="165" spans="2:7" x14ac:dyDescent="0.25">
      <c r="B165" s="4">
        <v>46143</v>
      </c>
      <c r="C165" s="2" t="s">
        <v>6943</v>
      </c>
      <c r="D165" s="2"/>
      <c r="E165" s="23">
        <v>126</v>
      </c>
      <c r="F165" s="23">
        <f t="shared" si="2"/>
        <v>3</v>
      </c>
      <c r="G165" s="2"/>
    </row>
    <row r="166" spans="2:7" x14ac:dyDescent="0.25">
      <c r="B166" s="4">
        <v>46144</v>
      </c>
      <c r="C166" s="2" t="s">
        <v>6947</v>
      </c>
      <c r="D166" s="2"/>
      <c r="E166" s="23">
        <v>129</v>
      </c>
      <c r="F166" s="23">
        <f t="shared" si="2"/>
        <v>3</v>
      </c>
      <c r="G166" s="2"/>
    </row>
    <row r="167" spans="2:7" x14ac:dyDescent="0.25">
      <c r="B167" s="4">
        <v>46145</v>
      </c>
      <c r="C167" s="2" t="s">
        <v>6948</v>
      </c>
      <c r="D167" s="2"/>
      <c r="E167" s="23">
        <v>132</v>
      </c>
      <c r="F167" s="23">
        <f t="shared" si="2"/>
        <v>3</v>
      </c>
      <c r="G167" s="2"/>
    </row>
    <row r="168" spans="2:7" x14ac:dyDescent="0.25">
      <c r="B168" s="4">
        <v>46146</v>
      </c>
      <c r="C168" s="2" t="s">
        <v>6964</v>
      </c>
      <c r="D168" s="2"/>
      <c r="E168" s="23">
        <v>132</v>
      </c>
      <c r="F168" s="23">
        <f t="shared" si="2"/>
        <v>0</v>
      </c>
      <c r="G168" s="2"/>
    </row>
    <row r="169" spans="2:7" x14ac:dyDescent="0.25">
      <c r="B169" s="4">
        <v>46147</v>
      </c>
      <c r="C169" s="2" t="s">
        <v>6964</v>
      </c>
      <c r="D169" s="2"/>
      <c r="E169" s="23">
        <v>132</v>
      </c>
      <c r="F169" s="23">
        <f t="shared" si="2"/>
        <v>0</v>
      </c>
      <c r="G169" s="2"/>
    </row>
    <row r="170" spans="2:7" x14ac:dyDescent="0.25">
      <c r="B170" s="4">
        <v>46148</v>
      </c>
      <c r="C170" s="2" t="s">
        <v>5831</v>
      </c>
      <c r="D170" s="2"/>
      <c r="E170" s="23">
        <v>132</v>
      </c>
      <c r="F170" s="23">
        <f t="shared" si="2"/>
        <v>0</v>
      </c>
      <c r="G170" s="2"/>
    </row>
    <row r="171" spans="2:7" x14ac:dyDescent="0.25">
      <c r="B171" s="4">
        <v>46149</v>
      </c>
      <c r="C171" s="2" t="s">
        <v>6978</v>
      </c>
      <c r="D171" s="2"/>
      <c r="E171" s="23">
        <v>132</v>
      </c>
      <c r="F171" s="23">
        <f t="shared" si="2"/>
        <v>0</v>
      </c>
      <c r="G171" s="2"/>
    </row>
    <row r="172" spans="2:7" x14ac:dyDescent="0.25">
      <c r="B172" s="4">
        <v>46150</v>
      </c>
      <c r="C172" s="2" t="s">
        <v>6995</v>
      </c>
      <c r="D172" s="2" t="s">
        <v>6996</v>
      </c>
      <c r="E172" s="23">
        <v>70</v>
      </c>
      <c r="F172" s="23">
        <f t="shared" si="2"/>
        <v>-62</v>
      </c>
      <c r="G172" s="2"/>
    </row>
    <row r="173" spans="2:7" x14ac:dyDescent="0.25">
      <c r="B173" s="4">
        <v>46151</v>
      </c>
      <c r="C173" s="2" t="s">
        <v>7013</v>
      </c>
      <c r="D173" s="2"/>
      <c r="E173" s="23">
        <v>100</v>
      </c>
      <c r="F173" s="23">
        <f t="shared" si="2"/>
        <v>30</v>
      </c>
      <c r="G173" s="2"/>
    </row>
    <row r="174" spans="2:7" x14ac:dyDescent="0.25">
      <c r="B174" s="4">
        <v>46152</v>
      </c>
      <c r="C174" s="2" t="s">
        <v>7014</v>
      </c>
      <c r="D174" s="2"/>
      <c r="E174" s="23">
        <v>115</v>
      </c>
      <c r="F174" s="23">
        <f t="shared" si="2"/>
        <v>15</v>
      </c>
      <c r="G174" s="2"/>
    </row>
    <row r="175" spans="2:7" x14ac:dyDescent="0.25">
      <c r="B175" s="4">
        <v>46153</v>
      </c>
      <c r="C175" s="2" t="s">
        <v>7018</v>
      </c>
      <c r="D175" s="2"/>
      <c r="E175" s="23">
        <v>125</v>
      </c>
      <c r="F175" s="23">
        <f t="shared" si="2"/>
        <v>10</v>
      </c>
      <c r="G175" s="2"/>
    </row>
    <row r="176" spans="2:7" x14ac:dyDescent="0.25">
      <c r="B176" s="4">
        <v>46154</v>
      </c>
      <c r="C176" s="2" t="s">
        <v>7025</v>
      </c>
      <c r="D176" s="2" t="s">
        <v>7026</v>
      </c>
      <c r="E176" s="23">
        <v>60</v>
      </c>
      <c r="F176" s="23">
        <f t="shared" si="2"/>
        <v>-65</v>
      </c>
      <c r="G176" s="2"/>
    </row>
    <row r="177" spans="2:7" x14ac:dyDescent="0.25">
      <c r="B177" s="4">
        <v>46155</v>
      </c>
      <c r="C177" s="2" t="s">
        <v>7018</v>
      </c>
      <c r="D177" s="2"/>
      <c r="E177" s="23">
        <v>125</v>
      </c>
      <c r="F177" s="23">
        <f t="shared" si="2"/>
        <v>65</v>
      </c>
      <c r="G177" s="2"/>
    </row>
    <row r="178" spans="2:7" x14ac:dyDescent="0.25">
      <c r="B178" s="4">
        <v>46156</v>
      </c>
      <c r="C178" s="2" t="s">
        <v>5054</v>
      </c>
      <c r="D178" s="2"/>
      <c r="E178" s="23"/>
      <c r="F178" s="23">
        <f t="shared" si="2"/>
        <v>-125</v>
      </c>
      <c r="G178" s="2"/>
    </row>
    <row r="179" spans="2:7" x14ac:dyDescent="0.25">
      <c r="B179" s="4">
        <v>46157</v>
      </c>
      <c r="C179" s="2" t="s">
        <v>7053</v>
      </c>
      <c r="D179" s="2"/>
      <c r="E179" s="23"/>
      <c r="F179" s="23">
        <f t="shared" si="2"/>
        <v>0</v>
      </c>
      <c r="G179" s="2"/>
    </row>
    <row r="180" spans="2:7" x14ac:dyDescent="0.25">
      <c r="B180" s="4">
        <v>46158</v>
      </c>
      <c r="C180" s="2" t="s">
        <v>7058</v>
      </c>
      <c r="D180" s="2" t="s">
        <v>7059</v>
      </c>
      <c r="E180" s="23"/>
      <c r="F180" s="23"/>
      <c r="G180" s="2"/>
    </row>
    <row r="181" spans="2:7" x14ac:dyDescent="0.25">
      <c r="B181" s="4">
        <v>46159</v>
      </c>
      <c r="C181" s="2" t="s">
        <v>7060</v>
      </c>
      <c r="D181" s="2" t="s">
        <v>7061</v>
      </c>
      <c r="E181" s="23"/>
      <c r="F181" s="23"/>
      <c r="G181" s="2"/>
    </row>
    <row r="182" spans="2:7" x14ac:dyDescent="0.25">
      <c r="B182" s="4">
        <v>46160</v>
      </c>
      <c r="C182" s="2" t="s">
        <v>5403</v>
      </c>
      <c r="D182" s="2"/>
      <c r="E182" s="23"/>
      <c r="F182" s="23"/>
      <c r="G182" s="2"/>
    </row>
    <row r="183" spans="2:7" x14ac:dyDescent="0.25">
      <c r="B183" s="4">
        <v>46161</v>
      </c>
      <c r="C183" s="2" t="s">
        <v>7070</v>
      </c>
      <c r="D183" s="2"/>
      <c r="E183" s="23"/>
      <c r="F183" s="23"/>
      <c r="G183" s="2"/>
    </row>
    <row r="184" spans="2:7" x14ac:dyDescent="0.25">
      <c r="B184" s="4">
        <v>46162</v>
      </c>
      <c r="C184" s="2" t="s">
        <v>7082</v>
      </c>
      <c r="D184" s="2"/>
      <c r="E184" s="23"/>
      <c r="F184" s="23"/>
      <c r="G184" s="2"/>
    </row>
    <row r="185" spans="2:7" x14ac:dyDescent="0.25">
      <c r="B185" s="4">
        <v>46163</v>
      </c>
      <c r="C185" s="2" t="s">
        <v>7092</v>
      </c>
      <c r="D185" s="2"/>
      <c r="E185" s="23"/>
      <c r="F185" s="23"/>
      <c r="G185" s="2"/>
    </row>
    <row r="186" spans="2:7" x14ac:dyDescent="0.25">
      <c r="B186" s="4">
        <v>46164</v>
      </c>
      <c r="C186" s="2" t="s">
        <v>7097</v>
      </c>
      <c r="D186" s="2" t="s">
        <v>7096</v>
      </c>
      <c r="E186" s="23"/>
      <c r="F186" s="23"/>
      <c r="G186" s="2"/>
    </row>
    <row r="187" spans="2:7" x14ac:dyDescent="0.25">
      <c r="B187" s="4">
        <v>46165</v>
      </c>
      <c r="C187" s="2" t="s">
        <v>7101</v>
      </c>
      <c r="D187" s="2" t="s">
        <v>7102</v>
      </c>
      <c r="E187" s="23"/>
      <c r="F187" s="23"/>
      <c r="G187" s="2"/>
    </row>
    <row r="188" spans="2:7" x14ac:dyDescent="0.25">
      <c r="B188" s="4">
        <v>46166</v>
      </c>
      <c r="C188" s="2" t="s">
        <v>7103</v>
      </c>
      <c r="D188" s="2" t="s">
        <v>7104</v>
      </c>
      <c r="E188" s="23"/>
      <c r="F188" s="23"/>
      <c r="G188" s="2"/>
    </row>
    <row r="189" spans="2:7" x14ac:dyDescent="0.25">
      <c r="B189" s="4">
        <v>46167</v>
      </c>
      <c r="C189" s="72" t="s">
        <v>7129</v>
      </c>
      <c r="D189" s="2" t="s">
        <v>7104</v>
      </c>
      <c r="E189" s="23"/>
      <c r="F189" s="23"/>
      <c r="G189" s="2"/>
    </row>
    <row r="190" spans="2:7" x14ac:dyDescent="0.25">
      <c r="B190" s="4">
        <v>46168</v>
      </c>
      <c r="C190" s="2" t="s">
        <v>7132</v>
      </c>
      <c r="D190" s="2"/>
      <c r="E190" s="23"/>
      <c r="F190" s="23"/>
      <c r="G190" s="2"/>
    </row>
    <row r="191" spans="2:7" x14ac:dyDescent="0.25">
      <c r="B191" s="4">
        <v>46169</v>
      </c>
      <c r="C191" s="2" t="s">
        <v>7133</v>
      </c>
      <c r="D191" s="2"/>
      <c r="E191" s="23"/>
      <c r="F191" s="23"/>
      <c r="G191" s="2"/>
    </row>
    <row r="192" spans="2:7" x14ac:dyDescent="0.25">
      <c r="B192" s="4">
        <v>46170</v>
      </c>
      <c r="C192" s="2" t="s">
        <v>7134</v>
      </c>
      <c r="D192" s="2"/>
      <c r="E192" s="23"/>
      <c r="F192" s="23"/>
      <c r="G192" s="2"/>
    </row>
    <row r="193" spans="2:9" x14ac:dyDescent="0.25">
      <c r="B193" s="4">
        <v>46171</v>
      </c>
      <c r="C193" s="2" t="s">
        <v>5054</v>
      </c>
      <c r="D193" s="2"/>
      <c r="E193" s="23"/>
      <c r="F193" s="23"/>
      <c r="G193" s="2"/>
    </row>
    <row r="194" spans="2:9" x14ac:dyDescent="0.25">
      <c r="B194" s="4">
        <v>46172</v>
      </c>
      <c r="C194" s="2" t="s">
        <v>5686</v>
      </c>
      <c r="D194" s="2"/>
      <c r="E194" s="23"/>
      <c r="F194" s="23"/>
      <c r="G194" s="2"/>
    </row>
    <row r="195" spans="2:9" x14ac:dyDescent="0.25">
      <c r="B195" s="4">
        <v>46173</v>
      </c>
      <c r="C195" s="2" t="s">
        <v>7150</v>
      </c>
      <c r="D195" s="2"/>
      <c r="E195" s="23"/>
      <c r="F195" s="23"/>
      <c r="G195" s="2"/>
    </row>
    <row r="196" spans="2:9" x14ac:dyDescent="0.25">
      <c r="B196" s="4">
        <v>46174</v>
      </c>
      <c r="C196" s="16" t="s">
        <v>7652</v>
      </c>
      <c r="D196" s="2"/>
      <c r="E196" s="23"/>
      <c r="F196" s="23"/>
      <c r="G196" s="2"/>
    </row>
    <row r="197" spans="2:9" x14ac:dyDescent="0.25">
      <c r="B197" s="4">
        <v>46175</v>
      </c>
      <c r="C197" s="72" t="s">
        <v>7165</v>
      </c>
      <c r="D197" s="2"/>
      <c r="E197" s="23"/>
      <c r="F197" s="23"/>
      <c r="G197" s="2"/>
    </row>
    <row r="198" spans="2:9" x14ac:dyDescent="0.25">
      <c r="B198" s="4">
        <v>46176</v>
      </c>
      <c r="C198" s="2" t="s">
        <v>7167</v>
      </c>
      <c r="D198" s="2"/>
      <c r="E198" s="23"/>
      <c r="F198" s="23"/>
      <c r="G198" s="2"/>
    </row>
    <row r="199" spans="2:9" x14ac:dyDescent="0.25">
      <c r="B199" s="4">
        <v>46177</v>
      </c>
      <c r="C199" s="2" t="s">
        <v>7176</v>
      </c>
      <c r="D199" s="2"/>
      <c r="E199" s="23"/>
      <c r="F199" s="23"/>
      <c r="G199" s="2"/>
    </row>
    <row r="200" spans="2:9" x14ac:dyDescent="0.25">
      <c r="B200" s="4">
        <v>46178</v>
      </c>
      <c r="C200" s="2" t="s">
        <v>7177</v>
      </c>
      <c r="D200" s="2"/>
      <c r="E200" s="23"/>
      <c r="F200" s="23"/>
      <c r="G200" s="2"/>
    </row>
    <row r="201" spans="2:9" s="76" customFormat="1" x14ac:dyDescent="0.25">
      <c r="B201" s="126">
        <v>46179</v>
      </c>
      <c r="C201" s="53" t="s">
        <v>7184</v>
      </c>
      <c r="D201" s="53"/>
      <c r="E201" s="33"/>
      <c r="F201" s="33"/>
      <c r="G201" s="53"/>
      <c r="I201" s="160"/>
    </row>
    <row r="202" spans="2:9" x14ac:dyDescent="0.25">
      <c r="B202" s="4">
        <v>46180</v>
      </c>
      <c r="C202" s="2" t="s">
        <v>7194</v>
      </c>
      <c r="D202" s="2"/>
      <c r="E202" s="23"/>
      <c r="F202" s="23"/>
      <c r="G202" s="2"/>
    </row>
    <row r="203" spans="2:9" x14ac:dyDescent="0.25">
      <c r="B203" s="4">
        <v>46181</v>
      </c>
      <c r="C203" s="2" t="s">
        <v>7197</v>
      </c>
      <c r="D203" s="2" t="s">
        <v>7228</v>
      </c>
      <c r="E203" s="23">
        <v>9</v>
      </c>
      <c r="F203" s="23">
        <f>E203-E202</f>
        <v>9</v>
      </c>
      <c r="G203" s="2"/>
    </row>
    <row r="204" spans="2:9" x14ac:dyDescent="0.25">
      <c r="B204" s="4">
        <v>46182</v>
      </c>
      <c r="C204" s="2" t="s">
        <v>7207</v>
      </c>
      <c r="D204" s="2" t="s">
        <v>7227</v>
      </c>
      <c r="E204" s="23">
        <v>15</v>
      </c>
      <c r="F204" s="23">
        <f t="shared" ref="F204:F228" si="3">E204-E203</f>
        <v>6</v>
      </c>
      <c r="G204" s="2"/>
    </row>
    <row r="205" spans="2:9" x14ac:dyDescent="0.25">
      <c r="B205" s="4">
        <v>46183</v>
      </c>
      <c r="C205" s="2" t="s">
        <v>7208</v>
      </c>
      <c r="D205" s="2" t="s">
        <v>7226</v>
      </c>
      <c r="E205" s="23">
        <v>17</v>
      </c>
      <c r="F205" s="23">
        <f t="shared" si="3"/>
        <v>2</v>
      </c>
      <c r="G205" s="2"/>
    </row>
    <row r="206" spans="2:9" x14ac:dyDescent="0.25">
      <c r="B206" s="4">
        <v>46184</v>
      </c>
      <c r="C206" s="2" t="s">
        <v>7215</v>
      </c>
      <c r="D206" s="2" t="s">
        <v>7226</v>
      </c>
      <c r="E206" s="23">
        <v>21</v>
      </c>
      <c r="F206" s="23">
        <f t="shared" si="3"/>
        <v>4</v>
      </c>
      <c r="G206" s="2"/>
    </row>
    <row r="207" spans="2:9" x14ac:dyDescent="0.25">
      <c r="B207" s="4">
        <v>46185</v>
      </c>
      <c r="C207" s="2" t="s">
        <v>7225</v>
      </c>
      <c r="D207" s="2" t="s">
        <v>7226</v>
      </c>
      <c r="E207" s="23">
        <v>24</v>
      </c>
      <c r="F207" s="23">
        <f t="shared" si="3"/>
        <v>3</v>
      </c>
      <c r="G207" s="2"/>
    </row>
    <row r="208" spans="2:9" x14ac:dyDescent="0.25">
      <c r="B208" s="4">
        <v>46186</v>
      </c>
      <c r="C208" s="2" t="s">
        <v>7230</v>
      </c>
      <c r="D208" s="2" t="s">
        <v>7232</v>
      </c>
      <c r="E208" s="23">
        <v>33</v>
      </c>
      <c r="F208" s="23">
        <f t="shared" si="3"/>
        <v>9</v>
      </c>
      <c r="G208" s="2"/>
    </row>
    <row r="209" spans="2:7" x14ac:dyDescent="0.25">
      <c r="B209" s="4">
        <v>46187</v>
      </c>
      <c r="C209" s="2" t="s">
        <v>7231</v>
      </c>
      <c r="D209" s="2" t="s">
        <v>7232</v>
      </c>
      <c r="E209" s="23">
        <v>42</v>
      </c>
      <c r="F209" s="23">
        <f t="shared" si="3"/>
        <v>9</v>
      </c>
      <c r="G209" s="2"/>
    </row>
    <row r="210" spans="2:7" x14ac:dyDescent="0.25">
      <c r="B210" s="4">
        <v>46188</v>
      </c>
      <c r="C210" s="2" t="s">
        <v>7241</v>
      </c>
      <c r="D210" s="2" t="s">
        <v>7242</v>
      </c>
      <c r="E210" s="23">
        <v>54</v>
      </c>
      <c r="F210" s="23">
        <f t="shared" si="3"/>
        <v>12</v>
      </c>
      <c r="G210" s="2"/>
    </row>
    <row r="211" spans="2:7" x14ac:dyDescent="0.25">
      <c r="B211" s="4">
        <v>46189</v>
      </c>
      <c r="C211" s="2" t="s">
        <v>7243</v>
      </c>
      <c r="D211" s="2" t="s">
        <v>7242</v>
      </c>
      <c r="E211" s="23">
        <v>60</v>
      </c>
      <c r="F211" s="23">
        <f t="shared" si="3"/>
        <v>6</v>
      </c>
      <c r="G211" s="2"/>
    </row>
    <row r="212" spans="2:7" x14ac:dyDescent="0.25">
      <c r="B212" s="4">
        <v>46190</v>
      </c>
      <c r="C212" s="2" t="s">
        <v>7253</v>
      </c>
      <c r="D212" s="2" t="s">
        <v>7255</v>
      </c>
      <c r="E212" s="23">
        <v>63</v>
      </c>
      <c r="F212" s="23">
        <f t="shared" si="3"/>
        <v>3</v>
      </c>
      <c r="G212" s="2"/>
    </row>
    <row r="213" spans="2:7" x14ac:dyDescent="0.25">
      <c r="B213" s="4">
        <v>46191</v>
      </c>
      <c r="C213" s="2" t="s">
        <v>7259</v>
      </c>
      <c r="D213" s="2" t="s">
        <v>7260</v>
      </c>
      <c r="E213" s="23">
        <v>65</v>
      </c>
      <c r="F213" s="23">
        <f t="shared" si="3"/>
        <v>2</v>
      </c>
      <c r="G213" s="2"/>
    </row>
    <row r="214" spans="2:7" x14ac:dyDescent="0.25">
      <c r="B214" s="4">
        <v>46192</v>
      </c>
      <c r="C214" s="2" t="s">
        <v>7262</v>
      </c>
      <c r="D214" s="2" t="s">
        <v>7242</v>
      </c>
      <c r="E214" s="23">
        <v>67</v>
      </c>
      <c r="F214" s="23">
        <f t="shared" si="3"/>
        <v>2</v>
      </c>
      <c r="G214" s="2"/>
    </row>
    <row r="215" spans="2:7" x14ac:dyDescent="0.25">
      <c r="B215" s="4">
        <v>46193</v>
      </c>
      <c r="C215" s="2" t="s">
        <v>7271</v>
      </c>
      <c r="D215" s="2" t="s">
        <v>7242</v>
      </c>
      <c r="E215" s="23">
        <v>69</v>
      </c>
      <c r="F215" s="23">
        <f t="shared" si="3"/>
        <v>2</v>
      </c>
      <c r="G215" s="2"/>
    </row>
    <row r="216" spans="2:7" x14ac:dyDescent="0.25">
      <c r="B216" s="4">
        <v>46194</v>
      </c>
      <c r="C216" s="2" t="s">
        <v>7272</v>
      </c>
      <c r="D216" s="2" t="s">
        <v>7242</v>
      </c>
      <c r="E216" s="23">
        <v>72</v>
      </c>
      <c r="F216" s="23">
        <f t="shared" si="3"/>
        <v>3</v>
      </c>
      <c r="G216" s="2"/>
    </row>
    <row r="217" spans="2:7" x14ac:dyDescent="0.25">
      <c r="B217" s="4">
        <v>46195</v>
      </c>
      <c r="C217" s="2" t="s">
        <v>7281</v>
      </c>
      <c r="D217" s="2" t="s">
        <v>7282</v>
      </c>
      <c r="E217" s="23">
        <v>81</v>
      </c>
      <c r="F217" s="23">
        <f t="shared" si="3"/>
        <v>9</v>
      </c>
      <c r="G217" s="2"/>
    </row>
    <row r="218" spans="2:7" x14ac:dyDescent="0.25">
      <c r="B218" s="4">
        <v>46196</v>
      </c>
      <c r="C218" s="2" t="s">
        <v>7287</v>
      </c>
      <c r="D218" s="2" t="s">
        <v>7288</v>
      </c>
      <c r="E218" s="23">
        <v>84</v>
      </c>
      <c r="F218" s="23">
        <f t="shared" si="3"/>
        <v>3</v>
      </c>
      <c r="G218" s="2"/>
    </row>
    <row r="219" spans="2:7" x14ac:dyDescent="0.25">
      <c r="B219" s="4">
        <v>46197</v>
      </c>
      <c r="C219" s="2" t="s">
        <v>7297</v>
      </c>
      <c r="D219" s="2" t="s">
        <v>7298</v>
      </c>
      <c r="E219" s="23">
        <v>87</v>
      </c>
      <c r="F219" s="23">
        <f t="shared" si="3"/>
        <v>3</v>
      </c>
      <c r="G219" s="2"/>
    </row>
    <row r="220" spans="2:7" x14ac:dyDescent="0.25">
      <c r="B220" s="4">
        <v>46198</v>
      </c>
      <c r="C220" s="2" t="s">
        <v>7301</v>
      </c>
      <c r="D220" s="2" t="s">
        <v>7282</v>
      </c>
      <c r="E220" s="23">
        <v>96</v>
      </c>
      <c r="F220" s="23">
        <f t="shared" si="3"/>
        <v>9</v>
      </c>
      <c r="G220" s="2"/>
    </row>
    <row r="221" spans="2:7" x14ac:dyDescent="0.25">
      <c r="B221" s="4">
        <v>46199</v>
      </c>
      <c r="C221" s="2" t="s">
        <v>7314</v>
      </c>
      <c r="D221" s="2" t="s">
        <v>7282</v>
      </c>
      <c r="E221" s="23">
        <v>105</v>
      </c>
      <c r="F221" s="23">
        <f t="shared" si="3"/>
        <v>9</v>
      </c>
      <c r="G221" s="2"/>
    </row>
    <row r="222" spans="2:7" x14ac:dyDescent="0.25">
      <c r="B222" s="4">
        <v>46200</v>
      </c>
      <c r="C222" s="2" t="s">
        <v>7316</v>
      </c>
      <c r="D222" s="2" t="s">
        <v>7317</v>
      </c>
      <c r="E222" s="23">
        <v>108</v>
      </c>
      <c r="F222" s="23">
        <f t="shared" si="3"/>
        <v>3</v>
      </c>
      <c r="G222" s="2"/>
    </row>
    <row r="223" spans="2:7" x14ac:dyDescent="0.25">
      <c r="B223" s="4">
        <v>46201</v>
      </c>
      <c r="C223" s="2" t="s">
        <v>7318</v>
      </c>
      <c r="D223" s="2" t="s">
        <v>7242</v>
      </c>
      <c r="E223" s="23">
        <v>111</v>
      </c>
      <c r="F223" s="23">
        <f t="shared" si="3"/>
        <v>3</v>
      </c>
      <c r="G223" s="2"/>
    </row>
    <row r="224" spans="2:7" x14ac:dyDescent="0.25">
      <c r="B224" s="4">
        <v>46202</v>
      </c>
      <c r="C224" s="2" t="s">
        <v>7330</v>
      </c>
      <c r="D224" s="2" t="s">
        <v>7242</v>
      </c>
      <c r="E224" s="23">
        <v>117</v>
      </c>
      <c r="F224" s="23">
        <f t="shared" si="3"/>
        <v>6</v>
      </c>
      <c r="G224" s="2"/>
    </row>
    <row r="225" spans="2:9" x14ac:dyDescent="0.25">
      <c r="B225" s="4">
        <v>46203</v>
      </c>
      <c r="C225" s="2" t="s">
        <v>7336</v>
      </c>
      <c r="D225" s="2" t="s">
        <v>7242</v>
      </c>
      <c r="E225" s="23">
        <v>121</v>
      </c>
      <c r="F225" s="23">
        <f t="shared" si="3"/>
        <v>4</v>
      </c>
      <c r="G225" s="2"/>
    </row>
    <row r="226" spans="2:9" x14ac:dyDescent="0.25">
      <c r="B226" s="4">
        <v>46204</v>
      </c>
      <c r="C226" s="2" t="s">
        <v>7338</v>
      </c>
      <c r="D226" s="2" t="s">
        <v>7242</v>
      </c>
      <c r="E226" s="23">
        <v>126</v>
      </c>
      <c r="F226" s="23">
        <f t="shared" si="3"/>
        <v>5</v>
      </c>
      <c r="G226" s="2"/>
    </row>
    <row r="227" spans="2:9" x14ac:dyDescent="0.25">
      <c r="B227" s="4">
        <v>46205</v>
      </c>
      <c r="C227" s="2" t="s">
        <v>7344</v>
      </c>
      <c r="D227" s="2"/>
      <c r="E227" s="23"/>
      <c r="F227" s="23">
        <f t="shared" si="3"/>
        <v>-126</v>
      </c>
      <c r="G227" s="2"/>
    </row>
    <row r="228" spans="2:9" x14ac:dyDescent="0.25">
      <c r="B228" s="4">
        <v>46206</v>
      </c>
      <c r="C228" s="2" t="s">
        <v>7349</v>
      </c>
      <c r="D228" s="2"/>
      <c r="E228" s="23"/>
      <c r="F228" s="23">
        <f t="shared" si="3"/>
        <v>0</v>
      </c>
      <c r="G228" s="2"/>
    </row>
    <row r="229" spans="2:9" x14ac:dyDescent="0.25">
      <c r="B229" s="4">
        <v>46207</v>
      </c>
      <c r="C229" s="2" t="s">
        <v>7352</v>
      </c>
      <c r="D229" s="2"/>
      <c r="E229" s="23"/>
      <c r="F229" s="23"/>
      <c r="G229" s="2"/>
    </row>
    <row r="230" spans="2:9" x14ac:dyDescent="0.25">
      <c r="B230" s="4">
        <v>46208</v>
      </c>
      <c r="C230" s="2" t="s">
        <v>7352</v>
      </c>
      <c r="D230" s="2"/>
      <c r="E230" s="23"/>
      <c r="F230" s="23"/>
      <c r="G230" s="2"/>
    </row>
    <row r="231" spans="2:9" x14ac:dyDescent="0.25">
      <c r="B231" s="4">
        <v>46209</v>
      </c>
      <c r="C231" s="2" t="s">
        <v>7352</v>
      </c>
      <c r="D231" s="2"/>
      <c r="E231" s="23"/>
      <c r="F231" s="23"/>
      <c r="G231" s="2"/>
    </row>
    <row r="232" spans="2:9" x14ac:dyDescent="0.25">
      <c r="B232" s="4">
        <v>46210</v>
      </c>
      <c r="C232" s="2" t="s">
        <v>7352</v>
      </c>
      <c r="D232" s="2"/>
      <c r="E232" s="23"/>
      <c r="F232" s="23"/>
      <c r="G232" s="2"/>
    </row>
    <row r="233" spans="2:9" x14ac:dyDescent="0.25">
      <c r="B233" s="4">
        <v>46211</v>
      </c>
      <c r="C233" s="2" t="s">
        <v>7370</v>
      </c>
      <c r="D233" s="2"/>
      <c r="E233" s="23"/>
      <c r="F233" s="23"/>
      <c r="G233" s="2"/>
      <c r="H233">
        <v>19</v>
      </c>
    </row>
    <row r="234" spans="2:9" x14ac:dyDescent="0.25">
      <c r="B234" s="4">
        <v>46212</v>
      </c>
      <c r="C234" s="2" t="s">
        <v>7371</v>
      </c>
      <c r="D234" s="2" t="s">
        <v>7365</v>
      </c>
      <c r="E234" s="23"/>
      <c r="F234" s="23"/>
      <c r="G234" s="2"/>
      <c r="H234">
        <v>22</v>
      </c>
    </row>
    <row r="235" spans="2:9" ht="45" x14ac:dyDescent="0.25">
      <c r="B235" s="5">
        <v>46213</v>
      </c>
      <c r="C235" s="30" t="s">
        <v>7381</v>
      </c>
      <c r="D235" s="2"/>
      <c r="E235" s="23"/>
      <c r="F235" s="23"/>
      <c r="G235" s="2"/>
      <c r="H235">
        <v>25</v>
      </c>
    </row>
    <row r="236" spans="2:9" x14ac:dyDescent="0.25">
      <c r="B236" s="4">
        <v>46214</v>
      </c>
      <c r="C236" s="2" t="s">
        <v>7390</v>
      </c>
      <c r="D236" s="2"/>
      <c r="E236" s="23"/>
      <c r="F236" s="23"/>
      <c r="G236" s="2"/>
    </row>
    <row r="237" spans="2:9" ht="30" x14ac:dyDescent="0.25">
      <c r="B237" s="4">
        <v>46215</v>
      </c>
      <c r="C237" s="30" t="s">
        <v>7391</v>
      </c>
      <c r="D237" s="2"/>
      <c r="E237" s="23"/>
      <c r="F237" s="23"/>
      <c r="G237" s="2"/>
      <c r="H237">
        <v>25</v>
      </c>
    </row>
    <row r="238" spans="2:9" x14ac:dyDescent="0.25">
      <c r="B238" s="4">
        <v>46216</v>
      </c>
      <c r="C238" s="30" t="s">
        <v>7403</v>
      </c>
      <c r="D238" s="2"/>
      <c r="E238" s="23"/>
      <c r="F238" s="23"/>
      <c r="G238" s="2"/>
      <c r="H238">
        <v>26</v>
      </c>
    </row>
    <row r="239" spans="2:9" x14ac:dyDescent="0.25">
      <c r="B239" s="4">
        <v>46217</v>
      </c>
      <c r="C239" s="2" t="s">
        <v>7405</v>
      </c>
      <c r="D239" s="2"/>
      <c r="E239" s="23"/>
      <c r="F239" s="23"/>
      <c r="G239" s="2"/>
      <c r="I239" s="24">
        <v>30</v>
      </c>
    </row>
    <row r="240" spans="2:9" x14ac:dyDescent="0.25">
      <c r="B240" s="4">
        <v>46218</v>
      </c>
      <c r="C240" s="2" t="s">
        <v>7489</v>
      </c>
      <c r="D240" s="2" t="s">
        <v>7462</v>
      </c>
      <c r="E240" s="23"/>
      <c r="F240" s="23"/>
      <c r="G240" s="2"/>
    </row>
    <row r="241" spans="2:7" x14ac:dyDescent="0.25">
      <c r="B241" s="4">
        <v>46219</v>
      </c>
      <c r="C241" s="2" t="s">
        <v>7490</v>
      </c>
      <c r="D241" s="2"/>
      <c r="E241" s="23"/>
      <c r="F241" s="23"/>
      <c r="G241" s="2"/>
    </row>
    <row r="242" spans="2:7" ht="30" x14ac:dyDescent="0.25">
      <c r="B242" s="5">
        <v>46220</v>
      </c>
      <c r="C242" s="30" t="s">
        <v>7497</v>
      </c>
      <c r="D242" s="2"/>
      <c r="E242" s="23"/>
      <c r="F242" s="23"/>
      <c r="G242" s="2"/>
    </row>
    <row r="243" spans="2:7" x14ac:dyDescent="0.25">
      <c r="B243" s="4">
        <v>46221</v>
      </c>
      <c r="C243" s="2" t="s">
        <v>7575</v>
      </c>
      <c r="D243" s="2"/>
      <c r="E243" s="23"/>
      <c r="F243" s="23"/>
      <c r="G243" s="2"/>
    </row>
    <row r="244" spans="2:7" x14ac:dyDescent="0.25">
      <c r="B244" s="4">
        <v>46222</v>
      </c>
      <c r="C244" s="2" t="s">
        <v>4616</v>
      </c>
      <c r="D244" s="115" t="s">
        <v>7206</v>
      </c>
      <c r="E244" s="23"/>
      <c r="F244" s="23"/>
      <c r="G244" s="2"/>
    </row>
    <row r="245" spans="2:7" x14ac:dyDescent="0.25">
      <c r="B245" s="4">
        <v>46223</v>
      </c>
      <c r="C245" s="2" t="s">
        <v>7596</v>
      </c>
      <c r="D245" s="2" t="s">
        <v>7597</v>
      </c>
      <c r="E245" s="23"/>
      <c r="F245" s="23"/>
      <c r="G245" s="2"/>
    </row>
    <row r="246" spans="2:7" x14ac:dyDescent="0.25">
      <c r="B246" s="4">
        <v>46224</v>
      </c>
      <c r="C246" s="2" t="s">
        <v>2355</v>
      </c>
      <c r="D246" s="2" t="s">
        <v>7602</v>
      </c>
      <c r="E246" s="23"/>
      <c r="F246" s="23"/>
      <c r="G246" s="2"/>
    </row>
    <row r="247" spans="2:7" x14ac:dyDescent="0.25">
      <c r="B247" s="4">
        <v>46225</v>
      </c>
      <c r="C247" s="72" t="s">
        <v>7610</v>
      </c>
      <c r="D247" s="2" t="s">
        <v>7611</v>
      </c>
      <c r="E247" s="23"/>
      <c r="F247" s="23"/>
      <c r="G247" s="2"/>
    </row>
    <row r="248" spans="2:7" x14ac:dyDescent="0.25">
      <c r="B248" s="4">
        <v>46226</v>
      </c>
      <c r="C248" s="2" t="s">
        <v>7626</v>
      </c>
      <c r="D248" s="2"/>
      <c r="E248" s="23"/>
      <c r="F248" s="23"/>
      <c r="G248" s="2"/>
    </row>
    <row r="249" spans="2:7" x14ac:dyDescent="0.25">
      <c r="B249" s="4">
        <v>46227</v>
      </c>
      <c r="C249" s="2" t="s">
        <v>7627</v>
      </c>
      <c r="D249" s="2"/>
      <c r="E249" s="23"/>
      <c r="F249" s="23"/>
      <c r="G249" s="2"/>
    </row>
    <row r="250" spans="2:7" x14ac:dyDescent="0.25">
      <c r="B250" s="4">
        <v>46228</v>
      </c>
      <c r="C250" s="2" t="s">
        <v>5054</v>
      </c>
      <c r="D250" s="2" t="s">
        <v>7630</v>
      </c>
      <c r="E250" s="23"/>
      <c r="F250" s="23"/>
      <c r="G250" s="2"/>
    </row>
    <row r="251" spans="2:7" x14ac:dyDescent="0.25">
      <c r="B251" s="4">
        <v>46229</v>
      </c>
      <c r="C251" s="2" t="s">
        <v>5054</v>
      </c>
      <c r="D251" s="2"/>
      <c r="E251" s="23"/>
      <c r="F251" s="23"/>
      <c r="G251" s="2"/>
    </row>
    <row r="252" spans="2:7" x14ac:dyDescent="0.25">
      <c r="B252" s="4">
        <v>46230</v>
      </c>
      <c r="C252" s="2" t="s">
        <v>5054</v>
      </c>
      <c r="D252" s="2"/>
      <c r="E252" s="23"/>
      <c r="F252" s="23"/>
      <c r="G252" s="2"/>
    </row>
    <row r="253" spans="2:7" x14ac:dyDescent="0.25">
      <c r="B253" s="4">
        <v>46231</v>
      </c>
      <c r="C253" s="2"/>
      <c r="D253" s="2"/>
      <c r="E253" s="23"/>
      <c r="F253" s="23"/>
      <c r="G253" s="2"/>
    </row>
    <row r="254" spans="2:7" x14ac:dyDescent="0.25">
      <c r="B254" s="4">
        <v>46232</v>
      </c>
      <c r="C254" s="2"/>
      <c r="D254" s="2"/>
      <c r="E254" s="23"/>
      <c r="F254" s="23"/>
      <c r="G254" s="2"/>
    </row>
    <row r="255" spans="2:7" x14ac:dyDescent="0.25">
      <c r="B255" s="4">
        <v>46233</v>
      </c>
      <c r="C255" s="2"/>
      <c r="D255" s="2"/>
      <c r="E255" s="23"/>
      <c r="F255" s="23"/>
      <c r="G255" s="2"/>
    </row>
    <row r="256" spans="2:7" x14ac:dyDescent="0.25">
      <c r="B256" s="4">
        <v>46234</v>
      </c>
      <c r="C256" s="2"/>
      <c r="D256" s="2"/>
      <c r="E256" s="23"/>
      <c r="F256" s="23"/>
      <c r="G256" s="2"/>
    </row>
    <row r="257" spans="2:7" x14ac:dyDescent="0.25">
      <c r="B257" s="4">
        <v>46235</v>
      </c>
      <c r="C257" s="2"/>
      <c r="D257" s="2"/>
      <c r="E257" s="23"/>
      <c r="F257" s="23"/>
      <c r="G257" s="2"/>
    </row>
    <row r="258" spans="2:7" x14ac:dyDescent="0.25">
      <c r="B258" s="4">
        <v>46236</v>
      </c>
      <c r="C258" s="2"/>
      <c r="D258" s="2"/>
      <c r="E258" s="23"/>
      <c r="F258" s="23"/>
      <c r="G258" s="2"/>
    </row>
    <row r="259" spans="2:7" x14ac:dyDescent="0.25">
      <c r="B259" s="4">
        <v>46237</v>
      </c>
      <c r="C259" s="2"/>
      <c r="D259" s="2"/>
      <c r="E259" s="23"/>
      <c r="F259" s="23"/>
      <c r="G259" s="2"/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01352-40C1-4107-AED9-FCF2588B26C5}">
  <dimension ref="B1:K29"/>
  <sheetViews>
    <sheetView topLeftCell="A16" workbookViewId="0">
      <selection activeCell="H10" sqref="H10"/>
    </sheetView>
  </sheetViews>
  <sheetFormatPr defaultRowHeight="15" x14ac:dyDescent="0.25"/>
  <cols>
    <col min="2" max="2" width="9.140625" style="24"/>
    <col min="3" max="3" width="35.140625" bestFit="1" customWidth="1"/>
    <col min="4" max="4" width="9.140625" style="24"/>
    <col min="7" max="7" width="14.140625" customWidth="1"/>
    <col min="8" max="8" width="40" bestFit="1" customWidth="1"/>
  </cols>
  <sheetData>
    <row r="1" spans="2:11" x14ac:dyDescent="0.25">
      <c r="B1" s="24" t="s">
        <v>1093</v>
      </c>
      <c r="C1" t="s">
        <v>6448</v>
      </c>
      <c r="D1" s="24" t="s">
        <v>6449</v>
      </c>
      <c r="E1" t="s">
        <v>6450</v>
      </c>
    </row>
    <row r="2" spans="2:11" x14ac:dyDescent="0.25">
      <c r="B2" s="24">
        <v>1</v>
      </c>
      <c r="C2" t="s">
        <v>6451</v>
      </c>
      <c r="D2" s="24">
        <v>1</v>
      </c>
      <c r="E2">
        <v>5000000</v>
      </c>
      <c r="H2" t="s">
        <v>6454</v>
      </c>
    </row>
    <row r="3" spans="2:11" x14ac:dyDescent="0.25">
      <c r="B3" s="24">
        <v>2</v>
      </c>
      <c r="C3" t="s">
        <v>6452</v>
      </c>
      <c r="E3">
        <v>4500000</v>
      </c>
      <c r="H3" t="s">
        <v>6455</v>
      </c>
    </row>
    <row r="4" spans="2:11" x14ac:dyDescent="0.25">
      <c r="B4" s="24">
        <v>3</v>
      </c>
      <c r="C4" t="s">
        <v>6453</v>
      </c>
      <c r="E4">
        <v>10000000</v>
      </c>
      <c r="H4" t="s">
        <v>6456</v>
      </c>
    </row>
    <row r="5" spans="2:11" x14ac:dyDescent="0.25">
      <c r="B5" s="24">
        <v>4</v>
      </c>
    </row>
    <row r="6" spans="2:11" x14ac:dyDescent="0.25">
      <c r="B6" s="24">
        <v>5</v>
      </c>
    </row>
    <row r="7" spans="2:11" x14ac:dyDescent="0.25">
      <c r="B7" s="24">
        <v>6</v>
      </c>
    </row>
    <row r="8" spans="2:11" x14ac:dyDescent="0.25">
      <c r="B8" s="24">
        <v>7</v>
      </c>
    </row>
    <row r="11" spans="2:11" x14ac:dyDescent="0.25">
      <c r="B11" s="24" t="s">
        <v>1093</v>
      </c>
      <c r="C11" t="s">
        <v>6611</v>
      </c>
      <c r="D11" t="s">
        <v>1067</v>
      </c>
      <c r="E11" t="s">
        <v>1068</v>
      </c>
      <c r="F11" t="s">
        <v>6612</v>
      </c>
      <c r="J11" t="s">
        <v>6448</v>
      </c>
      <c r="K11" t="s">
        <v>1762</v>
      </c>
    </row>
    <row r="12" spans="2:11" x14ac:dyDescent="0.25">
      <c r="B12" s="24">
        <v>1</v>
      </c>
      <c r="C12" t="s">
        <v>4059</v>
      </c>
      <c r="D12" t="s">
        <v>6613</v>
      </c>
      <c r="F12" t="s">
        <v>1766</v>
      </c>
      <c r="J12" t="s">
        <v>6613</v>
      </c>
      <c r="K12" t="s">
        <v>1766</v>
      </c>
    </row>
    <row r="13" spans="2:11" x14ac:dyDescent="0.25">
      <c r="B13" s="24">
        <v>2</v>
      </c>
      <c r="C13" t="s">
        <v>6614</v>
      </c>
      <c r="D13" t="s">
        <v>6613</v>
      </c>
      <c r="E13" t="s">
        <v>6615</v>
      </c>
      <c r="F13" t="s">
        <v>1766</v>
      </c>
      <c r="J13" t="s">
        <v>6618</v>
      </c>
      <c r="K13" t="s">
        <v>6631</v>
      </c>
    </row>
    <row r="14" spans="2:11" x14ac:dyDescent="0.25">
      <c r="B14" s="24">
        <v>3</v>
      </c>
      <c r="C14" t="s">
        <v>6616</v>
      </c>
      <c r="D14" t="s">
        <v>6613</v>
      </c>
      <c r="E14" t="s">
        <v>6615</v>
      </c>
      <c r="F14" t="s">
        <v>1766</v>
      </c>
      <c r="J14" t="s">
        <v>6615</v>
      </c>
      <c r="K14" t="s">
        <v>1767</v>
      </c>
    </row>
    <row r="15" spans="2:11" x14ac:dyDescent="0.25">
      <c r="B15" s="24">
        <v>4</v>
      </c>
      <c r="C15" t="s">
        <v>6617</v>
      </c>
      <c r="D15" t="s">
        <v>6618</v>
      </c>
      <c r="E15" t="s">
        <v>6613</v>
      </c>
      <c r="F15" t="s">
        <v>1766</v>
      </c>
      <c r="J15" t="s">
        <v>6452</v>
      </c>
    </row>
    <row r="16" spans="2:11" x14ac:dyDescent="0.25">
      <c r="B16" s="24">
        <v>5</v>
      </c>
      <c r="C16" t="s">
        <v>6619</v>
      </c>
      <c r="D16" t="s">
        <v>6618</v>
      </c>
      <c r="E16" t="s">
        <v>6613</v>
      </c>
      <c r="F16" t="s">
        <v>1766</v>
      </c>
      <c r="J16" t="s">
        <v>6632</v>
      </c>
    </row>
    <row r="17" spans="2:10" x14ac:dyDescent="0.25">
      <c r="B17" s="24">
        <v>6</v>
      </c>
      <c r="C17" t="s">
        <v>6620</v>
      </c>
      <c r="D17" t="s">
        <v>6618</v>
      </c>
      <c r="E17" t="s">
        <v>6613</v>
      </c>
      <c r="F17" t="s">
        <v>1766</v>
      </c>
      <c r="J17" t="s">
        <v>6633</v>
      </c>
    </row>
    <row r="18" spans="2:10" x14ac:dyDescent="0.25">
      <c r="B18" s="24">
        <v>7</v>
      </c>
      <c r="C18" t="s">
        <v>6621</v>
      </c>
      <c r="D18" t="s">
        <v>6613</v>
      </c>
      <c r="E18" t="s">
        <v>6615</v>
      </c>
      <c r="F18" t="s">
        <v>1766</v>
      </c>
      <c r="J18" t="s">
        <v>6634</v>
      </c>
    </row>
    <row r="19" spans="2:10" x14ac:dyDescent="0.25">
      <c r="B19" s="24">
        <v>8</v>
      </c>
      <c r="C19" t="s">
        <v>6622</v>
      </c>
      <c r="D19" t="s">
        <v>6613</v>
      </c>
      <c r="E19" t="s">
        <v>6615</v>
      </c>
      <c r="F19" t="s">
        <v>1766</v>
      </c>
    </row>
    <row r="20" spans="2:10" x14ac:dyDescent="0.25">
      <c r="B20" s="24">
        <v>9</v>
      </c>
      <c r="C20" t="s">
        <v>6623</v>
      </c>
      <c r="D20" t="s">
        <v>6618</v>
      </c>
      <c r="F20" t="s">
        <v>1766</v>
      </c>
      <c r="G20" t="s">
        <v>6624</v>
      </c>
    </row>
    <row r="21" spans="2:10" x14ac:dyDescent="0.25">
      <c r="B21" s="24">
        <v>10</v>
      </c>
      <c r="C21" t="s">
        <v>6625</v>
      </c>
      <c r="D21" t="s">
        <v>6613</v>
      </c>
      <c r="E21" t="s">
        <v>6615</v>
      </c>
      <c r="F21" t="s">
        <v>1766</v>
      </c>
    </row>
    <row r="22" spans="2:10" x14ac:dyDescent="0.25">
      <c r="B22" s="24">
        <v>11</v>
      </c>
      <c r="C22" t="s">
        <v>6626</v>
      </c>
      <c r="D22" t="s">
        <v>6613</v>
      </c>
      <c r="E22" t="s">
        <v>6615</v>
      </c>
      <c r="F22" t="s">
        <v>1766</v>
      </c>
    </row>
    <row r="23" spans="2:10" x14ac:dyDescent="0.25">
      <c r="B23" s="24">
        <v>12</v>
      </c>
      <c r="C23" t="s">
        <v>6627</v>
      </c>
      <c r="D23" t="s">
        <v>6613</v>
      </c>
      <c r="E23" t="s">
        <v>6615</v>
      </c>
    </row>
    <row r="24" spans="2:10" x14ac:dyDescent="0.25">
      <c r="B24" s="24">
        <v>13</v>
      </c>
      <c r="C24" t="s">
        <v>6628</v>
      </c>
      <c r="D24" t="s">
        <v>6613</v>
      </c>
      <c r="E24" t="s">
        <v>6615</v>
      </c>
    </row>
    <row r="25" spans="2:10" x14ac:dyDescent="0.25">
      <c r="B25" s="24">
        <v>14</v>
      </c>
      <c r="C25" t="s">
        <v>6629</v>
      </c>
      <c r="D25" t="s">
        <v>6613</v>
      </c>
      <c r="E25" t="s">
        <v>6615</v>
      </c>
    </row>
    <row r="26" spans="2:10" x14ac:dyDescent="0.25">
      <c r="B26" s="24">
        <v>15</v>
      </c>
      <c r="C26" t="s">
        <v>6630</v>
      </c>
      <c r="D26" t="s">
        <v>6613</v>
      </c>
      <c r="E26" t="s">
        <v>6615</v>
      </c>
    </row>
    <row r="27" spans="2:10" x14ac:dyDescent="0.25">
      <c r="B27" s="24">
        <v>16</v>
      </c>
      <c r="D27"/>
    </row>
    <row r="28" spans="2:10" x14ac:dyDescent="0.25">
      <c r="D28"/>
    </row>
    <row r="29" spans="2:10" x14ac:dyDescent="0.25">
      <c r="C29" t="s">
        <v>6635</v>
      </c>
      <c r="D29" t="s">
        <v>6632</v>
      </c>
      <c r="G29" t="s">
        <v>6636</v>
      </c>
    </row>
  </sheetData>
  <dataValidations count="2">
    <dataValidation type="list" allowBlank="1" showInputMessage="1" showErrorMessage="1" sqref="D12:E29" xr:uid="{7B91FA72-82FD-451C-BB1E-FC12CD8F1F5E}">
      <formula1>$J$11:$J$13</formula1>
    </dataValidation>
    <dataValidation type="list" allowBlank="1" showInputMessage="1" showErrorMessage="1" sqref="F23:F28" xr:uid="{E085C039-B6B1-4813-8B5F-42AC910486D1}">
      <formula1>$J$3:$J$6</formula1>
    </dataValidation>
  </dataValidations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4223E-7E91-4A43-BCF2-7548D56F9151}">
  <dimension ref="B2:G155"/>
  <sheetViews>
    <sheetView topLeftCell="A138" zoomScaleNormal="100" workbookViewId="0">
      <selection activeCell="D154" sqref="D154"/>
    </sheetView>
  </sheetViews>
  <sheetFormatPr defaultRowHeight="15" x14ac:dyDescent="0.25"/>
  <cols>
    <col min="2" max="2" width="19.5703125" customWidth="1"/>
    <col min="3" max="3" width="72" bestFit="1" customWidth="1"/>
    <col min="4" max="4" width="42.140625" bestFit="1" customWidth="1"/>
    <col min="5" max="5" width="11.85546875" bestFit="1" customWidth="1"/>
    <col min="6" max="6" width="8.42578125" bestFit="1" customWidth="1"/>
    <col min="7" max="7" width="11" bestFit="1" customWidth="1"/>
  </cols>
  <sheetData>
    <row r="2" spans="2:7" x14ac:dyDescent="0.25">
      <c r="B2" s="144" t="s">
        <v>6093</v>
      </c>
    </row>
    <row r="3" spans="2:7" ht="15.75" x14ac:dyDescent="0.25">
      <c r="B3" s="10" t="s">
        <v>0</v>
      </c>
      <c r="C3" s="11" t="s">
        <v>1</v>
      </c>
      <c r="D3" s="11" t="s">
        <v>2</v>
      </c>
      <c r="E3" s="11" t="s">
        <v>934</v>
      </c>
      <c r="F3" s="11" t="s">
        <v>1095</v>
      </c>
      <c r="G3" s="11" t="s">
        <v>1507</v>
      </c>
    </row>
    <row r="4" spans="2:7" x14ac:dyDescent="0.25">
      <c r="B4" s="4">
        <v>46001</v>
      </c>
      <c r="C4" s="2" t="s">
        <v>6094</v>
      </c>
      <c r="D4" s="2"/>
      <c r="E4" s="23"/>
      <c r="F4" s="2"/>
      <c r="G4" s="2"/>
    </row>
    <row r="5" spans="2:7" x14ac:dyDescent="0.25">
      <c r="B5" s="4">
        <v>46002</v>
      </c>
      <c r="C5" s="2" t="s">
        <v>6101</v>
      </c>
      <c r="D5" s="2"/>
      <c r="E5" s="23"/>
      <c r="F5" s="2"/>
      <c r="G5" s="2"/>
    </row>
    <row r="6" spans="2:7" x14ac:dyDescent="0.25">
      <c r="B6" s="4">
        <v>46003</v>
      </c>
      <c r="C6" s="2" t="s">
        <v>6105</v>
      </c>
      <c r="D6" s="2"/>
      <c r="E6" s="23"/>
      <c r="F6" s="2"/>
      <c r="G6" s="2"/>
    </row>
    <row r="7" spans="2:7" x14ac:dyDescent="0.25">
      <c r="B7" s="4">
        <v>46004</v>
      </c>
      <c r="C7" s="2" t="s">
        <v>6113</v>
      </c>
      <c r="D7" s="58"/>
      <c r="E7" s="23"/>
      <c r="F7" s="2"/>
      <c r="G7" s="2"/>
    </row>
    <row r="8" spans="2:7" x14ac:dyDescent="0.25">
      <c r="B8" s="4">
        <v>46005</v>
      </c>
      <c r="C8" s="2" t="s">
        <v>6118</v>
      </c>
      <c r="D8" s="58"/>
      <c r="E8" s="23"/>
      <c r="F8" s="2"/>
      <c r="G8" s="2"/>
    </row>
    <row r="9" spans="2:7" x14ac:dyDescent="0.25">
      <c r="B9" s="4">
        <v>46006</v>
      </c>
      <c r="C9" s="2" t="s">
        <v>6125</v>
      </c>
      <c r="D9" s="58"/>
      <c r="E9" s="23"/>
      <c r="F9" s="2"/>
      <c r="G9" s="2"/>
    </row>
    <row r="10" spans="2:7" x14ac:dyDescent="0.25">
      <c r="B10" s="4">
        <v>46007</v>
      </c>
      <c r="C10" s="2" t="s">
        <v>6137</v>
      </c>
      <c r="D10" s="2"/>
      <c r="E10" s="23"/>
      <c r="F10" s="2"/>
      <c r="G10" s="2"/>
    </row>
    <row r="11" spans="2:7" x14ac:dyDescent="0.25">
      <c r="B11" s="4">
        <v>46008</v>
      </c>
      <c r="C11" s="2" t="s">
        <v>6137</v>
      </c>
      <c r="D11" s="2"/>
      <c r="E11" s="23"/>
      <c r="F11" s="2"/>
      <c r="G11" s="2"/>
    </row>
    <row r="12" spans="2:7" x14ac:dyDescent="0.25">
      <c r="B12" s="4">
        <v>46009</v>
      </c>
      <c r="C12" s="2" t="s">
        <v>480</v>
      </c>
      <c r="D12" s="2"/>
      <c r="E12" s="23"/>
      <c r="F12" s="2"/>
      <c r="G12" s="2"/>
    </row>
    <row r="13" spans="2:7" x14ac:dyDescent="0.25">
      <c r="B13" s="4">
        <v>46010</v>
      </c>
      <c r="C13" s="2" t="s">
        <v>6162</v>
      </c>
      <c r="D13" s="2"/>
      <c r="E13" s="23"/>
      <c r="F13" s="2"/>
      <c r="G13" s="2"/>
    </row>
    <row r="14" spans="2:7" x14ac:dyDescent="0.25">
      <c r="B14" s="4">
        <v>46011</v>
      </c>
      <c r="C14" s="2" t="s">
        <v>6167</v>
      </c>
      <c r="D14" s="2"/>
      <c r="E14" s="23"/>
      <c r="F14" s="2"/>
      <c r="G14" s="2"/>
    </row>
    <row r="15" spans="2:7" x14ac:dyDescent="0.25">
      <c r="B15" s="4">
        <v>46012</v>
      </c>
      <c r="C15" s="2" t="s">
        <v>6174</v>
      </c>
      <c r="D15" s="2"/>
      <c r="E15" s="23"/>
      <c r="F15" s="2"/>
      <c r="G15" s="2"/>
    </row>
    <row r="16" spans="2:7" x14ac:dyDescent="0.25">
      <c r="B16" s="4">
        <v>46013</v>
      </c>
      <c r="C16" s="2" t="s">
        <v>6188</v>
      </c>
      <c r="D16" s="2"/>
      <c r="E16" s="23"/>
      <c r="F16" s="2"/>
      <c r="G16" s="2"/>
    </row>
    <row r="17" spans="2:7" x14ac:dyDescent="0.25">
      <c r="B17" s="4">
        <v>46014</v>
      </c>
      <c r="C17" s="2" t="s">
        <v>6190</v>
      </c>
      <c r="D17" s="2"/>
      <c r="E17" s="23"/>
      <c r="F17" s="2"/>
      <c r="G17" s="2"/>
    </row>
    <row r="18" spans="2:7" x14ac:dyDescent="0.25">
      <c r="B18" s="4">
        <v>46015</v>
      </c>
      <c r="C18" s="2" t="s">
        <v>6196</v>
      </c>
      <c r="D18" s="2"/>
      <c r="E18" s="2"/>
      <c r="F18" s="2"/>
      <c r="G18" s="2"/>
    </row>
    <row r="19" spans="2:7" x14ac:dyDescent="0.25">
      <c r="B19" s="4">
        <v>46016</v>
      </c>
      <c r="C19" s="2" t="s">
        <v>6210</v>
      </c>
      <c r="D19" s="2"/>
      <c r="E19" s="2"/>
      <c r="F19" s="2"/>
      <c r="G19" s="2"/>
    </row>
    <row r="20" spans="2:7" x14ac:dyDescent="0.25">
      <c r="B20" s="4">
        <v>46017</v>
      </c>
      <c r="C20" s="2" t="s">
        <v>6216</v>
      </c>
      <c r="D20" s="2"/>
      <c r="E20" s="2"/>
      <c r="F20" s="2"/>
      <c r="G20" s="2"/>
    </row>
    <row r="21" spans="2:7" x14ac:dyDescent="0.25">
      <c r="B21" s="4">
        <v>46018</v>
      </c>
      <c r="C21" s="2" t="s">
        <v>6216</v>
      </c>
      <c r="D21" s="2"/>
      <c r="E21" s="2"/>
      <c r="F21" s="2"/>
      <c r="G21" s="2"/>
    </row>
    <row r="22" spans="2:7" x14ac:dyDescent="0.25">
      <c r="B22" s="4">
        <v>46019</v>
      </c>
      <c r="C22" s="2"/>
      <c r="D22" s="2"/>
      <c r="E22" s="2"/>
      <c r="F22" s="2"/>
      <c r="G22" s="2"/>
    </row>
    <row r="23" spans="2:7" x14ac:dyDescent="0.25">
      <c r="B23" s="4">
        <v>46020</v>
      </c>
      <c r="C23" s="2" t="s">
        <v>6232</v>
      </c>
      <c r="D23" s="2"/>
      <c r="E23" s="2"/>
      <c r="F23" s="2"/>
      <c r="G23" s="2"/>
    </row>
    <row r="24" spans="2:7" x14ac:dyDescent="0.25">
      <c r="B24" s="4">
        <v>46021</v>
      </c>
      <c r="C24" s="2" t="s">
        <v>6233</v>
      </c>
      <c r="D24" s="2"/>
      <c r="E24" s="2"/>
      <c r="F24" s="2"/>
      <c r="G24" s="2"/>
    </row>
    <row r="25" spans="2:7" x14ac:dyDescent="0.25">
      <c r="B25" s="4">
        <v>46022</v>
      </c>
      <c r="C25" s="2" t="s">
        <v>6233</v>
      </c>
      <c r="D25" s="2"/>
      <c r="E25" s="2"/>
      <c r="F25" s="2"/>
      <c r="G25" s="2"/>
    </row>
    <row r="26" spans="2:7" x14ac:dyDescent="0.25">
      <c r="B26" s="4">
        <v>46023</v>
      </c>
      <c r="C26" s="2" t="s">
        <v>6247</v>
      </c>
      <c r="D26" s="2"/>
      <c r="E26" s="2"/>
      <c r="F26" s="2"/>
      <c r="G26" s="2"/>
    </row>
    <row r="27" spans="2:7" x14ac:dyDescent="0.25">
      <c r="B27" s="4">
        <v>46024</v>
      </c>
      <c r="C27" s="2" t="s">
        <v>6232</v>
      </c>
      <c r="D27" s="2" t="s">
        <v>6251</v>
      </c>
      <c r="E27" s="2"/>
      <c r="F27" s="2"/>
      <c r="G27" s="2"/>
    </row>
    <row r="28" spans="2:7" x14ac:dyDescent="0.25">
      <c r="B28" s="4">
        <v>46025</v>
      </c>
      <c r="C28" s="2" t="s">
        <v>6258</v>
      </c>
      <c r="D28" s="2"/>
      <c r="E28" s="2"/>
      <c r="F28" s="2"/>
      <c r="G28" s="2"/>
    </row>
    <row r="29" spans="2:7" x14ac:dyDescent="0.25">
      <c r="B29" s="4">
        <v>46026</v>
      </c>
      <c r="C29" s="2" t="s">
        <v>6259</v>
      </c>
      <c r="D29" s="2"/>
      <c r="E29" s="2"/>
      <c r="F29" s="2"/>
      <c r="G29" s="2"/>
    </row>
    <row r="30" spans="2:7" x14ac:dyDescent="0.25">
      <c r="B30" s="4">
        <v>46027</v>
      </c>
      <c r="C30" s="2" t="s">
        <v>6267</v>
      </c>
      <c r="D30" s="2"/>
      <c r="E30" s="2"/>
      <c r="F30" s="2"/>
      <c r="G30" s="2"/>
    </row>
    <row r="31" spans="2:7" x14ac:dyDescent="0.25">
      <c r="B31" s="4">
        <v>46028</v>
      </c>
      <c r="C31" s="2" t="s">
        <v>6271</v>
      </c>
      <c r="D31" s="2"/>
      <c r="E31" s="2"/>
      <c r="F31" s="2"/>
      <c r="G31" s="2"/>
    </row>
    <row r="32" spans="2:7" x14ac:dyDescent="0.25">
      <c r="B32" s="4">
        <v>46029</v>
      </c>
      <c r="C32" s="2" t="s">
        <v>480</v>
      </c>
      <c r="D32" s="2"/>
      <c r="E32" s="2"/>
      <c r="F32" s="2"/>
      <c r="G32" s="2"/>
    </row>
    <row r="33" spans="2:7" x14ac:dyDescent="0.25">
      <c r="B33" s="4">
        <v>46030</v>
      </c>
      <c r="C33" s="2" t="s">
        <v>6278</v>
      </c>
      <c r="D33" s="2"/>
      <c r="E33" s="2"/>
      <c r="F33" s="2"/>
      <c r="G33" s="2"/>
    </row>
    <row r="34" spans="2:7" x14ac:dyDescent="0.25">
      <c r="B34" s="4">
        <v>46031</v>
      </c>
      <c r="C34" s="2" t="s">
        <v>480</v>
      </c>
      <c r="D34" s="2"/>
      <c r="E34" s="2"/>
      <c r="F34" s="2"/>
      <c r="G34" s="2"/>
    </row>
    <row r="35" spans="2:7" x14ac:dyDescent="0.25">
      <c r="B35" s="4">
        <v>46032</v>
      </c>
      <c r="C35" s="2" t="s">
        <v>6302</v>
      </c>
      <c r="D35" s="2"/>
      <c r="E35" s="2"/>
      <c r="F35" s="2"/>
      <c r="G35" s="2"/>
    </row>
    <row r="36" spans="2:7" x14ac:dyDescent="0.25">
      <c r="B36" s="4">
        <v>46033</v>
      </c>
      <c r="C36" s="2" t="s">
        <v>6310</v>
      </c>
      <c r="D36" s="2"/>
      <c r="E36" s="2"/>
      <c r="F36" s="2"/>
      <c r="G36" s="2"/>
    </row>
    <row r="37" spans="2:7" x14ac:dyDescent="0.25">
      <c r="B37" s="4">
        <v>46034</v>
      </c>
      <c r="C37" s="2" t="s">
        <v>6319</v>
      </c>
      <c r="D37" s="2"/>
      <c r="E37" s="2"/>
      <c r="F37" s="2"/>
      <c r="G37" s="2"/>
    </row>
    <row r="38" spans="2:7" x14ac:dyDescent="0.25">
      <c r="B38" s="4">
        <v>46035</v>
      </c>
      <c r="C38" s="2" t="s">
        <v>6322</v>
      </c>
      <c r="D38" s="2"/>
      <c r="E38" s="2"/>
      <c r="F38" s="2"/>
      <c r="G38" s="2"/>
    </row>
    <row r="39" spans="2:7" x14ac:dyDescent="0.25">
      <c r="B39" s="4">
        <v>46036</v>
      </c>
      <c r="C39" s="2" t="s">
        <v>6330</v>
      </c>
      <c r="D39" s="2"/>
      <c r="E39" s="2"/>
      <c r="F39" s="2"/>
      <c r="G39" s="2"/>
    </row>
    <row r="40" spans="2:7" x14ac:dyDescent="0.25">
      <c r="B40" s="4">
        <v>46037</v>
      </c>
      <c r="C40" s="2" t="s">
        <v>480</v>
      </c>
      <c r="D40" s="2"/>
      <c r="E40" s="2"/>
      <c r="F40" s="2"/>
      <c r="G40" s="2"/>
    </row>
    <row r="41" spans="2:7" x14ac:dyDescent="0.25">
      <c r="B41" s="4">
        <v>46038</v>
      </c>
      <c r="C41" s="2" t="s">
        <v>480</v>
      </c>
      <c r="D41" s="2"/>
      <c r="E41" s="2"/>
      <c r="F41" s="2"/>
      <c r="G41" s="2"/>
    </row>
    <row r="42" spans="2:7" x14ac:dyDescent="0.25">
      <c r="B42" s="4">
        <v>46039</v>
      </c>
      <c r="C42" s="2" t="s">
        <v>6349</v>
      </c>
      <c r="D42" s="2"/>
      <c r="E42" s="2"/>
      <c r="F42" s="2"/>
      <c r="G42" s="2"/>
    </row>
    <row r="43" spans="2:7" x14ac:dyDescent="0.25">
      <c r="B43" s="4">
        <v>46040</v>
      </c>
      <c r="C43" s="2" t="s">
        <v>6352</v>
      </c>
      <c r="D43" s="2"/>
      <c r="E43" s="2"/>
      <c r="F43" s="2"/>
      <c r="G43" s="2"/>
    </row>
    <row r="44" spans="2:7" x14ac:dyDescent="0.25">
      <c r="B44" s="4">
        <v>46041</v>
      </c>
      <c r="C44" s="2" t="s">
        <v>6367</v>
      </c>
      <c r="D44" s="2"/>
      <c r="E44" s="2"/>
      <c r="F44" s="2"/>
      <c r="G44" s="2"/>
    </row>
    <row r="45" spans="2:7" x14ac:dyDescent="0.25">
      <c r="B45" s="4">
        <v>46042</v>
      </c>
      <c r="C45" s="2" t="s">
        <v>6368</v>
      </c>
      <c r="D45" s="2"/>
      <c r="E45" s="2"/>
      <c r="F45" s="2"/>
      <c r="G45" s="2"/>
    </row>
    <row r="46" spans="2:7" x14ac:dyDescent="0.25">
      <c r="B46" s="4">
        <v>46043</v>
      </c>
      <c r="C46" s="2" t="s">
        <v>6382</v>
      </c>
      <c r="D46" s="2"/>
      <c r="E46" s="2"/>
      <c r="F46" s="2"/>
      <c r="G46" s="2"/>
    </row>
    <row r="47" spans="2:7" x14ac:dyDescent="0.25">
      <c r="B47" s="4">
        <v>46044</v>
      </c>
      <c r="C47" s="2" t="s">
        <v>480</v>
      </c>
      <c r="D47" s="2"/>
      <c r="E47" s="2"/>
      <c r="F47" s="2"/>
      <c r="G47" s="2"/>
    </row>
    <row r="48" spans="2:7" x14ac:dyDescent="0.25">
      <c r="B48" s="4">
        <v>46045</v>
      </c>
      <c r="C48" s="2" t="s">
        <v>480</v>
      </c>
      <c r="D48" s="2"/>
      <c r="E48" s="2"/>
      <c r="F48" s="2"/>
      <c r="G48" s="2"/>
    </row>
    <row r="49" spans="2:7" x14ac:dyDescent="0.25">
      <c r="B49" s="4">
        <v>46046</v>
      </c>
      <c r="C49" s="2" t="s">
        <v>480</v>
      </c>
      <c r="D49" s="2"/>
      <c r="E49" s="2"/>
      <c r="F49" s="2"/>
      <c r="G49" s="2"/>
    </row>
    <row r="50" spans="2:7" x14ac:dyDescent="0.25">
      <c r="B50" s="4">
        <v>46047</v>
      </c>
      <c r="C50" s="2" t="s">
        <v>480</v>
      </c>
      <c r="D50" s="2"/>
      <c r="E50" s="2"/>
      <c r="F50" s="2"/>
      <c r="G50" s="2"/>
    </row>
    <row r="51" spans="2:7" x14ac:dyDescent="0.25">
      <c r="B51" s="4">
        <v>46048</v>
      </c>
      <c r="C51" s="2" t="s">
        <v>480</v>
      </c>
      <c r="D51" s="2"/>
      <c r="E51" s="2"/>
      <c r="F51" s="2"/>
      <c r="G51" s="2"/>
    </row>
    <row r="52" spans="2:7" x14ac:dyDescent="0.25">
      <c r="B52" s="4">
        <v>46049</v>
      </c>
      <c r="C52" s="2" t="s">
        <v>480</v>
      </c>
      <c r="D52" s="2"/>
      <c r="E52" s="2"/>
      <c r="F52" s="2"/>
      <c r="G52" s="2"/>
    </row>
    <row r="53" spans="2:7" x14ac:dyDescent="0.25">
      <c r="B53" s="4">
        <v>46050</v>
      </c>
      <c r="C53" s="2" t="s">
        <v>480</v>
      </c>
      <c r="D53" s="2"/>
      <c r="E53" s="2"/>
      <c r="F53" s="2"/>
      <c r="G53" s="2"/>
    </row>
    <row r="54" spans="2:7" x14ac:dyDescent="0.25">
      <c r="B54" s="4">
        <v>46051</v>
      </c>
      <c r="C54" s="2" t="s">
        <v>480</v>
      </c>
      <c r="D54" s="2"/>
      <c r="E54" s="2"/>
      <c r="F54" s="2"/>
      <c r="G54" s="2"/>
    </row>
    <row r="55" spans="2:7" x14ac:dyDescent="0.25">
      <c r="B55" s="4">
        <v>46052</v>
      </c>
      <c r="C55" s="2" t="s">
        <v>480</v>
      </c>
      <c r="D55" s="2"/>
      <c r="E55" s="2"/>
      <c r="F55" s="2"/>
      <c r="G55" s="2"/>
    </row>
    <row r="56" spans="2:7" x14ac:dyDescent="0.25">
      <c r="B56" s="4">
        <v>46053</v>
      </c>
      <c r="C56" s="2" t="s">
        <v>480</v>
      </c>
      <c r="D56" s="2"/>
      <c r="E56" s="2"/>
      <c r="F56" s="2"/>
      <c r="G56" s="2"/>
    </row>
    <row r="57" spans="2:7" x14ac:dyDescent="0.25">
      <c r="B57" s="4">
        <v>46054</v>
      </c>
      <c r="C57" s="2" t="s">
        <v>480</v>
      </c>
      <c r="D57" s="2"/>
      <c r="E57" s="2"/>
      <c r="F57" s="2"/>
      <c r="G57" s="2"/>
    </row>
    <row r="58" spans="2:7" x14ac:dyDescent="0.25">
      <c r="B58" s="4">
        <v>46055</v>
      </c>
      <c r="C58" s="2" t="s">
        <v>480</v>
      </c>
      <c r="D58" s="2"/>
      <c r="E58" s="2"/>
      <c r="F58" s="2"/>
      <c r="G58" s="2"/>
    </row>
    <row r="59" spans="2:7" x14ac:dyDescent="0.25">
      <c r="B59" s="4">
        <v>46056</v>
      </c>
      <c r="C59" s="2" t="s">
        <v>480</v>
      </c>
      <c r="D59" s="2"/>
      <c r="E59" s="2"/>
      <c r="F59" s="2"/>
      <c r="G59" s="2"/>
    </row>
    <row r="60" spans="2:7" x14ac:dyDescent="0.25">
      <c r="B60" s="4">
        <v>46057</v>
      </c>
      <c r="C60" s="2" t="s">
        <v>480</v>
      </c>
      <c r="D60" s="2"/>
      <c r="E60" s="2"/>
      <c r="F60" s="2"/>
      <c r="G60" s="2"/>
    </row>
    <row r="61" spans="2:7" x14ac:dyDescent="0.25">
      <c r="B61" s="4">
        <v>46058</v>
      </c>
      <c r="C61" s="2" t="s">
        <v>480</v>
      </c>
      <c r="D61" s="2"/>
      <c r="E61" s="2"/>
      <c r="F61" s="2"/>
      <c r="G61" s="2"/>
    </row>
    <row r="62" spans="2:7" x14ac:dyDescent="0.25">
      <c r="B62" s="4">
        <v>46059</v>
      </c>
      <c r="C62" s="2" t="s">
        <v>480</v>
      </c>
      <c r="D62" s="2"/>
      <c r="E62" s="2"/>
      <c r="F62" s="2"/>
      <c r="G62" s="2"/>
    </row>
    <row r="63" spans="2:7" x14ac:dyDescent="0.25">
      <c r="B63" s="4">
        <v>46060</v>
      </c>
      <c r="C63" s="2" t="s">
        <v>480</v>
      </c>
      <c r="D63" s="2"/>
      <c r="E63" s="2"/>
      <c r="F63" s="2"/>
      <c r="G63" s="2"/>
    </row>
    <row r="64" spans="2:7" x14ac:dyDescent="0.25">
      <c r="B64" s="4">
        <v>46061</v>
      </c>
      <c r="C64" s="2" t="s">
        <v>480</v>
      </c>
      <c r="D64" s="2"/>
      <c r="E64" s="2"/>
      <c r="F64" s="2"/>
      <c r="G64" s="2"/>
    </row>
    <row r="65" spans="2:7" x14ac:dyDescent="0.25">
      <c r="B65" s="4">
        <v>46062</v>
      </c>
      <c r="C65" s="2" t="s">
        <v>480</v>
      </c>
      <c r="D65" s="2"/>
      <c r="E65" s="2"/>
      <c r="F65" s="2"/>
      <c r="G65" s="2"/>
    </row>
    <row r="66" spans="2:7" x14ac:dyDescent="0.25">
      <c r="B66" s="4">
        <v>46063</v>
      </c>
      <c r="C66" s="2" t="s">
        <v>480</v>
      </c>
      <c r="D66" s="2"/>
      <c r="E66" s="2"/>
      <c r="F66" s="2"/>
      <c r="G66" s="2"/>
    </row>
    <row r="67" spans="2:7" x14ac:dyDescent="0.25">
      <c r="B67" s="4">
        <v>46064</v>
      </c>
      <c r="C67" s="2" t="s">
        <v>480</v>
      </c>
      <c r="D67" s="2"/>
      <c r="E67" s="2"/>
      <c r="F67" s="2"/>
      <c r="G67" s="2"/>
    </row>
    <row r="68" spans="2:7" x14ac:dyDescent="0.25">
      <c r="B68" s="4">
        <v>46065</v>
      </c>
      <c r="C68" s="2" t="s">
        <v>480</v>
      </c>
      <c r="D68" s="2"/>
      <c r="E68" s="2"/>
      <c r="F68" s="2"/>
      <c r="G68" s="2"/>
    </row>
    <row r="69" spans="2:7" x14ac:dyDescent="0.25">
      <c r="B69" s="4">
        <v>46066</v>
      </c>
      <c r="C69" s="2" t="s">
        <v>480</v>
      </c>
      <c r="D69" s="2"/>
      <c r="E69" s="2"/>
      <c r="F69" s="2"/>
      <c r="G69" s="2"/>
    </row>
    <row r="70" spans="2:7" x14ac:dyDescent="0.25">
      <c r="B70" s="4">
        <v>46067</v>
      </c>
      <c r="C70" s="2" t="s">
        <v>480</v>
      </c>
      <c r="D70" s="2"/>
      <c r="E70" s="2"/>
      <c r="F70" s="2"/>
      <c r="G70" s="2"/>
    </row>
    <row r="71" spans="2:7" x14ac:dyDescent="0.25">
      <c r="B71" s="4">
        <v>46068</v>
      </c>
      <c r="C71" s="2" t="s">
        <v>480</v>
      </c>
      <c r="D71" s="2"/>
      <c r="E71" s="2"/>
      <c r="F71" s="2"/>
      <c r="G71" s="2"/>
    </row>
    <row r="72" spans="2:7" x14ac:dyDescent="0.25">
      <c r="B72" s="4">
        <v>46069</v>
      </c>
      <c r="C72" s="2" t="s">
        <v>480</v>
      </c>
      <c r="D72" s="2"/>
      <c r="E72" s="2"/>
      <c r="F72" s="2"/>
      <c r="G72" s="2"/>
    </row>
    <row r="73" spans="2:7" x14ac:dyDescent="0.25">
      <c r="B73" s="4">
        <v>46070</v>
      </c>
      <c r="C73" s="2" t="s">
        <v>480</v>
      </c>
      <c r="D73" s="2"/>
      <c r="E73" s="2"/>
      <c r="F73" s="2"/>
      <c r="G73" s="2"/>
    </row>
    <row r="74" spans="2:7" x14ac:dyDescent="0.25">
      <c r="B74" s="4">
        <v>46071</v>
      </c>
      <c r="C74" s="2" t="s">
        <v>480</v>
      </c>
      <c r="D74" s="2"/>
      <c r="E74" s="2"/>
      <c r="F74" s="2"/>
      <c r="G74" s="2"/>
    </row>
    <row r="75" spans="2:7" x14ac:dyDescent="0.25">
      <c r="B75" s="4">
        <v>46072</v>
      </c>
      <c r="C75" s="2" t="s">
        <v>480</v>
      </c>
      <c r="D75" s="2"/>
      <c r="E75" s="2"/>
      <c r="F75" s="2"/>
      <c r="G75" s="2"/>
    </row>
    <row r="76" spans="2:7" x14ac:dyDescent="0.25">
      <c r="B76" s="4">
        <v>46073</v>
      </c>
      <c r="C76" s="2" t="s">
        <v>480</v>
      </c>
      <c r="D76" s="2"/>
      <c r="E76" s="2"/>
      <c r="F76" s="2"/>
      <c r="G76" s="2"/>
    </row>
    <row r="77" spans="2:7" x14ac:dyDescent="0.25">
      <c r="B77" s="4">
        <v>46074</v>
      </c>
      <c r="C77" s="2" t="s">
        <v>480</v>
      </c>
      <c r="D77" s="2"/>
      <c r="E77" s="2"/>
      <c r="F77" s="2"/>
      <c r="G77" s="2"/>
    </row>
    <row r="78" spans="2:7" x14ac:dyDescent="0.25">
      <c r="B78" s="4">
        <v>46075</v>
      </c>
      <c r="C78" s="2" t="s">
        <v>480</v>
      </c>
      <c r="D78" s="2"/>
      <c r="E78" s="2"/>
      <c r="F78" s="2"/>
      <c r="G78" s="2"/>
    </row>
    <row r="79" spans="2:7" x14ac:dyDescent="0.25">
      <c r="B79" s="4">
        <v>46076</v>
      </c>
      <c r="C79" s="2" t="s">
        <v>480</v>
      </c>
      <c r="D79" s="2"/>
      <c r="E79" s="2"/>
      <c r="F79" s="2"/>
      <c r="G79" s="2"/>
    </row>
    <row r="80" spans="2:7" x14ac:dyDescent="0.25">
      <c r="B80" s="4">
        <v>46077</v>
      </c>
      <c r="C80" s="2" t="s">
        <v>480</v>
      </c>
      <c r="D80" s="2"/>
      <c r="E80" s="2"/>
      <c r="F80" s="2"/>
      <c r="G80" s="2"/>
    </row>
    <row r="81" spans="2:7" x14ac:dyDescent="0.25">
      <c r="B81" s="4">
        <v>46078</v>
      </c>
      <c r="C81" s="2" t="s">
        <v>480</v>
      </c>
      <c r="D81" s="2"/>
      <c r="E81" s="2"/>
      <c r="F81" s="2"/>
      <c r="G81" s="2"/>
    </row>
    <row r="82" spans="2:7" x14ac:dyDescent="0.25">
      <c r="B82" s="4">
        <v>46079</v>
      </c>
      <c r="C82" s="2" t="s">
        <v>480</v>
      </c>
      <c r="D82" s="2"/>
      <c r="E82" s="2"/>
      <c r="F82" s="2"/>
      <c r="G82" s="2"/>
    </row>
    <row r="83" spans="2:7" x14ac:dyDescent="0.25">
      <c r="B83" s="4">
        <v>46080</v>
      </c>
      <c r="C83" s="2" t="s">
        <v>480</v>
      </c>
      <c r="D83" s="2"/>
      <c r="E83" s="2"/>
      <c r="F83" s="2"/>
      <c r="G83" s="2"/>
    </row>
    <row r="84" spans="2:7" x14ac:dyDescent="0.25">
      <c r="B84" s="4">
        <v>46081</v>
      </c>
      <c r="C84" s="2" t="s">
        <v>480</v>
      </c>
      <c r="D84" s="2"/>
      <c r="E84" s="2"/>
      <c r="F84" s="2"/>
      <c r="G84" s="2"/>
    </row>
    <row r="85" spans="2:7" x14ac:dyDescent="0.25">
      <c r="B85" s="4">
        <v>46082</v>
      </c>
      <c r="C85" s="2" t="s">
        <v>480</v>
      </c>
      <c r="D85" s="2"/>
      <c r="E85" s="2"/>
      <c r="F85" s="2"/>
      <c r="G85" s="2"/>
    </row>
    <row r="86" spans="2:7" x14ac:dyDescent="0.25">
      <c r="B86" s="4">
        <v>46083</v>
      </c>
      <c r="C86" s="2" t="s">
        <v>480</v>
      </c>
      <c r="D86" s="2"/>
      <c r="E86" s="2"/>
      <c r="F86" s="2"/>
      <c r="G86" s="2"/>
    </row>
    <row r="87" spans="2:7" x14ac:dyDescent="0.25">
      <c r="B87" s="4">
        <v>46084</v>
      </c>
      <c r="C87" s="2" t="s">
        <v>480</v>
      </c>
      <c r="D87" s="2"/>
      <c r="E87" s="2"/>
      <c r="F87" s="2"/>
      <c r="G87" s="2"/>
    </row>
    <row r="88" spans="2:7" x14ac:dyDescent="0.25">
      <c r="B88" s="4">
        <v>46085</v>
      </c>
      <c r="C88" s="2" t="s">
        <v>480</v>
      </c>
      <c r="D88" s="2"/>
      <c r="E88" s="2"/>
      <c r="F88" s="2"/>
      <c r="G88" s="2"/>
    </row>
    <row r="89" spans="2:7" x14ac:dyDescent="0.25">
      <c r="B89" s="4">
        <v>46086</v>
      </c>
      <c r="C89" s="2" t="s">
        <v>480</v>
      </c>
      <c r="D89" s="2"/>
      <c r="E89" s="2"/>
      <c r="F89" s="2"/>
      <c r="G89" s="2"/>
    </row>
    <row r="90" spans="2:7" x14ac:dyDescent="0.25">
      <c r="B90" s="4">
        <v>46087</v>
      </c>
      <c r="C90" s="2" t="s">
        <v>480</v>
      </c>
      <c r="D90" s="2"/>
      <c r="E90" s="2"/>
      <c r="F90" s="2"/>
      <c r="G90" s="2"/>
    </row>
    <row r="91" spans="2:7" x14ac:dyDescent="0.25">
      <c r="B91" s="4">
        <v>46088</v>
      </c>
      <c r="C91" s="2" t="s">
        <v>480</v>
      </c>
      <c r="D91" s="2"/>
      <c r="E91" s="2"/>
      <c r="F91" s="2"/>
      <c r="G91" s="2"/>
    </row>
    <row r="92" spans="2:7" x14ac:dyDescent="0.25">
      <c r="B92" s="4">
        <v>46089</v>
      </c>
      <c r="C92" s="2" t="s">
        <v>480</v>
      </c>
      <c r="D92" s="2"/>
      <c r="E92" s="2"/>
      <c r="F92" s="2"/>
      <c r="G92" s="2"/>
    </row>
    <row r="93" spans="2:7" x14ac:dyDescent="0.25">
      <c r="B93" s="4">
        <v>46090</v>
      </c>
      <c r="C93" s="2" t="s">
        <v>480</v>
      </c>
      <c r="D93" s="2"/>
      <c r="E93" s="2"/>
      <c r="F93" s="2"/>
      <c r="G93" s="2"/>
    </row>
    <row r="94" spans="2:7" x14ac:dyDescent="0.25">
      <c r="B94" s="4">
        <v>46091</v>
      </c>
      <c r="C94" s="2" t="s">
        <v>480</v>
      </c>
      <c r="D94" s="2"/>
      <c r="E94" s="2"/>
      <c r="F94" s="2"/>
      <c r="G94" s="2"/>
    </row>
    <row r="95" spans="2:7" x14ac:dyDescent="0.25">
      <c r="B95" s="4">
        <v>46092</v>
      </c>
      <c r="C95" s="2" t="s">
        <v>480</v>
      </c>
      <c r="D95" s="2"/>
      <c r="E95" s="2"/>
      <c r="F95" s="2"/>
      <c r="G95" s="2"/>
    </row>
    <row r="96" spans="2:7" x14ac:dyDescent="0.25">
      <c r="B96" s="4">
        <v>46093</v>
      </c>
      <c r="C96" s="2" t="s">
        <v>480</v>
      </c>
      <c r="D96" s="2"/>
      <c r="E96" s="2"/>
      <c r="F96" s="2"/>
      <c r="G96" s="2"/>
    </row>
    <row r="97" spans="2:7" x14ac:dyDescent="0.25">
      <c r="B97" s="4">
        <v>46094</v>
      </c>
      <c r="C97" s="2" t="s">
        <v>480</v>
      </c>
      <c r="D97" s="2"/>
      <c r="E97" s="2"/>
      <c r="F97" s="2"/>
      <c r="G97" s="2"/>
    </row>
    <row r="98" spans="2:7" x14ac:dyDescent="0.25">
      <c r="B98" s="4">
        <v>46095</v>
      </c>
      <c r="C98" s="2" t="s">
        <v>480</v>
      </c>
      <c r="D98" s="2"/>
      <c r="E98" s="2"/>
      <c r="F98" s="2"/>
      <c r="G98" s="2"/>
    </row>
    <row r="99" spans="2:7" x14ac:dyDescent="0.25">
      <c r="B99" s="4">
        <v>46096</v>
      </c>
      <c r="C99" s="2" t="s">
        <v>480</v>
      </c>
      <c r="D99" s="2"/>
      <c r="E99" s="2"/>
      <c r="F99" s="2"/>
      <c r="G99" s="2"/>
    </row>
    <row r="100" spans="2:7" x14ac:dyDescent="0.25">
      <c r="B100" s="4">
        <v>46097</v>
      </c>
      <c r="C100" s="2" t="s">
        <v>480</v>
      </c>
      <c r="D100" s="2"/>
      <c r="E100" s="2"/>
      <c r="F100" s="2"/>
      <c r="G100" s="2"/>
    </row>
    <row r="101" spans="2:7" x14ac:dyDescent="0.25">
      <c r="B101" s="4">
        <v>46098</v>
      </c>
      <c r="C101" s="2" t="s">
        <v>480</v>
      </c>
      <c r="D101" s="2"/>
      <c r="E101" s="2"/>
      <c r="F101" s="2"/>
      <c r="G101" s="2"/>
    </row>
    <row r="102" spans="2:7" x14ac:dyDescent="0.25">
      <c r="B102" s="4">
        <v>46099</v>
      </c>
      <c r="C102" s="2" t="s">
        <v>480</v>
      </c>
      <c r="D102" s="2"/>
      <c r="E102" s="2"/>
      <c r="F102" s="2"/>
      <c r="G102" s="2"/>
    </row>
    <row r="103" spans="2:7" x14ac:dyDescent="0.25">
      <c r="B103" s="4">
        <v>46100</v>
      </c>
      <c r="C103" s="2" t="s">
        <v>480</v>
      </c>
      <c r="D103" s="2"/>
      <c r="E103" s="2"/>
      <c r="F103" s="2"/>
      <c r="G103" s="2"/>
    </row>
    <row r="104" spans="2:7" x14ac:dyDescent="0.25">
      <c r="B104" s="4">
        <v>46101</v>
      </c>
      <c r="C104" s="2" t="s">
        <v>480</v>
      </c>
      <c r="D104" s="2"/>
      <c r="E104" s="2"/>
      <c r="F104" s="2"/>
      <c r="G104" s="2"/>
    </row>
    <row r="105" spans="2:7" x14ac:dyDescent="0.25">
      <c r="B105" s="4">
        <v>46102</v>
      </c>
      <c r="C105" s="2" t="s">
        <v>480</v>
      </c>
      <c r="D105" s="2"/>
      <c r="E105" s="2"/>
      <c r="F105" s="2"/>
      <c r="G105" s="2"/>
    </row>
    <row r="106" spans="2:7" x14ac:dyDescent="0.25">
      <c r="B106" s="4">
        <v>46103</v>
      </c>
      <c r="C106" s="2" t="s">
        <v>480</v>
      </c>
      <c r="D106" s="2"/>
      <c r="E106" s="2"/>
      <c r="F106" s="2"/>
      <c r="G106" s="2"/>
    </row>
    <row r="107" spans="2:7" x14ac:dyDescent="0.25">
      <c r="B107" s="4">
        <v>46104</v>
      </c>
      <c r="C107" s="2" t="s">
        <v>480</v>
      </c>
      <c r="D107" s="2"/>
      <c r="E107" s="2"/>
      <c r="F107" s="2"/>
      <c r="G107" s="2"/>
    </row>
    <row r="108" spans="2:7" x14ac:dyDescent="0.25">
      <c r="B108" s="4">
        <v>46105</v>
      </c>
      <c r="C108" s="2" t="s">
        <v>480</v>
      </c>
      <c r="D108" s="2"/>
      <c r="E108" s="2"/>
      <c r="F108" s="2"/>
      <c r="G108" s="2"/>
    </row>
    <row r="109" spans="2:7" x14ac:dyDescent="0.25">
      <c r="B109" s="4">
        <v>46106</v>
      </c>
      <c r="C109" s="2" t="s">
        <v>480</v>
      </c>
      <c r="D109" s="2"/>
      <c r="E109" s="2"/>
      <c r="F109" s="2"/>
      <c r="G109" s="2"/>
    </row>
    <row r="110" spans="2:7" x14ac:dyDescent="0.25">
      <c r="B110" s="4">
        <v>46107</v>
      </c>
      <c r="C110" s="2" t="s">
        <v>480</v>
      </c>
      <c r="D110" s="2"/>
      <c r="E110" s="2"/>
      <c r="F110" s="2"/>
      <c r="G110" s="2"/>
    </row>
    <row r="111" spans="2:7" x14ac:dyDescent="0.25">
      <c r="B111" s="4">
        <v>46108</v>
      </c>
      <c r="C111" s="2" t="s">
        <v>480</v>
      </c>
      <c r="D111" s="2"/>
      <c r="E111" s="2"/>
      <c r="F111" s="2"/>
      <c r="G111" s="2"/>
    </row>
    <row r="112" spans="2:7" x14ac:dyDescent="0.25">
      <c r="B112" s="4">
        <v>46109</v>
      </c>
      <c r="C112" s="2" t="s">
        <v>480</v>
      </c>
      <c r="D112" s="2"/>
      <c r="E112" s="2"/>
      <c r="F112" s="2"/>
      <c r="G112" s="2"/>
    </row>
    <row r="113" spans="2:7" x14ac:dyDescent="0.25">
      <c r="B113" s="4">
        <v>46110</v>
      </c>
      <c r="C113" s="2" t="s">
        <v>480</v>
      </c>
      <c r="D113" s="2"/>
      <c r="E113" s="2"/>
      <c r="F113" s="2"/>
      <c r="G113" s="2"/>
    </row>
    <row r="114" spans="2:7" x14ac:dyDescent="0.25">
      <c r="B114" s="4">
        <v>46111</v>
      </c>
      <c r="C114" s="2" t="s">
        <v>480</v>
      </c>
      <c r="D114" s="2"/>
      <c r="E114" s="2"/>
      <c r="F114" s="2"/>
      <c r="G114" s="2"/>
    </row>
    <row r="115" spans="2:7" x14ac:dyDescent="0.25">
      <c r="B115" s="4">
        <v>46112</v>
      </c>
      <c r="C115" s="2" t="s">
        <v>480</v>
      </c>
      <c r="D115" s="2"/>
      <c r="E115" s="2"/>
      <c r="F115" s="2"/>
      <c r="G115" s="2"/>
    </row>
    <row r="116" spans="2:7" x14ac:dyDescent="0.25">
      <c r="B116" s="4">
        <v>46113</v>
      </c>
      <c r="C116" s="2" t="s">
        <v>6713</v>
      </c>
      <c r="D116" s="2"/>
      <c r="E116" s="2"/>
      <c r="F116" s="2"/>
      <c r="G116" s="2"/>
    </row>
    <row r="117" spans="2:7" x14ac:dyDescent="0.25">
      <c r="B117" s="4">
        <v>46114</v>
      </c>
      <c r="C117" s="2" t="s">
        <v>6722</v>
      </c>
      <c r="D117" s="2"/>
      <c r="E117" s="2"/>
      <c r="F117" s="2"/>
      <c r="G117" s="2"/>
    </row>
    <row r="118" spans="2:7" x14ac:dyDescent="0.25">
      <c r="B118" s="4">
        <v>46115</v>
      </c>
      <c r="C118" s="2" t="s">
        <v>6781</v>
      </c>
      <c r="D118" s="2"/>
      <c r="E118" s="2"/>
      <c r="F118" s="2"/>
      <c r="G118" s="2"/>
    </row>
    <row r="119" spans="2:7" x14ac:dyDescent="0.25">
      <c r="B119" s="4">
        <v>46116</v>
      </c>
      <c r="C119" s="2" t="s">
        <v>6782</v>
      </c>
      <c r="D119" s="2"/>
      <c r="E119" s="2"/>
      <c r="F119" s="2"/>
      <c r="G119" s="2"/>
    </row>
    <row r="120" spans="2:7" x14ac:dyDescent="0.25">
      <c r="B120" s="4">
        <v>46117</v>
      </c>
      <c r="C120" s="2" t="s">
        <v>6783</v>
      </c>
      <c r="D120" s="2"/>
      <c r="E120" s="2"/>
      <c r="F120" s="2"/>
      <c r="G120" s="2"/>
    </row>
    <row r="121" spans="2:7" x14ac:dyDescent="0.25">
      <c r="B121" s="4">
        <v>46118</v>
      </c>
      <c r="C121" s="2" t="s">
        <v>6782</v>
      </c>
      <c r="D121" s="2"/>
      <c r="E121" s="2"/>
      <c r="F121" s="2"/>
      <c r="G121" s="2"/>
    </row>
    <row r="122" spans="2:7" x14ac:dyDescent="0.25">
      <c r="B122" s="4">
        <v>46119</v>
      </c>
      <c r="C122" s="2" t="s">
        <v>6782</v>
      </c>
      <c r="D122" s="2"/>
      <c r="E122" s="2"/>
      <c r="F122" s="2"/>
      <c r="G122" s="2"/>
    </row>
    <row r="123" spans="2:7" x14ac:dyDescent="0.25">
      <c r="B123" s="4">
        <v>46120</v>
      </c>
      <c r="C123" s="2" t="s">
        <v>6782</v>
      </c>
      <c r="D123" s="2"/>
      <c r="E123" s="2"/>
      <c r="F123" s="2"/>
      <c r="G123" s="2"/>
    </row>
    <row r="124" spans="2:7" x14ac:dyDescent="0.25">
      <c r="B124" s="4">
        <v>46121</v>
      </c>
      <c r="C124" s="2" t="s">
        <v>6782</v>
      </c>
      <c r="D124" s="2"/>
      <c r="E124" s="2"/>
      <c r="F124" s="2"/>
      <c r="G124" s="2"/>
    </row>
    <row r="125" spans="2:7" x14ac:dyDescent="0.25">
      <c r="B125" s="4">
        <v>46122</v>
      </c>
      <c r="C125" s="2" t="s">
        <v>6782</v>
      </c>
      <c r="D125" s="2"/>
      <c r="E125" s="2"/>
      <c r="F125" s="2"/>
      <c r="G125" s="2"/>
    </row>
    <row r="126" spans="2:7" x14ac:dyDescent="0.25">
      <c r="B126" s="4">
        <v>46123</v>
      </c>
      <c r="C126" s="2" t="s">
        <v>6782</v>
      </c>
      <c r="D126" s="2"/>
      <c r="E126" s="2"/>
      <c r="F126" s="2"/>
      <c r="G126" s="2"/>
    </row>
    <row r="127" spans="2:7" x14ac:dyDescent="0.25">
      <c r="B127" s="4">
        <v>46124</v>
      </c>
      <c r="C127" s="2" t="s">
        <v>6782</v>
      </c>
      <c r="D127" s="2"/>
      <c r="E127" s="2"/>
      <c r="F127" s="2"/>
      <c r="G127" s="2"/>
    </row>
    <row r="128" spans="2:7" x14ac:dyDescent="0.25">
      <c r="B128" s="4">
        <v>46125</v>
      </c>
      <c r="C128" s="2" t="s">
        <v>6782</v>
      </c>
      <c r="D128" s="2"/>
      <c r="E128" s="2"/>
      <c r="F128" s="2"/>
      <c r="G128" s="2"/>
    </row>
    <row r="129" spans="2:7" x14ac:dyDescent="0.25">
      <c r="B129" s="4">
        <v>46126</v>
      </c>
      <c r="C129" s="2" t="s">
        <v>6782</v>
      </c>
      <c r="D129" s="2"/>
      <c r="E129" s="2"/>
      <c r="F129" s="2"/>
      <c r="G129" s="2"/>
    </row>
    <row r="130" spans="2:7" x14ac:dyDescent="0.25">
      <c r="B130" s="4">
        <v>46127</v>
      </c>
      <c r="C130" s="2" t="s">
        <v>6782</v>
      </c>
      <c r="D130" s="2"/>
      <c r="E130" s="2"/>
      <c r="F130" s="2"/>
      <c r="G130" s="2"/>
    </row>
    <row r="131" spans="2:7" x14ac:dyDescent="0.25">
      <c r="B131" s="4">
        <v>46128</v>
      </c>
      <c r="C131" s="2" t="s">
        <v>6782</v>
      </c>
      <c r="D131" s="2"/>
      <c r="E131" s="2"/>
      <c r="F131" s="2"/>
      <c r="G131" s="2"/>
    </row>
    <row r="132" spans="2:7" x14ac:dyDescent="0.25">
      <c r="B132" s="4">
        <v>46129</v>
      </c>
      <c r="C132" s="2" t="s">
        <v>6782</v>
      </c>
      <c r="D132" s="2"/>
      <c r="E132" s="2"/>
      <c r="F132" s="2"/>
      <c r="G132" s="2"/>
    </row>
    <row r="133" spans="2:7" x14ac:dyDescent="0.25">
      <c r="B133" s="4">
        <v>46130</v>
      </c>
      <c r="C133" s="2" t="s">
        <v>6782</v>
      </c>
      <c r="D133" s="2"/>
      <c r="E133" s="2"/>
      <c r="F133" s="2"/>
      <c r="G133" s="2"/>
    </row>
    <row r="134" spans="2:7" x14ac:dyDescent="0.25">
      <c r="B134" s="4">
        <v>46131</v>
      </c>
      <c r="C134" s="2" t="s">
        <v>6782</v>
      </c>
      <c r="D134" s="2"/>
      <c r="E134" s="2"/>
      <c r="F134" s="2"/>
      <c r="G134" s="2"/>
    </row>
    <row r="135" spans="2:7" x14ac:dyDescent="0.25">
      <c r="B135" s="4">
        <v>46132</v>
      </c>
      <c r="C135" s="2" t="s">
        <v>6782</v>
      </c>
      <c r="D135" s="2"/>
      <c r="E135" s="2"/>
      <c r="F135" s="2"/>
      <c r="G135" s="2"/>
    </row>
    <row r="136" spans="2:7" x14ac:dyDescent="0.25">
      <c r="B136" s="4">
        <v>46133</v>
      </c>
      <c r="C136" s="2" t="s">
        <v>6849</v>
      </c>
      <c r="D136" s="2"/>
      <c r="E136" s="2"/>
      <c r="F136" s="2"/>
      <c r="G136" s="2"/>
    </row>
    <row r="137" spans="2:7" x14ac:dyDescent="0.25">
      <c r="B137" s="4">
        <v>46134</v>
      </c>
      <c r="C137" s="2" t="s">
        <v>6856</v>
      </c>
      <c r="D137" s="2"/>
      <c r="E137" s="2"/>
      <c r="F137" s="2"/>
      <c r="G137" s="2"/>
    </row>
    <row r="138" spans="2:7" x14ac:dyDescent="0.25">
      <c r="B138" s="4">
        <v>46135</v>
      </c>
      <c r="C138" s="2" t="s">
        <v>6857</v>
      </c>
      <c r="D138" s="2" t="s">
        <v>6874</v>
      </c>
      <c r="E138" s="2"/>
      <c r="F138" s="2"/>
      <c r="G138" s="2"/>
    </row>
    <row r="139" spans="2:7" x14ac:dyDescent="0.25">
      <c r="B139" s="4">
        <v>46136</v>
      </c>
      <c r="C139" s="2" t="s">
        <v>6889</v>
      </c>
      <c r="D139" s="2"/>
      <c r="E139" s="2"/>
      <c r="F139" s="2"/>
      <c r="G139" s="2"/>
    </row>
    <row r="140" spans="2:7" x14ac:dyDescent="0.25">
      <c r="B140" s="4">
        <v>46137</v>
      </c>
      <c r="C140" s="2" t="s">
        <v>6921</v>
      </c>
      <c r="D140" s="2"/>
      <c r="E140" s="2"/>
      <c r="F140" s="2"/>
      <c r="G140" s="2"/>
    </row>
    <row r="141" spans="2:7" x14ac:dyDescent="0.25">
      <c r="B141" s="4">
        <v>46138</v>
      </c>
      <c r="C141" s="2" t="s">
        <v>6921</v>
      </c>
      <c r="D141" s="2"/>
      <c r="E141" s="2"/>
      <c r="F141" s="2"/>
      <c r="G141" s="2"/>
    </row>
    <row r="142" spans="2:7" x14ac:dyDescent="0.25">
      <c r="B142" s="4">
        <v>46139</v>
      </c>
      <c r="C142" s="2" t="s">
        <v>6920</v>
      </c>
      <c r="D142" s="2" t="s">
        <v>6922</v>
      </c>
      <c r="E142" s="2"/>
      <c r="F142" s="2"/>
      <c r="G142" s="2"/>
    </row>
    <row r="143" spans="2:7" x14ac:dyDescent="0.25">
      <c r="B143" s="4">
        <v>46140</v>
      </c>
      <c r="C143" s="2" t="s">
        <v>6920</v>
      </c>
      <c r="D143" s="2" t="s">
        <v>6922</v>
      </c>
      <c r="E143" s="2"/>
      <c r="F143" s="2"/>
      <c r="G143" s="2"/>
    </row>
    <row r="144" spans="2:7" x14ac:dyDescent="0.25">
      <c r="B144" s="4">
        <v>46141</v>
      </c>
      <c r="C144" s="2" t="s">
        <v>6940</v>
      </c>
      <c r="D144" s="2"/>
      <c r="E144" s="2"/>
      <c r="F144" s="2"/>
      <c r="G144" s="2"/>
    </row>
    <row r="145" spans="2:7" x14ac:dyDescent="0.25">
      <c r="B145" s="4">
        <v>46142</v>
      </c>
      <c r="C145" s="2"/>
      <c r="D145" s="2"/>
      <c r="E145" s="2"/>
      <c r="F145" s="2"/>
      <c r="G145" s="2"/>
    </row>
    <row r="146" spans="2:7" x14ac:dyDescent="0.25">
      <c r="B146" s="4">
        <v>46143</v>
      </c>
      <c r="C146" s="2"/>
      <c r="D146" s="2"/>
      <c r="E146" s="2"/>
      <c r="F146" s="2"/>
      <c r="G146" s="2"/>
    </row>
    <row r="147" spans="2:7" x14ac:dyDescent="0.25">
      <c r="B147" s="4">
        <v>46144</v>
      </c>
      <c r="C147" s="2"/>
      <c r="D147" s="2"/>
      <c r="E147" s="2"/>
      <c r="F147" s="2"/>
      <c r="G147" s="2"/>
    </row>
    <row r="148" spans="2:7" x14ac:dyDescent="0.25">
      <c r="B148" s="4">
        <v>46145</v>
      </c>
      <c r="C148" s="2"/>
      <c r="D148" s="2"/>
      <c r="E148" s="2"/>
      <c r="F148" s="2"/>
      <c r="G148" s="2"/>
    </row>
    <row r="149" spans="2:7" x14ac:dyDescent="0.25">
      <c r="B149" s="4">
        <v>46146</v>
      </c>
      <c r="C149" s="2"/>
      <c r="D149" s="2"/>
      <c r="E149" s="2"/>
      <c r="F149" s="2"/>
      <c r="G149" s="2"/>
    </row>
    <row r="150" spans="2:7" x14ac:dyDescent="0.25">
      <c r="B150" s="4">
        <v>46147</v>
      </c>
      <c r="C150" s="2" t="s">
        <v>6988</v>
      </c>
      <c r="D150" s="2" t="s">
        <v>6989</v>
      </c>
      <c r="E150" s="2"/>
      <c r="F150" s="2"/>
      <c r="G150" s="2"/>
    </row>
    <row r="151" spans="2:7" x14ac:dyDescent="0.25">
      <c r="B151" s="4">
        <v>46148</v>
      </c>
      <c r="C151" s="2"/>
      <c r="D151" s="2"/>
      <c r="E151" s="2"/>
      <c r="F151" s="2"/>
      <c r="G151" s="2"/>
    </row>
    <row r="152" spans="2:7" x14ac:dyDescent="0.25">
      <c r="B152" s="4">
        <v>46149</v>
      </c>
      <c r="C152" s="2"/>
      <c r="D152" s="2"/>
      <c r="E152" s="2"/>
      <c r="F152" s="2"/>
      <c r="G152" s="2"/>
    </row>
    <row r="153" spans="2:7" x14ac:dyDescent="0.25">
      <c r="B153" s="4">
        <v>46150</v>
      </c>
      <c r="C153" s="2"/>
      <c r="D153" s="2"/>
      <c r="E153" s="2"/>
      <c r="F153" s="2"/>
      <c r="G153" s="2"/>
    </row>
    <row r="154" spans="2:7" x14ac:dyDescent="0.25">
      <c r="B154" s="4">
        <v>46151</v>
      </c>
      <c r="C154" s="2"/>
      <c r="D154" s="2"/>
      <c r="E154" s="2"/>
      <c r="F154" s="2"/>
      <c r="G154" s="2"/>
    </row>
    <row r="155" spans="2:7" x14ac:dyDescent="0.25">
      <c r="B155" s="4">
        <v>46152</v>
      </c>
      <c r="C155" s="2"/>
      <c r="D155" s="2"/>
      <c r="E155" s="2"/>
      <c r="F155" s="2"/>
      <c r="G155" s="2"/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F8913-2BD1-409F-AD76-1144D24A3045}">
  <dimension ref="A1:H144"/>
  <sheetViews>
    <sheetView topLeftCell="A130" workbookViewId="0">
      <selection activeCell="B138" sqref="B138"/>
    </sheetView>
  </sheetViews>
  <sheetFormatPr defaultRowHeight="15" x14ac:dyDescent="0.25"/>
  <cols>
    <col min="1" max="1" width="24.140625" bestFit="1" customWidth="1"/>
    <col min="2" max="2" width="72" bestFit="1" customWidth="1"/>
    <col min="3" max="3" width="35.42578125" customWidth="1"/>
    <col min="6" max="6" width="27.85546875" customWidth="1"/>
  </cols>
  <sheetData>
    <row r="1" spans="1:6" x14ac:dyDescent="0.25">
      <c r="A1" s="144" t="s">
        <v>6843</v>
      </c>
      <c r="E1" s="24"/>
    </row>
    <row r="2" spans="1:6" ht="15.75" x14ac:dyDescent="0.25">
      <c r="A2" s="10" t="s">
        <v>0</v>
      </c>
      <c r="B2" s="11" t="s">
        <v>1</v>
      </c>
      <c r="C2" s="11" t="s">
        <v>2</v>
      </c>
      <c r="D2" s="11" t="s">
        <v>934</v>
      </c>
      <c r="E2" s="11" t="s">
        <v>1095</v>
      </c>
      <c r="F2" s="11" t="s">
        <v>1507</v>
      </c>
    </row>
    <row r="3" spans="1:6" x14ac:dyDescent="0.25">
      <c r="A3" s="4">
        <v>46133</v>
      </c>
      <c r="B3" s="2" t="s">
        <v>6850</v>
      </c>
      <c r="C3" s="2"/>
      <c r="D3" s="23"/>
      <c r="E3" s="23"/>
      <c r="F3" s="2"/>
    </row>
    <row r="4" spans="1:6" x14ac:dyDescent="0.25">
      <c r="A4" s="4">
        <v>46134</v>
      </c>
      <c r="B4" s="2" t="s">
        <v>6861</v>
      </c>
      <c r="C4" s="2"/>
      <c r="D4" s="23">
        <v>2</v>
      </c>
      <c r="E4" s="23">
        <f>D4-D3</f>
        <v>2</v>
      </c>
      <c r="F4" s="2"/>
    </row>
    <row r="5" spans="1:6" x14ac:dyDescent="0.25">
      <c r="A5" s="4">
        <v>46135</v>
      </c>
      <c r="B5" s="2" t="s">
        <v>6890</v>
      </c>
      <c r="C5" s="2"/>
      <c r="D5" s="23">
        <v>50</v>
      </c>
      <c r="E5" s="23">
        <f>D5-D4</f>
        <v>48</v>
      </c>
      <c r="F5" s="2"/>
    </row>
    <row r="6" spans="1:6" x14ac:dyDescent="0.25">
      <c r="A6" s="4">
        <v>46136</v>
      </c>
      <c r="B6" s="2" t="s">
        <v>6891</v>
      </c>
      <c r="C6" s="58"/>
      <c r="D6" s="23">
        <v>85</v>
      </c>
      <c r="E6" s="23">
        <f t="shared" ref="E6:E19" si="0">D6-D5</f>
        <v>35</v>
      </c>
      <c r="F6" s="2"/>
    </row>
    <row r="7" spans="1:6" x14ac:dyDescent="0.25">
      <c r="A7" s="4">
        <v>46137</v>
      </c>
      <c r="B7" s="2" t="s">
        <v>6984</v>
      </c>
      <c r="C7" s="16"/>
      <c r="D7" s="23">
        <v>85</v>
      </c>
      <c r="E7" s="23">
        <f t="shared" si="0"/>
        <v>0</v>
      </c>
      <c r="F7" s="2"/>
    </row>
    <row r="8" spans="1:6" x14ac:dyDescent="0.25">
      <c r="A8" s="4">
        <v>46138</v>
      </c>
      <c r="B8" s="2" t="s">
        <v>6984</v>
      </c>
      <c r="C8" s="58"/>
      <c r="D8" s="23">
        <v>85</v>
      </c>
      <c r="E8" s="23">
        <f t="shared" si="0"/>
        <v>0</v>
      </c>
      <c r="F8" s="2"/>
    </row>
    <row r="9" spans="1:6" x14ac:dyDescent="0.25">
      <c r="A9" s="4">
        <v>46139</v>
      </c>
      <c r="B9" s="2" t="s">
        <v>6984</v>
      </c>
      <c r="C9" s="2"/>
      <c r="D9" s="23">
        <v>85</v>
      </c>
      <c r="E9" s="23">
        <f t="shared" si="0"/>
        <v>0</v>
      </c>
      <c r="F9" s="2"/>
    </row>
    <row r="10" spans="1:6" x14ac:dyDescent="0.25">
      <c r="A10" s="4">
        <v>46140</v>
      </c>
      <c r="B10" s="2" t="s">
        <v>6984</v>
      </c>
      <c r="C10" s="2"/>
      <c r="D10" s="23">
        <v>85</v>
      </c>
      <c r="E10" s="23">
        <f t="shared" si="0"/>
        <v>0</v>
      </c>
      <c r="F10" s="2"/>
    </row>
    <row r="11" spans="1:6" x14ac:dyDescent="0.25">
      <c r="A11" s="4">
        <v>46141</v>
      </c>
      <c r="B11" s="2" t="s">
        <v>6984</v>
      </c>
      <c r="C11" s="2"/>
      <c r="D11" s="23">
        <v>85</v>
      </c>
      <c r="E11" s="23">
        <f t="shared" si="0"/>
        <v>0</v>
      </c>
      <c r="F11" s="2"/>
    </row>
    <row r="12" spans="1:6" x14ac:dyDescent="0.25">
      <c r="A12" s="4">
        <v>46142</v>
      </c>
      <c r="B12" s="2" t="s">
        <v>6984</v>
      </c>
      <c r="C12" s="2"/>
      <c r="D12" s="23">
        <v>85</v>
      </c>
      <c r="E12" s="23">
        <f t="shared" si="0"/>
        <v>0</v>
      </c>
      <c r="F12" s="2"/>
    </row>
    <row r="13" spans="1:6" x14ac:dyDescent="0.25">
      <c r="A13" s="4">
        <v>46143</v>
      </c>
      <c r="B13" s="2" t="s">
        <v>6984</v>
      </c>
      <c r="C13" s="2"/>
      <c r="D13" s="23">
        <v>85</v>
      </c>
      <c r="E13" s="23">
        <f t="shared" si="0"/>
        <v>0</v>
      </c>
      <c r="F13" s="2"/>
    </row>
    <row r="14" spans="1:6" x14ac:dyDescent="0.25">
      <c r="A14" s="4">
        <v>46144</v>
      </c>
      <c r="B14" s="2" t="s">
        <v>6984</v>
      </c>
      <c r="C14" s="2"/>
      <c r="D14" s="23">
        <v>85</v>
      </c>
      <c r="E14" s="23">
        <f t="shared" si="0"/>
        <v>0</v>
      </c>
      <c r="F14" s="2"/>
    </row>
    <row r="15" spans="1:6" x14ac:dyDescent="0.25">
      <c r="A15" s="4">
        <v>46145</v>
      </c>
      <c r="B15" s="2" t="s">
        <v>6984</v>
      </c>
      <c r="C15" s="2"/>
      <c r="D15" s="23">
        <v>85</v>
      </c>
      <c r="E15" s="23">
        <f t="shared" si="0"/>
        <v>0</v>
      </c>
      <c r="F15" s="2"/>
    </row>
    <row r="16" spans="1:6" x14ac:dyDescent="0.25">
      <c r="A16" s="4">
        <v>46146</v>
      </c>
      <c r="B16" s="2" t="s">
        <v>6984</v>
      </c>
      <c r="C16" s="2"/>
      <c r="D16" s="23">
        <v>85</v>
      </c>
      <c r="E16" s="23">
        <f t="shared" si="0"/>
        <v>0</v>
      </c>
      <c r="F16" s="2"/>
    </row>
    <row r="17" spans="1:6" x14ac:dyDescent="0.25">
      <c r="A17" s="4">
        <v>46147</v>
      </c>
      <c r="B17" s="2" t="s">
        <v>6984</v>
      </c>
      <c r="C17" s="2"/>
      <c r="D17" s="23">
        <v>85</v>
      </c>
      <c r="E17" s="23">
        <f t="shared" si="0"/>
        <v>0</v>
      </c>
      <c r="F17" s="2"/>
    </row>
    <row r="18" spans="1:6" x14ac:dyDescent="0.25">
      <c r="A18" s="4">
        <v>46148</v>
      </c>
      <c r="B18" s="2" t="s">
        <v>6984</v>
      </c>
      <c r="C18" s="2"/>
      <c r="D18" s="23">
        <v>85</v>
      </c>
      <c r="E18" s="23">
        <f t="shared" si="0"/>
        <v>0</v>
      </c>
      <c r="F18" s="2"/>
    </row>
    <row r="19" spans="1:6" x14ac:dyDescent="0.25">
      <c r="A19" s="4">
        <v>46149</v>
      </c>
      <c r="B19" s="2" t="s">
        <v>6984</v>
      </c>
      <c r="C19" s="2"/>
      <c r="D19" s="23">
        <v>85</v>
      </c>
      <c r="E19" s="23">
        <f t="shared" si="0"/>
        <v>0</v>
      </c>
      <c r="F19" s="2"/>
    </row>
    <row r="20" spans="1:6" x14ac:dyDescent="0.25">
      <c r="A20" s="4">
        <v>46150</v>
      </c>
      <c r="B20" s="2" t="s">
        <v>6984</v>
      </c>
      <c r="C20" s="2"/>
      <c r="D20" s="23">
        <v>85</v>
      </c>
      <c r="E20" s="23">
        <f t="shared" ref="E20:E80" si="1">D20-D19</f>
        <v>0</v>
      </c>
      <c r="F20" s="2"/>
    </row>
    <row r="21" spans="1:6" x14ac:dyDescent="0.25">
      <c r="A21" s="4">
        <v>46151</v>
      </c>
      <c r="B21" s="2" t="s">
        <v>6984</v>
      </c>
      <c r="C21" s="2"/>
      <c r="D21" s="23">
        <v>85</v>
      </c>
      <c r="E21" s="23">
        <f t="shared" si="1"/>
        <v>0</v>
      </c>
      <c r="F21" s="2"/>
    </row>
    <row r="22" spans="1:6" x14ac:dyDescent="0.25">
      <c r="A22" s="4">
        <v>46152</v>
      </c>
      <c r="B22" s="2" t="s">
        <v>6984</v>
      </c>
      <c r="C22" s="2"/>
      <c r="D22" s="23">
        <v>85</v>
      </c>
      <c r="E22" s="23">
        <f t="shared" si="1"/>
        <v>0</v>
      </c>
      <c r="F22" s="2"/>
    </row>
    <row r="23" spans="1:6" x14ac:dyDescent="0.25">
      <c r="A23" s="4">
        <v>46153</v>
      </c>
      <c r="B23" s="2" t="s">
        <v>6984</v>
      </c>
      <c r="C23" s="2"/>
      <c r="D23" s="23">
        <v>85</v>
      </c>
      <c r="E23" s="23">
        <f t="shared" si="1"/>
        <v>0</v>
      </c>
      <c r="F23" s="2"/>
    </row>
    <row r="24" spans="1:6" x14ac:dyDescent="0.25">
      <c r="A24" s="4">
        <v>46154</v>
      </c>
      <c r="B24" s="2" t="s">
        <v>6984</v>
      </c>
      <c r="C24" s="2"/>
      <c r="D24" s="23">
        <v>85</v>
      </c>
      <c r="E24" s="23">
        <f t="shared" si="1"/>
        <v>0</v>
      </c>
      <c r="F24" s="2"/>
    </row>
    <row r="25" spans="1:6" x14ac:dyDescent="0.25">
      <c r="A25" s="4">
        <v>46155</v>
      </c>
      <c r="B25" s="2" t="s">
        <v>6984</v>
      </c>
      <c r="C25" s="2"/>
      <c r="D25" s="23">
        <v>85</v>
      </c>
      <c r="E25" s="23">
        <f t="shared" si="1"/>
        <v>0</v>
      </c>
      <c r="F25" s="2"/>
    </row>
    <row r="26" spans="1:6" x14ac:dyDescent="0.25">
      <c r="A26" s="4">
        <v>46156</v>
      </c>
      <c r="B26" s="2" t="s">
        <v>6984</v>
      </c>
      <c r="C26" s="2"/>
      <c r="D26" s="23">
        <v>85</v>
      </c>
      <c r="E26" s="23">
        <f t="shared" si="1"/>
        <v>0</v>
      </c>
      <c r="F26" s="2"/>
    </row>
    <row r="27" spans="1:6" x14ac:dyDescent="0.25">
      <c r="A27" s="4">
        <v>46157</v>
      </c>
      <c r="B27" s="2" t="s">
        <v>6984</v>
      </c>
      <c r="C27" s="2"/>
      <c r="D27" s="23">
        <v>85</v>
      </c>
      <c r="E27" s="23">
        <f t="shared" si="1"/>
        <v>0</v>
      </c>
      <c r="F27" s="2"/>
    </row>
    <row r="28" spans="1:6" x14ac:dyDescent="0.25">
      <c r="A28" s="4">
        <v>46158</v>
      </c>
      <c r="B28" s="2" t="s">
        <v>6984</v>
      </c>
      <c r="C28" s="2"/>
      <c r="D28" s="23">
        <v>85</v>
      </c>
      <c r="E28" s="23">
        <f t="shared" si="1"/>
        <v>0</v>
      </c>
      <c r="F28" s="2"/>
    </row>
    <row r="29" spans="1:6" x14ac:dyDescent="0.25">
      <c r="A29" s="4">
        <v>46159</v>
      </c>
      <c r="B29" s="2" t="s">
        <v>6984</v>
      </c>
      <c r="C29" s="2"/>
      <c r="D29" s="23">
        <v>85</v>
      </c>
      <c r="E29" s="23">
        <f t="shared" si="1"/>
        <v>0</v>
      </c>
      <c r="F29" s="2"/>
    </row>
    <row r="30" spans="1:6" x14ac:dyDescent="0.25">
      <c r="A30" s="4">
        <v>46160</v>
      </c>
      <c r="B30" s="2" t="s">
        <v>6984</v>
      </c>
      <c r="C30" s="2"/>
      <c r="D30" s="23">
        <v>85</v>
      </c>
      <c r="E30" s="23">
        <f t="shared" si="1"/>
        <v>0</v>
      </c>
      <c r="F30" s="2"/>
    </row>
    <row r="31" spans="1:6" x14ac:dyDescent="0.25">
      <c r="A31" s="4">
        <v>46161</v>
      </c>
      <c r="B31" s="2" t="s">
        <v>6984</v>
      </c>
      <c r="C31" s="2"/>
      <c r="D31" s="23">
        <v>85</v>
      </c>
      <c r="E31" s="23">
        <f t="shared" si="1"/>
        <v>0</v>
      </c>
      <c r="F31" s="2"/>
    </row>
    <row r="32" spans="1:6" x14ac:dyDescent="0.25">
      <c r="A32" s="4">
        <v>46162</v>
      </c>
      <c r="B32" s="2" t="s">
        <v>6984</v>
      </c>
      <c r="C32" s="2"/>
      <c r="D32" s="23">
        <v>85</v>
      </c>
      <c r="E32" s="23">
        <f t="shared" si="1"/>
        <v>0</v>
      </c>
      <c r="F32" s="2"/>
    </row>
    <row r="33" spans="1:6" x14ac:dyDescent="0.25">
      <c r="A33" s="4">
        <v>46163</v>
      </c>
      <c r="B33" s="2" t="s">
        <v>6984</v>
      </c>
      <c r="C33" s="2"/>
      <c r="D33" s="23">
        <v>85</v>
      </c>
      <c r="E33" s="23">
        <f t="shared" si="1"/>
        <v>0</v>
      </c>
      <c r="F33" s="2"/>
    </row>
    <row r="34" spans="1:6" x14ac:dyDescent="0.25">
      <c r="A34" s="4">
        <v>46164</v>
      </c>
      <c r="B34" s="2" t="s">
        <v>6984</v>
      </c>
      <c r="C34" s="2"/>
      <c r="D34" s="23">
        <v>85</v>
      </c>
      <c r="E34" s="23">
        <f t="shared" si="1"/>
        <v>0</v>
      </c>
      <c r="F34" s="2"/>
    </row>
    <row r="35" spans="1:6" x14ac:dyDescent="0.25">
      <c r="A35" s="4">
        <v>46165</v>
      </c>
      <c r="B35" s="2" t="s">
        <v>6984</v>
      </c>
      <c r="C35" s="2"/>
      <c r="D35" s="23">
        <v>85</v>
      </c>
      <c r="E35" s="23">
        <f t="shared" si="1"/>
        <v>0</v>
      </c>
      <c r="F35" s="2"/>
    </row>
    <row r="36" spans="1:6" x14ac:dyDescent="0.25">
      <c r="A36" s="4">
        <v>46166</v>
      </c>
      <c r="B36" s="2" t="s">
        <v>6984</v>
      </c>
      <c r="C36" s="2"/>
      <c r="D36" s="23">
        <v>85</v>
      </c>
      <c r="E36" s="23">
        <f t="shared" si="1"/>
        <v>0</v>
      </c>
      <c r="F36" s="2"/>
    </row>
    <row r="37" spans="1:6" x14ac:dyDescent="0.25">
      <c r="A37" s="4">
        <v>46167</v>
      </c>
      <c r="B37" s="2" t="s">
        <v>6984</v>
      </c>
      <c r="C37" s="2"/>
      <c r="D37" s="23">
        <v>85</v>
      </c>
      <c r="E37" s="23">
        <f t="shared" si="1"/>
        <v>0</v>
      </c>
      <c r="F37" s="2"/>
    </row>
    <row r="38" spans="1:6" x14ac:dyDescent="0.25">
      <c r="A38" s="4">
        <v>46168</v>
      </c>
      <c r="B38" s="2" t="s">
        <v>6984</v>
      </c>
      <c r="C38" s="2"/>
      <c r="D38" s="23">
        <v>85</v>
      </c>
      <c r="E38" s="23">
        <f t="shared" si="1"/>
        <v>0</v>
      </c>
      <c r="F38" s="2"/>
    </row>
    <row r="39" spans="1:6" x14ac:dyDescent="0.25">
      <c r="A39" s="4">
        <v>46169</v>
      </c>
      <c r="B39" s="2" t="s">
        <v>6984</v>
      </c>
      <c r="C39" s="2"/>
      <c r="D39" s="23">
        <v>85</v>
      </c>
      <c r="E39" s="23">
        <f t="shared" si="1"/>
        <v>0</v>
      </c>
      <c r="F39" s="2"/>
    </row>
    <row r="40" spans="1:6" x14ac:dyDescent="0.25">
      <c r="A40" s="4">
        <v>46170</v>
      </c>
      <c r="B40" s="2" t="s">
        <v>6984</v>
      </c>
      <c r="C40" s="2"/>
      <c r="D40" s="23">
        <v>85</v>
      </c>
      <c r="E40" s="23">
        <f t="shared" si="1"/>
        <v>0</v>
      </c>
      <c r="F40" s="2"/>
    </row>
    <row r="41" spans="1:6" x14ac:dyDescent="0.25">
      <c r="A41" s="4">
        <v>46171</v>
      </c>
      <c r="B41" s="2" t="s">
        <v>6984</v>
      </c>
      <c r="C41" s="2"/>
      <c r="D41" s="23">
        <v>85</v>
      </c>
      <c r="E41" s="23">
        <f t="shared" si="1"/>
        <v>0</v>
      </c>
      <c r="F41" s="2"/>
    </row>
    <row r="42" spans="1:6" x14ac:dyDescent="0.25">
      <c r="A42" s="4">
        <v>46172</v>
      </c>
      <c r="B42" s="2" t="s">
        <v>6984</v>
      </c>
      <c r="C42" s="2"/>
      <c r="D42" s="23">
        <v>85</v>
      </c>
      <c r="E42" s="23">
        <f t="shared" si="1"/>
        <v>0</v>
      </c>
      <c r="F42" s="2"/>
    </row>
    <row r="43" spans="1:6" x14ac:dyDescent="0.25">
      <c r="A43" s="4">
        <v>46173</v>
      </c>
      <c r="B43" s="2" t="s">
        <v>6984</v>
      </c>
      <c r="C43" s="2"/>
      <c r="D43" s="23">
        <v>85</v>
      </c>
      <c r="E43" s="23">
        <f t="shared" si="1"/>
        <v>0</v>
      </c>
      <c r="F43" s="2"/>
    </row>
    <row r="44" spans="1:6" x14ac:dyDescent="0.25">
      <c r="A44" s="4">
        <v>46174</v>
      </c>
      <c r="B44" s="2" t="s">
        <v>6984</v>
      </c>
      <c r="C44" s="2"/>
      <c r="D44" s="23">
        <v>85</v>
      </c>
      <c r="E44" s="23">
        <f t="shared" si="1"/>
        <v>0</v>
      </c>
      <c r="F44" s="2"/>
    </row>
    <row r="45" spans="1:6" x14ac:dyDescent="0.25">
      <c r="A45" s="4">
        <v>46175</v>
      </c>
      <c r="B45" s="2" t="s">
        <v>6984</v>
      </c>
      <c r="C45" s="2"/>
      <c r="D45" s="23">
        <v>85</v>
      </c>
      <c r="E45" s="23">
        <f t="shared" si="1"/>
        <v>0</v>
      </c>
      <c r="F45" s="2"/>
    </row>
    <row r="46" spans="1:6" x14ac:dyDescent="0.25">
      <c r="A46" s="4">
        <v>46176</v>
      </c>
      <c r="B46" s="2" t="s">
        <v>6984</v>
      </c>
      <c r="C46" s="2"/>
      <c r="D46" s="23">
        <v>85</v>
      </c>
      <c r="E46" s="23">
        <f t="shared" si="1"/>
        <v>0</v>
      </c>
      <c r="F46" s="2"/>
    </row>
    <row r="47" spans="1:6" x14ac:dyDescent="0.25">
      <c r="A47" s="4">
        <v>46177</v>
      </c>
      <c r="B47" s="2" t="s">
        <v>6984</v>
      </c>
      <c r="C47" s="2"/>
      <c r="D47" s="23">
        <v>85</v>
      </c>
      <c r="E47" s="23">
        <f t="shared" si="1"/>
        <v>0</v>
      </c>
      <c r="F47" s="2"/>
    </row>
    <row r="48" spans="1:6" x14ac:dyDescent="0.25">
      <c r="A48" s="4">
        <v>46178</v>
      </c>
      <c r="B48" s="2" t="s">
        <v>6984</v>
      </c>
      <c r="C48" s="2"/>
      <c r="D48" s="23">
        <v>85</v>
      </c>
      <c r="E48" s="23">
        <f t="shared" si="1"/>
        <v>0</v>
      </c>
      <c r="F48" s="2"/>
    </row>
    <row r="49" spans="1:6" x14ac:dyDescent="0.25">
      <c r="A49" s="4">
        <v>46179</v>
      </c>
      <c r="B49" s="2" t="s">
        <v>6984</v>
      </c>
      <c r="C49" s="2"/>
      <c r="D49" s="23">
        <v>85</v>
      </c>
      <c r="E49" s="23">
        <f t="shared" si="1"/>
        <v>0</v>
      </c>
      <c r="F49" s="2"/>
    </row>
    <row r="50" spans="1:6" x14ac:dyDescent="0.25">
      <c r="A50" s="4">
        <v>46180</v>
      </c>
      <c r="B50" s="2" t="s">
        <v>6984</v>
      </c>
      <c r="C50" s="2"/>
      <c r="D50" s="23">
        <v>85</v>
      </c>
      <c r="E50" s="23">
        <f t="shared" si="1"/>
        <v>0</v>
      </c>
      <c r="F50" s="2"/>
    </row>
    <row r="51" spans="1:6" x14ac:dyDescent="0.25">
      <c r="A51" s="4">
        <v>46181</v>
      </c>
      <c r="B51" s="2" t="s">
        <v>6984</v>
      </c>
      <c r="C51" s="2"/>
      <c r="D51" s="23">
        <v>85</v>
      </c>
      <c r="E51" s="23">
        <f t="shared" si="1"/>
        <v>0</v>
      </c>
      <c r="F51" s="2"/>
    </row>
    <row r="52" spans="1:6" x14ac:dyDescent="0.25">
      <c r="A52" s="4">
        <v>46182</v>
      </c>
      <c r="B52" s="2" t="s">
        <v>6984</v>
      </c>
      <c r="C52" s="2"/>
      <c r="D52" s="23">
        <v>85</v>
      </c>
      <c r="E52" s="23">
        <f t="shared" si="1"/>
        <v>0</v>
      </c>
      <c r="F52" s="2"/>
    </row>
    <row r="53" spans="1:6" x14ac:dyDescent="0.25">
      <c r="A53" s="4">
        <v>46183</v>
      </c>
      <c r="B53" s="2" t="s">
        <v>6984</v>
      </c>
      <c r="C53" s="2"/>
      <c r="D53" s="23">
        <v>85</v>
      </c>
      <c r="E53" s="23">
        <f t="shared" si="1"/>
        <v>0</v>
      </c>
      <c r="F53" s="2"/>
    </row>
    <row r="54" spans="1:6" x14ac:dyDescent="0.25">
      <c r="A54" s="4">
        <v>46184</v>
      </c>
      <c r="B54" s="2" t="s">
        <v>6984</v>
      </c>
      <c r="C54" s="2"/>
      <c r="D54" s="23">
        <v>85</v>
      </c>
      <c r="E54" s="23">
        <f t="shared" si="1"/>
        <v>0</v>
      </c>
      <c r="F54" s="2"/>
    </row>
    <row r="55" spans="1:6" x14ac:dyDescent="0.25">
      <c r="A55" s="4">
        <v>46185</v>
      </c>
      <c r="B55" s="2" t="s">
        <v>6984</v>
      </c>
      <c r="C55" s="2"/>
      <c r="D55" s="23">
        <v>85</v>
      </c>
      <c r="E55" s="23">
        <f t="shared" si="1"/>
        <v>0</v>
      </c>
      <c r="F55" s="2"/>
    </row>
    <row r="56" spans="1:6" x14ac:dyDescent="0.25">
      <c r="A56" s="4">
        <v>46186</v>
      </c>
      <c r="B56" s="2" t="s">
        <v>6984</v>
      </c>
      <c r="C56" s="2"/>
      <c r="D56" s="23">
        <v>85</v>
      </c>
      <c r="E56" s="23">
        <f t="shared" si="1"/>
        <v>0</v>
      </c>
      <c r="F56" s="2"/>
    </row>
    <row r="57" spans="1:6" x14ac:dyDescent="0.25">
      <c r="A57" s="4">
        <v>46187</v>
      </c>
      <c r="B57" s="2" t="s">
        <v>6984</v>
      </c>
      <c r="C57" s="2"/>
      <c r="D57" s="23">
        <v>85</v>
      </c>
      <c r="E57" s="23">
        <f t="shared" si="1"/>
        <v>0</v>
      </c>
      <c r="F57" s="2"/>
    </row>
    <row r="58" spans="1:6" x14ac:dyDescent="0.25">
      <c r="A58" s="4">
        <v>46188</v>
      </c>
      <c r="B58" s="2" t="s">
        <v>6984</v>
      </c>
      <c r="C58" s="2"/>
      <c r="D58" s="23">
        <v>85</v>
      </c>
      <c r="E58" s="23">
        <f t="shared" si="1"/>
        <v>0</v>
      </c>
      <c r="F58" s="2"/>
    </row>
    <row r="59" spans="1:6" x14ac:dyDescent="0.25">
      <c r="A59" s="4">
        <v>46189</v>
      </c>
      <c r="B59" s="2" t="s">
        <v>6984</v>
      </c>
      <c r="C59" s="2"/>
      <c r="D59" s="23">
        <v>85</v>
      </c>
      <c r="E59" s="23">
        <f t="shared" si="1"/>
        <v>0</v>
      </c>
      <c r="F59" s="2"/>
    </row>
    <row r="60" spans="1:6" x14ac:dyDescent="0.25">
      <c r="A60" s="4">
        <v>46190</v>
      </c>
      <c r="B60" s="2" t="s">
        <v>6984</v>
      </c>
      <c r="C60" s="2"/>
      <c r="D60" s="23">
        <v>85</v>
      </c>
      <c r="E60" s="23">
        <f t="shared" si="1"/>
        <v>0</v>
      </c>
      <c r="F60" s="2"/>
    </row>
    <row r="61" spans="1:6" x14ac:dyDescent="0.25">
      <c r="A61" s="4">
        <v>46191</v>
      </c>
      <c r="B61" s="2" t="s">
        <v>6984</v>
      </c>
      <c r="C61" s="2"/>
      <c r="D61" s="23">
        <v>85</v>
      </c>
      <c r="E61" s="23">
        <f t="shared" si="1"/>
        <v>0</v>
      </c>
      <c r="F61" s="2"/>
    </row>
    <row r="62" spans="1:6" x14ac:dyDescent="0.25">
      <c r="A62" s="4">
        <v>46192</v>
      </c>
      <c r="B62" s="2" t="s">
        <v>6984</v>
      </c>
      <c r="C62" s="2"/>
      <c r="D62" s="23">
        <v>85</v>
      </c>
      <c r="E62" s="23">
        <f t="shared" si="1"/>
        <v>0</v>
      </c>
      <c r="F62" s="2"/>
    </row>
    <row r="63" spans="1:6" x14ac:dyDescent="0.25">
      <c r="A63" s="4">
        <v>46193</v>
      </c>
      <c r="B63" s="2" t="s">
        <v>6984</v>
      </c>
      <c r="C63" s="2"/>
      <c r="D63" s="23">
        <v>85</v>
      </c>
      <c r="E63" s="23">
        <f t="shared" si="1"/>
        <v>0</v>
      </c>
      <c r="F63" s="2"/>
    </row>
    <row r="64" spans="1:6" x14ac:dyDescent="0.25">
      <c r="A64" s="4">
        <v>46194</v>
      </c>
      <c r="B64" s="2" t="s">
        <v>6984</v>
      </c>
      <c r="C64" s="2"/>
      <c r="D64" s="23">
        <v>85</v>
      </c>
      <c r="E64" s="23">
        <f t="shared" si="1"/>
        <v>0</v>
      </c>
      <c r="F64" s="2"/>
    </row>
    <row r="65" spans="1:6" x14ac:dyDescent="0.25">
      <c r="A65" s="4">
        <v>46195</v>
      </c>
      <c r="B65" s="2" t="s">
        <v>7283</v>
      </c>
      <c r="C65" s="2"/>
      <c r="D65" s="23">
        <v>90</v>
      </c>
      <c r="E65" s="23">
        <f t="shared" si="1"/>
        <v>5</v>
      </c>
      <c r="F65" s="2"/>
    </row>
    <row r="66" spans="1:6" x14ac:dyDescent="0.25">
      <c r="A66" s="4">
        <v>46196</v>
      </c>
      <c r="B66" s="2" t="s">
        <v>7295</v>
      </c>
      <c r="C66" s="2"/>
      <c r="D66" s="23">
        <v>100</v>
      </c>
      <c r="E66" s="23">
        <f t="shared" si="1"/>
        <v>10</v>
      </c>
      <c r="F66" s="2"/>
    </row>
    <row r="67" spans="1:6" x14ac:dyDescent="0.25">
      <c r="A67" s="4">
        <v>46197</v>
      </c>
      <c r="B67" s="2" t="s">
        <v>7299</v>
      </c>
      <c r="C67" s="2"/>
      <c r="D67" s="23">
        <v>115</v>
      </c>
      <c r="E67" s="23">
        <f t="shared" si="1"/>
        <v>15</v>
      </c>
      <c r="F67" s="2"/>
    </row>
    <row r="68" spans="1:6" x14ac:dyDescent="0.25">
      <c r="A68" s="4">
        <v>46198</v>
      </c>
      <c r="B68" s="2" t="s">
        <v>5054</v>
      </c>
      <c r="C68" s="2"/>
      <c r="D68" s="23"/>
      <c r="E68" s="23">
        <f t="shared" si="1"/>
        <v>-115</v>
      </c>
      <c r="F68" s="2"/>
    </row>
    <row r="69" spans="1:6" x14ac:dyDescent="0.25">
      <c r="A69" s="4">
        <v>46199</v>
      </c>
      <c r="B69" s="2" t="s">
        <v>5054</v>
      </c>
      <c r="C69" s="2"/>
      <c r="D69" s="23"/>
      <c r="E69" s="23">
        <f t="shared" si="1"/>
        <v>0</v>
      </c>
      <c r="F69" s="2"/>
    </row>
    <row r="70" spans="1:6" x14ac:dyDescent="0.25">
      <c r="A70" s="4">
        <v>46200</v>
      </c>
      <c r="B70" s="2" t="s">
        <v>5054</v>
      </c>
      <c r="C70" s="2"/>
      <c r="D70" s="23"/>
      <c r="E70" s="23">
        <f t="shared" si="1"/>
        <v>0</v>
      </c>
      <c r="F70" s="2"/>
    </row>
    <row r="71" spans="1:6" x14ac:dyDescent="0.25">
      <c r="A71" s="4">
        <v>46201</v>
      </c>
      <c r="B71" s="2" t="s">
        <v>7325</v>
      </c>
      <c r="C71" s="2" t="s">
        <v>7326</v>
      </c>
      <c r="D71" s="23"/>
      <c r="E71" s="23">
        <f t="shared" si="1"/>
        <v>0</v>
      </c>
      <c r="F71" s="2"/>
    </row>
    <row r="72" spans="1:6" x14ac:dyDescent="0.25">
      <c r="A72" s="4">
        <v>46202</v>
      </c>
      <c r="B72" s="2" t="s">
        <v>7329</v>
      </c>
      <c r="C72" s="2"/>
      <c r="D72" s="23"/>
      <c r="E72" s="23">
        <f t="shared" si="1"/>
        <v>0</v>
      </c>
      <c r="F72" s="2"/>
    </row>
    <row r="73" spans="1:6" x14ac:dyDescent="0.25">
      <c r="A73" s="4">
        <v>46203</v>
      </c>
      <c r="B73" s="2" t="s">
        <v>5054</v>
      </c>
      <c r="C73" s="2"/>
      <c r="D73" s="23"/>
      <c r="E73" s="23">
        <f t="shared" si="1"/>
        <v>0</v>
      </c>
      <c r="F73" s="2"/>
    </row>
    <row r="74" spans="1:6" x14ac:dyDescent="0.25">
      <c r="A74" s="4">
        <v>46204</v>
      </c>
      <c r="B74" s="2" t="s">
        <v>5054</v>
      </c>
      <c r="C74" s="2"/>
      <c r="D74" s="23"/>
      <c r="E74" s="23">
        <f t="shared" si="1"/>
        <v>0</v>
      </c>
      <c r="F74" s="2"/>
    </row>
    <row r="75" spans="1:6" x14ac:dyDescent="0.25">
      <c r="A75" s="4">
        <v>46205</v>
      </c>
      <c r="B75" s="2" t="s">
        <v>5054</v>
      </c>
      <c r="C75" s="2"/>
      <c r="D75" s="23"/>
      <c r="E75" s="23">
        <f t="shared" si="1"/>
        <v>0</v>
      </c>
      <c r="F75" s="2"/>
    </row>
    <row r="76" spans="1:6" x14ac:dyDescent="0.25">
      <c r="A76" s="4">
        <v>46206</v>
      </c>
      <c r="B76" s="2" t="s">
        <v>7347</v>
      </c>
      <c r="C76" s="2"/>
      <c r="D76" s="23"/>
      <c r="E76" s="23">
        <f t="shared" si="1"/>
        <v>0</v>
      </c>
      <c r="F76" s="2"/>
    </row>
    <row r="77" spans="1:6" x14ac:dyDescent="0.25">
      <c r="A77" s="4">
        <v>46207</v>
      </c>
      <c r="B77" s="2" t="s">
        <v>5054</v>
      </c>
      <c r="C77" s="2"/>
      <c r="D77" s="23"/>
      <c r="E77" s="23">
        <f t="shared" si="1"/>
        <v>0</v>
      </c>
      <c r="F77" s="2"/>
    </row>
    <row r="78" spans="1:6" x14ac:dyDescent="0.25">
      <c r="A78" s="4">
        <v>46208</v>
      </c>
      <c r="B78" s="2" t="s">
        <v>5054</v>
      </c>
      <c r="C78" s="2"/>
      <c r="D78" s="23"/>
      <c r="E78" s="23">
        <f t="shared" si="1"/>
        <v>0</v>
      </c>
      <c r="F78" s="2"/>
    </row>
    <row r="79" spans="1:6" x14ac:dyDescent="0.25">
      <c r="A79" s="4">
        <v>46209</v>
      </c>
      <c r="B79" s="2" t="s">
        <v>5054</v>
      </c>
      <c r="C79" s="2"/>
      <c r="D79" s="23"/>
      <c r="E79" s="23">
        <f t="shared" si="1"/>
        <v>0</v>
      </c>
      <c r="F79" s="2"/>
    </row>
    <row r="80" spans="1:6" x14ac:dyDescent="0.25">
      <c r="A80" s="4">
        <v>46210</v>
      </c>
      <c r="B80" s="2" t="s">
        <v>5054</v>
      </c>
      <c r="C80" s="2"/>
      <c r="D80" s="23"/>
      <c r="E80" s="23">
        <f t="shared" si="1"/>
        <v>0</v>
      </c>
      <c r="F80" s="2"/>
    </row>
    <row r="81" spans="1:8" x14ac:dyDescent="0.25">
      <c r="A81" s="4">
        <v>46211</v>
      </c>
      <c r="B81" s="2" t="s">
        <v>5054</v>
      </c>
      <c r="C81" s="2"/>
      <c r="D81" s="23"/>
      <c r="E81" s="23"/>
      <c r="F81" s="2"/>
    </row>
    <row r="82" spans="1:8" x14ac:dyDescent="0.25">
      <c r="A82" s="4">
        <v>46212</v>
      </c>
      <c r="B82" s="2" t="s">
        <v>5054</v>
      </c>
      <c r="C82" s="2"/>
      <c r="D82" s="23"/>
      <c r="E82" s="23"/>
      <c r="F82" s="2"/>
    </row>
    <row r="83" spans="1:8" x14ac:dyDescent="0.25">
      <c r="A83" s="4">
        <v>46213</v>
      </c>
      <c r="B83" s="2" t="s">
        <v>7374</v>
      </c>
      <c r="C83" s="2"/>
      <c r="D83" s="23"/>
      <c r="E83" s="23"/>
      <c r="F83" s="2"/>
    </row>
    <row r="84" spans="1:8" x14ac:dyDescent="0.25">
      <c r="A84" s="4">
        <v>46214</v>
      </c>
      <c r="B84" s="2" t="s">
        <v>7383</v>
      </c>
      <c r="C84" s="2"/>
      <c r="D84" s="23"/>
      <c r="E84" s="23"/>
      <c r="F84" s="2"/>
    </row>
    <row r="85" spans="1:8" x14ac:dyDescent="0.25">
      <c r="A85" s="4">
        <v>46215</v>
      </c>
      <c r="B85" s="2" t="s">
        <v>5054</v>
      </c>
      <c r="C85" s="2"/>
      <c r="D85" s="23"/>
      <c r="E85" s="23"/>
      <c r="F85" s="2"/>
    </row>
    <row r="86" spans="1:8" x14ac:dyDescent="0.25">
      <c r="A86" s="4">
        <v>46216</v>
      </c>
      <c r="B86" s="2" t="s">
        <v>7406</v>
      </c>
      <c r="C86" s="2"/>
      <c r="D86" s="23"/>
      <c r="E86" s="23"/>
      <c r="F86" s="2"/>
    </row>
    <row r="87" spans="1:8" x14ac:dyDescent="0.25">
      <c r="A87" s="4">
        <v>46217</v>
      </c>
      <c r="B87" s="2" t="s">
        <v>5054</v>
      </c>
      <c r="C87" s="2"/>
      <c r="D87" s="23"/>
      <c r="E87" s="23"/>
      <c r="F87" s="2"/>
    </row>
    <row r="88" spans="1:8" x14ac:dyDescent="0.25">
      <c r="A88" s="4">
        <v>46218</v>
      </c>
      <c r="B88" s="2" t="s">
        <v>5054</v>
      </c>
      <c r="C88" s="2"/>
      <c r="D88" s="23"/>
      <c r="E88" s="23"/>
      <c r="F88" s="2"/>
    </row>
    <row r="89" spans="1:8" x14ac:dyDescent="0.25">
      <c r="A89" s="4">
        <v>46219</v>
      </c>
      <c r="B89" s="2" t="s">
        <v>7464</v>
      </c>
      <c r="C89" s="2" t="s">
        <v>7465</v>
      </c>
      <c r="D89" s="23"/>
      <c r="E89" s="23"/>
      <c r="F89" s="2"/>
      <c r="H89" t="s">
        <v>7463</v>
      </c>
    </row>
    <row r="90" spans="1:8" x14ac:dyDescent="0.25">
      <c r="A90" s="4">
        <v>46220</v>
      </c>
      <c r="B90" s="2" t="s">
        <v>7464</v>
      </c>
      <c r="C90" s="2"/>
      <c r="D90" s="23"/>
      <c r="E90" s="23"/>
      <c r="F90" s="2"/>
    </row>
    <row r="91" spans="1:8" x14ac:dyDescent="0.25">
      <c r="A91" s="4">
        <v>46221</v>
      </c>
      <c r="B91" s="2" t="s">
        <v>7464</v>
      </c>
      <c r="C91" s="2"/>
      <c r="D91" s="23"/>
      <c r="E91" s="23"/>
      <c r="F91" s="2"/>
    </row>
    <row r="92" spans="1:8" x14ac:dyDescent="0.25">
      <c r="A92" s="4">
        <v>46222</v>
      </c>
      <c r="B92" s="2" t="s">
        <v>7464</v>
      </c>
      <c r="C92" s="2"/>
      <c r="D92" s="23"/>
      <c r="E92" s="23"/>
      <c r="F92" s="2"/>
    </row>
    <row r="93" spans="1:8" x14ac:dyDescent="0.25">
      <c r="A93" s="4">
        <v>46223</v>
      </c>
      <c r="B93" s="2" t="s">
        <v>7464</v>
      </c>
      <c r="C93" s="2"/>
      <c r="D93" s="23"/>
      <c r="E93" s="23"/>
      <c r="F93" s="2"/>
    </row>
    <row r="94" spans="1:8" x14ac:dyDescent="0.25">
      <c r="A94" s="4">
        <v>46224</v>
      </c>
      <c r="B94" s="2" t="s">
        <v>1528</v>
      </c>
      <c r="C94" s="2"/>
      <c r="D94" s="23"/>
      <c r="E94" s="23"/>
      <c r="F94" s="2"/>
    </row>
    <row r="95" spans="1:8" x14ac:dyDescent="0.25">
      <c r="A95" s="4">
        <v>46225</v>
      </c>
      <c r="B95" s="2" t="s">
        <v>6850</v>
      </c>
      <c r="C95" s="2"/>
      <c r="D95" s="23"/>
      <c r="E95" s="23"/>
      <c r="F95" s="2"/>
    </row>
    <row r="96" spans="1:8" x14ac:dyDescent="0.25">
      <c r="A96" s="4">
        <v>46226</v>
      </c>
      <c r="B96" s="2" t="s">
        <v>7619</v>
      </c>
      <c r="C96" s="2" t="s">
        <v>7620</v>
      </c>
      <c r="D96" s="23"/>
      <c r="E96" s="23"/>
      <c r="F96" s="2"/>
    </row>
    <row r="97" spans="1:6" x14ac:dyDescent="0.25">
      <c r="A97" s="4">
        <v>46227</v>
      </c>
      <c r="B97" s="2" t="s">
        <v>7628</v>
      </c>
      <c r="C97" s="2" t="s">
        <v>7629</v>
      </c>
      <c r="D97" s="23"/>
      <c r="E97" s="23"/>
      <c r="F97" s="2"/>
    </row>
    <row r="98" spans="1:6" x14ac:dyDescent="0.25">
      <c r="A98" s="4">
        <v>46228</v>
      </c>
      <c r="B98" s="2" t="s">
        <v>7631</v>
      </c>
      <c r="C98" s="2"/>
      <c r="D98" s="23"/>
      <c r="E98" s="23"/>
      <c r="F98" s="2"/>
    </row>
    <row r="99" spans="1:6" x14ac:dyDescent="0.25">
      <c r="A99" s="4">
        <v>46229</v>
      </c>
      <c r="B99" s="2" t="s">
        <v>7632</v>
      </c>
      <c r="C99" s="2"/>
      <c r="D99" s="23"/>
      <c r="E99" s="23"/>
      <c r="F99" s="2"/>
    </row>
    <row r="100" spans="1:6" x14ac:dyDescent="0.25">
      <c r="A100" s="4">
        <v>46230</v>
      </c>
      <c r="B100" s="2" t="s">
        <v>7633</v>
      </c>
      <c r="C100" s="2"/>
      <c r="D100" s="23">
        <v>115</v>
      </c>
      <c r="E100" s="23">
        <f>D100-D99</f>
        <v>115</v>
      </c>
      <c r="F100" s="2"/>
    </row>
    <row r="101" spans="1:6" x14ac:dyDescent="0.25">
      <c r="A101" s="4">
        <v>46231</v>
      </c>
      <c r="B101" s="2" t="s">
        <v>7644</v>
      </c>
      <c r="C101" s="2"/>
      <c r="D101" s="23">
        <v>129</v>
      </c>
      <c r="E101" s="23">
        <f t="shared" ref="E101:E112" si="2">D101-D100</f>
        <v>14</v>
      </c>
      <c r="F101" s="2"/>
    </row>
    <row r="102" spans="1:6" x14ac:dyDescent="0.25">
      <c r="A102" s="4">
        <v>46232</v>
      </c>
      <c r="B102" s="2" t="s">
        <v>7648</v>
      </c>
      <c r="C102" s="2" t="s">
        <v>7650</v>
      </c>
      <c r="D102" s="23">
        <v>136</v>
      </c>
      <c r="E102" s="23">
        <f t="shared" si="2"/>
        <v>7</v>
      </c>
      <c r="F102" s="2"/>
    </row>
    <row r="103" spans="1:6" x14ac:dyDescent="0.25">
      <c r="A103" s="4">
        <v>46233</v>
      </c>
      <c r="B103" s="2" t="s">
        <v>7649</v>
      </c>
      <c r="C103" s="2" t="s">
        <v>7650</v>
      </c>
      <c r="D103" s="23">
        <v>142</v>
      </c>
      <c r="E103" s="23">
        <f t="shared" si="2"/>
        <v>6</v>
      </c>
      <c r="F103" s="2"/>
    </row>
    <row r="104" spans="1:6" x14ac:dyDescent="0.25">
      <c r="A104" s="4">
        <v>46234</v>
      </c>
      <c r="B104" s="2" t="s">
        <v>7653</v>
      </c>
      <c r="C104" s="2" t="s">
        <v>7650</v>
      </c>
      <c r="D104" s="23">
        <v>147</v>
      </c>
      <c r="E104" s="23">
        <f t="shared" si="2"/>
        <v>5</v>
      </c>
      <c r="F104" s="2"/>
    </row>
    <row r="105" spans="1:6" x14ac:dyDescent="0.25">
      <c r="A105" s="4">
        <v>46235</v>
      </c>
      <c r="B105" s="2" t="s">
        <v>7654</v>
      </c>
      <c r="C105" s="2" t="s">
        <v>7655</v>
      </c>
      <c r="D105" s="23">
        <v>147</v>
      </c>
      <c r="E105" s="23">
        <f t="shared" si="2"/>
        <v>0</v>
      </c>
      <c r="F105" s="2"/>
    </row>
    <row r="106" spans="1:6" x14ac:dyDescent="0.25">
      <c r="A106" s="4">
        <v>46236</v>
      </c>
      <c r="B106" s="2" t="s">
        <v>7658</v>
      </c>
      <c r="C106" s="2"/>
      <c r="D106" s="23">
        <v>147</v>
      </c>
      <c r="E106" s="23">
        <f t="shared" si="2"/>
        <v>0</v>
      </c>
      <c r="F106" s="2"/>
    </row>
    <row r="107" spans="1:6" x14ac:dyDescent="0.25">
      <c r="A107" s="4">
        <v>46237</v>
      </c>
      <c r="B107" s="2" t="s">
        <v>7659</v>
      </c>
      <c r="C107" s="2"/>
      <c r="D107" s="23">
        <v>147</v>
      </c>
      <c r="E107" s="23">
        <f t="shared" si="2"/>
        <v>0</v>
      </c>
      <c r="F107" s="2"/>
    </row>
    <row r="108" spans="1:6" x14ac:dyDescent="0.25">
      <c r="A108" s="4">
        <v>46238</v>
      </c>
      <c r="B108" s="2" t="s">
        <v>7657</v>
      </c>
      <c r="C108" s="2"/>
      <c r="D108" s="23">
        <v>148.5</v>
      </c>
      <c r="E108" s="23">
        <f t="shared" si="2"/>
        <v>1.5</v>
      </c>
      <c r="F108" s="2"/>
    </row>
    <row r="109" spans="1:6" x14ac:dyDescent="0.25">
      <c r="A109" s="4">
        <v>46239</v>
      </c>
      <c r="B109" s="2" t="s">
        <v>7660</v>
      </c>
      <c r="C109" s="2" t="s">
        <v>7661</v>
      </c>
      <c r="D109" s="23">
        <v>160</v>
      </c>
      <c r="E109" s="23">
        <f t="shared" si="2"/>
        <v>11.5</v>
      </c>
      <c r="F109" s="2"/>
    </row>
    <row r="110" spans="1:6" x14ac:dyDescent="0.25">
      <c r="A110" s="4">
        <v>46240</v>
      </c>
      <c r="B110" s="2" t="s">
        <v>7670</v>
      </c>
      <c r="C110" s="2" t="s">
        <v>6090</v>
      </c>
      <c r="D110" s="23"/>
      <c r="E110" s="23">
        <f t="shared" si="2"/>
        <v>-160</v>
      </c>
      <c r="F110" s="2"/>
    </row>
    <row r="111" spans="1:6" x14ac:dyDescent="0.25">
      <c r="A111" s="4">
        <v>46241</v>
      </c>
      <c r="B111" s="2" t="s">
        <v>7256</v>
      </c>
      <c r="C111" s="2" t="s">
        <v>7672</v>
      </c>
      <c r="D111" s="23"/>
      <c r="E111" s="23">
        <f t="shared" si="2"/>
        <v>0</v>
      </c>
      <c r="F111" s="2"/>
    </row>
    <row r="112" spans="1:6" x14ac:dyDescent="0.25">
      <c r="A112" s="4">
        <v>46242</v>
      </c>
      <c r="B112" s="2" t="s">
        <v>7678</v>
      </c>
      <c r="C112" s="2"/>
      <c r="D112" s="23"/>
      <c r="E112" s="23">
        <f t="shared" si="2"/>
        <v>0</v>
      </c>
      <c r="F112" s="2"/>
    </row>
    <row r="113" spans="1:6" x14ac:dyDescent="0.25">
      <c r="A113" s="4">
        <v>46243</v>
      </c>
      <c r="B113" s="2" t="s">
        <v>7679</v>
      </c>
      <c r="C113" s="2" t="s">
        <v>7680</v>
      </c>
      <c r="D113" s="23"/>
      <c r="E113" s="2"/>
      <c r="F113" s="2"/>
    </row>
    <row r="114" spans="1:6" x14ac:dyDescent="0.25">
      <c r="A114" s="4">
        <v>46244</v>
      </c>
      <c r="B114" s="2" t="s">
        <v>7687</v>
      </c>
      <c r="C114" s="2"/>
      <c r="D114" s="23"/>
      <c r="E114" s="2"/>
      <c r="F114" s="2"/>
    </row>
    <row r="115" spans="1:6" x14ac:dyDescent="0.25">
      <c r="A115" s="4">
        <v>46245</v>
      </c>
      <c r="B115" s="2" t="s">
        <v>7688</v>
      </c>
      <c r="C115" s="2" t="s">
        <v>7689</v>
      </c>
      <c r="D115" s="23"/>
      <c r="E115" s="2"/>
      <c r="F115" s="2"/>
    </row>
    <row r="116" spans="1:6" x14ac:dyDescent="0.25">
      <c r="A116" s="4">
        <v>46246</v>
      </c>
      <c r="B116" s="2" t="s">
        <v>7690</v>
      </c>
      <c r="C116" s="2"/>
      <c r="D116" s="23"/>
      <c r="E116" s="2"/>
      <c r="F116" s="2"/>
    </row>
    <row r="117" spans="1:6" x14ac:dyDescent="0.25">
      <c r="A117" s="4">
        <v>46247</v>
      </c>
      <c r="B117" s="2" t="s">
        <v>7689</v>
      </c>
      <c r="C117" s="2"/>
      <c r="D117" s="23"/>
      <c r="E117" s="2"/>
      <c r="F117" s="2"/>
    </row>
    <row r="118" spans="1:6" x14ac:dyDescent="0.25">
      <c r="A118" s="4">
        <v>46248</v>
      </c>
      <c r="B118" s="2"/>
      <c r="C118" s="2"/>
      <c r="D118" s="23"/>
      <c r="E118" s="2"/>
      <c r="F118" s="2"/>
    </row>
    <row r="119" spans="1:6" x14ac:dyDescent="0.25">
      <c r="A119" s="4">
        <v>46249</v>
      </c>
      <c r="B119" s="2"/>
      <c r="C119" s="2"/>
      <c r="D119" s="23"/>
      <c r="E119" s="2"/>
      <c r="F119" s="2"/>
    </row>
    <row r="120" spans="1:6" x14ac:dyDescent="0.25">
      <c r="A120" s="4">
        <v>46250</v>
      </c>
      <c r="B120" s="2"/>
      <c r="C120" s="2"/>
      <c r="D120" s="23"/>
      <c r="E120" s="2"/>
      <c r="F120" s="2"/>
    </row>
    <row r="121" spans="1:6" x14ac:dyDescent="0.25">
      <c r="A121" s="4">
        <v>46251</v>
      </c>
      <c r="B121" s="2"/>
      <c r="C121" s="2"/>
      <c r="D121" s="23"/>
      <c r="E121" s="2"/>
      <c r="F121" s="2"/>
    </row>
    <row r="122" spans="1:6" x14ac:dyDescent="0.25">
      <c r="A122" s="4">
        <v>46252</v>
      </c>
      <c r="B122" s="2"/>
      <c r="C122" s="2"/>
      <c r="D122" s="23"/>
      <c r="E122" s="2"/>
      <c r="F122" s="2"/>
    </row>
    <row r="123" spans="1:6" x14ac:dyDescent="0.25">
      <c r="A123" s="4">
        <v>46253</v>
      </c>
      <c r="B123" s="2" t="s">
        <v>7694</v>
      </c>
      <c r="C123" s="2"/>
      <c r="D123" s="23"/>
      <c r="E123" s="2"/>
      <c r="F123" s="2"/>
    </row>
    <row r="124" spans="1:6" x14ac:dyDescent="0.25">
      <c r="A124" s="4">
        <v>46254</v>
      </c>
      <c r="B124" s="2" t="s">
        <v>7694</v>
      </c>
      <c r="C124" s="2"/>
      <c r="D124" s="23"/>
      <c r="E124" s="2"/>
      <c r="F124" s="2"/>
    </row>
    <row r="125" spans="1:6" x14ac:dyDescent="0.25">
      <c r="A125" s="4">
        <v>46255</v>
      </c>
      <c r="B125" s="2"/>
      <c r="C125" s="2"/>
      <c r="D125" s="23"/>
      <c r="E125" s="2"/>
      <c r="F125" s="2"/>
    </row>
    <row r="126" spans="1:6" x14ac:dyDescent="0.25">
      <c r="A126" s="4">
        <v>46256</v>
      </c>
      <c r="B126" s="2"/>
      <c r="C126" s="2"/>
      <c r="D126" s="23"/>
      <c r="E126" s="2"/>
      <c r="F126" s="2"/>
    </row>
    <row r="127" spans="1:6" x14ac:dyDescent="0.25">
      <c r="A127" s="4">
        <v>46257</v>
      </c>
      <c r="B127" s="2"/>
      <c r="C127" s="2"/>
      <c r="D127" s="2"/>
      <c r="E127" s="2"/>
      <c r="F127" s="2"/>
    </row>
    <row r="128" spans="1:6" x14ac:dyDescent="0.25">
      <c r="A128" s="4">
        <v>46258</v>
      </c>
      <c r="B128" s="2"/>
      <c r="C128" s="2"/>
      <c r="D128" s="2"/>
      <c r="E128" s="2"/>
      <c r="F128" s="2"/>
    </row>
    <row r="129" spans="1:6" x14ac:dyDescent="0.25">
      <c r="A129" s="4">
        <v>46259</v>
      </c>
      <c r="B129" s="2"/>
      <c r="C129" s="2"/>
      <c r="D129" s="2"/>
      <c r="E129" s="2"/>
      <c r="F129" s="2"/>
    </row>
    <row r="130" spans="1:6" x14ac:dyDescent="0.25">
      <c r="A130" s="4">
        <v>46260</v>
      </c>
      <c r="B130" s="2"/>
      <c r="C130" s="2"/>
      <c r="D130" s="2"/>
      <c r="E130" s="2"/>
      <c r="F130" s="2"/>
    </row>
    <row r="131" spans="1:6" x14ac:dyDescent="0.25">
      <c r="A131" s="4">
        <v>46261</v>
      </c>
      <c r="B131" s="2"/>
      <c r="C131" s="2"/>
      <c r="D131" s="2"/>
      <c r="E131" s="2"/>
      <c r="F131" s="2"/>
    </row>
    <row r="132" spans="1:6" x14ac:dyDescent="0.25">
      <c r="A132" s="4">
        <v>46262</v>
      </c>
      <c r="B132" s="2"/>
      <c r="C132" s="2"/>
      <c r="D132" s="2"/>
      <c r="E132" s="2"/>
      <c r="F132" s="2"/>
    </row>
    <row r="133" spans="1:6" x14ac:dyDescent="0.25">
      <c r="A133" s="4">
        <v>46263</v>
      </c>
      <c r="B133" s="2"/>
      <c r="C133" s="2"/>
      <c r="D133" s="2"/>
      <c r="E133" s="2"/>
      <c r="F133" s="2"/>
    </row>
    <row r="134" spans="1:6" x14ac:dyDescent="0.25">
      <c r="A134" s="4">
        <v>46264</v>
      </c>
      <c r="B134" s="2"/>
      <c r="C134" s="2"/>
      <c r="D134" s="2"/>
      <c r="E134" s="2"/>
      <c r="F134" s="2"/>
    </row>
    <row r="135" spans="1:6" x14ac:dyDescent="0.25">
      <c r="A135" s="4">
        <v>46265</v>
      </c>
      <c r="B135" s="2"/>
      <c r="C135" s="2"/>
      <c r="D135" s="2"/>
      <c r="E135" s="2"/>
      <c r="F135" s="2"/>
    </row>
    <row r="136" spans="1:6" x14ac:dyDescent="0.25">
      <c r="A136" s="4">
        <v>46275</v>
      </c>
      <c r="B136" s="2" t="s">
        <v>7794</v>
      </c>
      <c r="C136" s="2"/>
      <c r="D136" s="2"/>
      <c r="E136" s="2"/>
      <c r="F136" s="2"/>
    </row>
    <row r="137" spans="1:6" x14ac:dyDescent="0.25">
      <c r="A137" s="4">
        <v>46276</v>
      </c>
      <c r="B137" s="2" t="s">
        <v>1766</v>
      </c>
      <c r="C137" s="2"/>
      <c r="D137" s="2"/>
      <c r="E137" s="2"/>
      <c r="F137" s="2"/>
    </row>
    <row r="138" spans="1:6" x14ac:dyDescent="0.25">
      <c r="A138" s="4">
        <v>46277</v>
      </c>
      <c r="B138" s="2"/>
      <c r="C138" s="2"/>
      <c r="D138" s="2"/>
      <c r="E138" s="2"/>
      <c r="F138" s="2"/>
    </row>
    <row r="139" spans="1:6" x14ac:dyDescent="0.25">
      <c r="A139" s="4">
        <v>46278</v>
      </c>
      <c r="B139" s="2"/>
      <c r="C139" s="2"/>
      <c r="D139" s="2"/>
      <c r="E139" s="2"/>
      <c r="F139" s="2"/>
    </row>
    <row r="140" spans="1:6" x14ac:dyDescent="0.25">
      <c r="A140" s="4">
        <v>46279</v>
      </c>
      <c r="B140" s="2"/>
      <c r="C140" s="2"/>
      <c r="D140" s="2"/>
      <c r="E140" s="2"/>
      <c r="F140" s="2"/>
    </row>
    <row r="141" spans="1:6" x14ac:dyDescent="0.25">
      <c r="A141" s="4">
        <v>46280</v>
      </c>
      <c r="B141" s="2"/>
      <c r="C141" s="2"/>
      <c r="D141" s="2"/>
      <c r="E141" s="2"/>
      <c r="F141" s="2"/>
    </row>
    <row r="142" spans="1:6" x14ac:dyDescent="0.25">
      <c r="A142" s="4">
        <v>46281</v>
      </c>
      <c r="B142" s="2"/>
      <c r="C142" s="2"/>
      <c r="D142" s="2"/>
      <c r="E142" s="2"/>
      <c r="F142" s="2"/>
    </row>
    <row r="143" spans="1:6" x14ac:dyDescent="0.25">
      <c r="A143" s="4">
        <v>46282</v>
      </c>
      <c r="B143" s="2"/>
      <c r="C143" s="2"/>
      <c r="D143" s="2"/>
      <c r="E143" s="2"/>
      <c r="F143" s="2"/>
    </row>
    <row r="144" spans="1:6" x14ac:dyDescent="0.25">
      <c r="A144" s="4">
        <v>46283</v>
      </c>
      <c r="B144" s="2"/>
      <c r="C144" s="2"/>
      <c r="D144" s="2"/>
      <c r="E144" s="2"/>
      <c r="F144" s="2"/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52C68-9DFC-493C-8D38-7D703BD8FC3E}">
  <dimension ref="A1:F76"/>
  <sheetViews>
    <sheetView topLeftCell="A50" workbookViewId="0">
      <selection activeCell="B70" sqref="B70"/>
    </sheetView>
  </sheetViews>
  <sheetFormatPr defaultRowHeight="15" x14ac:dyDescent="0.25"/>
  <cols>
    <col min="1" max="1" width="16.28515625" customWidth="1"/>
    <col min="2" max="2" width="72" bestFit="1" customWidth="1"/>
    <col min="3" max="3" width="42.140625" bestFit="1" customWidth="1"/>
    <col min="4" max="4" width="11" style="24" customWidth="1"/>
    <col min="5" max="5" width="10.85546875" customWidth="1"/>
  </cols>
  <sheetData>
    <row r="1" spans="1:6" x14ac:dyDescent="0.25">
      <c r="A1" t="s">
        <v>6997</v>
      </c>
    </row>
    <row r="2" spans="1:6" x14ac:dyDescent="0.25">
      <c r="A2" t="s">
        <v>6998</v>
      </c>
    </row>
    <row r="3" spans="1:6" x14ac:dyDescent="0.25">
      <c r="A3" t="s">
        <v>7001</v>
      </c>
    </row>
    <row r="4" spans="1:6" x14ac:dyDescent="0.25">
      <c r="A4" t="s">
        <v>6999</v>
      </c>
    </row>
    <row r="5" spans="1:6" x14ac:dyDescent="0.25">
      <c r="A5" t="s">
        <v>7000</v>
      </c>
    </row>
    <row r="6" spans="1:6" x14ac:dyDescent="0.25">
      <c r="A6" t="s">
        <v>7002</v>
      </c>
    </row>
    <row r="7" spans="1:6" x14ac:dyDescent="0.25">
      <c r="A7" s="144" t="s">
        <v>7006</v>
      </c>
      <c r="B7" t="s">
        <v>7051</v>
      </c>
      <c r="E7" s="24"/>
    </row>
    <row r="8" spans="1:6" ht="15.75" x14ac:dyDescent="0.25">
      <c r="A8" s="10" t="s">
        <v>0</v>
      </c>
      <c r="B8" s="11" t="s">
        <v>1</v>
      </c>
      <c r="C8" s="11" t="s">
        <v>2</v>
      </c>
      <c r="D8" s="11" t="s">
        <v>1095</v>
      </c>
      <c r="E8" s="11" t="s">
        <v>7052</v>
      </c>
      <c r="F8" s="11" t="s">
        <v>1507</v>
      </c>
    </row>
    <row r="9" spans="1:6" x14ac:dyDescent="0.25">
      <c r="A9" s="4">
        <v>46149</v>
      </c>
      <c r="B9" s="2"/>
      <c r="C9" s="2"/>
      <c r="D9" s="23"/>
      <c r="E9" s="23"/>
      <c r="F9" s="2"/>
    </row>
    <row r="10" spans="1:6" x14ac:dyDescent="0.25">
      <c r="A10" s="4">
        <v>46150</v>
      </c>
      <c r="B10" s="2" t="s">
        <v>7007</v>
      </c>
      <c r="C10" s="2"/>
      <c r="D10" s="23"/>
      <c r="E10" s="23"/>
      <c r="F10" s="2"/>
    </row>
    <row r="11" spans="1:6" x14ac:dyDescent="0.25">
      <c r="A11" s="4">
        <v>46151</v>
      </c>
      <c r="B11" s="2"/>
      <c r="C11" s="2"/>
      <c r="D11" s="23"/>
      <c r="E11" s="23"/>
      <c r="F11" s="2"/>
    </row>
    <row r="12" spans="1:6" x14ac:dyDescent="0.25">
      <c r="A12" s="4">
        <v>46152</v>
      </c>
      <c r="B12" s="2"/>
      <c r="C12" s="58"/>
      <c r="D12" s="23"/>
      <c r="E12" s="23"/>
      <c r="F12" s="2"/>
    </row>
    <row r="13" spans="1:6" x14ac:dyDescent="0.25">
      <c r="A13" s="4">
        <v>46153</v>
      </c>
      <c r="B13" s="2" t="s">
        <v>7015</v>
      </c>
      <c r="C13" s="16"/>
      <c r="D13" s="23"/>
      <c r="E13" s="23"/>
      <c r="F13" s="2"/>
    </row>
    <row r="14" spans="1:6" x14ac:dyDescent="0.25">
      <c r="A14" s="4">
        <v>46154</v>
      </c>
      <c r="B14" s="2" t="s">
        <v>7033</v>
      </c>
      <c r="C14" s="58"/>
      <c r="D14" s="23"/>
      <c r="E14" s="23"/>
      <c r="F14" s="2"/>
    </row>
    <row r="15" spans="1:6" x14ac:dyDescent="0.25">
      <c r="A15" s="4">
        <v>46155</v>
      </c>
      <c r="B15" s="2" t="s">
        <v>7034</v>
      </c>
      <c r="C15" s="53" t="s">
        <v>7073</v>
      </c>
      <c r="D15" s="33"/>
      <c r="E15" s="33">
        <v>15</v>
      </c>
      <c r="F15" s="2"/>
    </row>
    <row r="16" spans="1:6" x14ac:dyDescent="0.25">
      <c r="A16" s="4">
        <v>46156</v>
      </c>
      <c r="B16" s="2" t="s">
        <v>7042</v>
      </c>
      <c r="C16" s="2" t="s">
        <v>7054</v>
      </c>
      <c r="D16" s="23">
        <v>4</v>
      </c>
      <c r="E16" s="23">
        <f>E15-D16</f>
        <v>11</v>
      </c>
      <c r="F16" s="2"/>
    </row>
    <row r="17" spans="1:6" x14ac:dyDescent="0.25">
      <c r="A17" s="4">
        <v>46157</v>
      </c>
      <c r="B17" s="2" t="s">
        <v>7050</v>
      </c>
      <c r="C17" s="2"/>
      <c r="D17" s="23">
        <v>6</v>
      </c>
      <c r="E17" s="23">
        <f t="shared" ref="E17:E26" si="0">E16-D17</f>
        <v>5</v>
      </c>
      <c r="F17" s="2"/>
    </row>
    <row r="18" spans="1:6" x14ac:dyDescent="0.25">
      <c r="A18" s="4">
        <v>46158</v>
      </c>
      <c r="B18" s="2" t="s">
        <v>7055</v>
      </c>
      <c r="C18" s="2"/>
      <c r="D18" s="23">
        <v>0</v>
      </c>
      <c r="E18" s="23">
        <f t="shared" si="0"/>
        <v>5</v>
      </c>
      <c r="F18" s="2"/>
    </row>
    <row r="19" spans="1:6" x14ac:dyDescent="0.25">
      <c r="A19" s="4">
        <v>46159</v>
      </c>
      <c r="B19" s="2" t="s">
        <v>7063</v>
      </c>
      <c r="C19" s="2" t="s">
        <v>1766</v>
      </c>
      <c r="D19" s="23">
        <v>5</v>
      </c>
      <c r="E19" s="23">
        <f t="shared" si="0"/>
        <v>0</v>
      </c>
      <c r="F19" s="2"/>
    </row>
    <row r="20" spans="1:6" x14ac:dyDescent="0.25">
      <c r="A20" s="4">
        <v>46160</v>
      </c>
      <c r="B20" s="2" t="s">
        <v>7071</v>
      </c>
      <c r="C20" s="53" t="s">
        <v>7072</v>
      </c>
      <c r="D20" s="33"/>
      <c r="E20" s="33">
        <v>30</v>
      </c>
      <c r="F20" s="2"/>
    </row>
    <row r="21" spans="1:6" x14ac:dyDescent="0.25">
      <c r="A21" s="4">
        <v>46161</v>
      </c>
      <c r="B21" s="2" t="s">
        <v>7077</v>
      </c>
      <c r="C21" s="2"/>
      <c r="D21" s="23">
        <v>5</v>
      </c>
      <c r="E21" s="23">
        <f t="shared" si="0"/>
        <v>25</v>
      </c>
      <c r="F21" s="2"/>
    </row>
    <row r="22" spans="1:6" x14ac:dyDescent="0.25">
      <c r="A22" s="4">
        <v>46162</v>
      </c>
      <c r="B22" s="2" t="s">
        <v>7076</v>
      </c>
      <c r="C22" s="2"/>
      <c r="D22" s="23">
        <v>21</v>
      </c>
      <c r="E22" s="23">
        <f t="shared" si="0"/>
        <v>4</v>
      </c>
      <c r="F22" s="2"/>
    </row>
    <row r="23" spans="1:6" x14ac:dyDescent="0.25">
      <c r="A23" s="4">
        <v>46163</v>
      </c>
      <c r="B23" s="2" t="s">
        <v>7083</v>
      </c>
      <c r="C23" s="2"/>
      <c r="D23" s="23">
        <v>4</v>
      </c>
      <c r="E23" s="23">
        <f t="shared" si="0"/>
        <v>0</v>
      </c>
      <c r="F23" s="2"/>
    </row>
    <row r="24" spans="1:6" x14ac:dyDescent="0.25">
      <c r="A24" s="4">
        <v>46163</v>
      </c>
      <c r="B24" s="2" t="s">
        <v>7084</v>
      </c>
      <c r="C24" s="2"/>
      <c r="D24" s="23"/>
      <c r="E24" s="23">
        <f t="shared" si="0"/>
        <v>0</v>
      </c>
      <c r="F24" s="2"/>
    </row>
    <row r="25" spans="1:6" x14ac:dyDescent="0.25">
      <c r="A25" s="4">
        <v>46163</v>
      </c>
      <c r="B25" s="2" t="s">
        <v>7085</v>
      </c>
      <c r="C25" s="2"/>
      <c r="D25" s="23"/>
      <c r="E25" s="23">
        <f t="shared" si="0"/>
        <v>0</v>
      </c>
      <c r="F25" s="2"/>
    </row>
    <row r="26" spans="1:6" x14ac:dyDescent="0.25">
      <c r="A26" s="4">
        <v>46163</v>
      </c>
      <c r="B26" s="2" t="s">
        <v>7086</v>
      </c>
      <c r="C26" s="2"/>
      <c r="D26" s="23"/>
      <c r="E26" s="23">
        <f t="shared" si="0"/>
        <v>0</v>
      </c>
      <c r="F26" s="2"/>
    </row>
    <row r="27" spans="1:6" x14ac:dyDescent="0.25">
      <c r="A27" s="4">
        <v>46163</v>
      </c>
      <c r="B27" s="2" t="s">
        <v>7087</v>
      </c>
      <c r="C27" s="2"/>
      <c r="D27" s="23"/>
      <c r="E27" s="23"/>
      <c r="F27" s="2"/>
    </row>
    <row r="28" spans="1:6" x14ac:dyDescent="0.25">
      <c r="A28" s="4">
        <v>46163</v>
      </c>
      <c r="B28" s="2" t="s">
        <v>7088</v>
      </c>
      <c r="C28" s="2"/>
      <c r="D28" s="23"/>
      <c r="E28" s="23"/>
      <c r="F28" s="2"/>
    </row>
    <row r="29" spans="1:6" x14ac:dyDescent="0.25">
      <c r="A29" s="4">
        <v>46163</v>
      </c>
      <c r="B29" s="2" t="s">
        <v>7089</v>
      </c>
      <c r="C29" s="2"/>
      <c r="D29" s="23"/>
      <c r="E29" s="23"/>
      <c r="F29" s="2"/>
    </row>
    <row r="30" spans="1:6" x14ac:dyDescent="0.25">
      <c r="A30" s="4">
        <v>46164</v>
      </c>
      <c r="B30" s="2"/>
      <c r="C30" s="2"/>
      <c r="D30" s="23"/>
      <c r="E30" s="23"/>
      <c r="F30" s="2"/>
    </row>
    <row r="31" spans="1:6" x14ac:dyDescent="0.25">
      <c r="A31" s="4">
        <v>46165</v>
      </c>
      <c r="B31" s="2" t="s">
        <v>7110</v>
      </c>
      <c r="C31" s="2"/>
      <c r="D31" s="23"/>
      <c r="E31" s="23"/>
      <c r="F31" s="2"/>
    </row>
    <row r="32" spans="1:6" x14ac:dyDescent="0.25">
      <c r="A32" s="4">
        <v>46165</v>
      </c>
      <c r="B32" s="2" t="s">
        <v>7111</v>
      </c>
      <c r="C32" s="2"/>
      <c r="D32" s="23"/>
      <c r="E32" s="23"/>
      <c r="F32" s="2"/>
    </row>
    <row r="33" spans="1:6" x14ac:dyDescent="0.25">
      <c r="A33" s="4">
        <v>46165</v>
      </c>
      <c r="B33" s="158" t="s">
        <v>7112</v>
      </c>
      <c r="C33" s="2"/>
      <c r="D33" s="23"/>
      <c r="E33" s="23"/>
      <c r="F33" s="2"/>
    </row>
    <row r="34" spans="1:6" x14ac:dyDescent="0.25">
      <c r="A34" s="4">
        <v>46165</v>
      </c>
      <c r="B34" s="145" t="s">
        <v>7113</v>
      </c>
      <c r="C34" s="181" t="s">
        <v>7118</v>
      </c>
      <c r="D34" s="23"/>
      <c r="E34" s="23"/>
      <c r="F34" s="2"/>
    </row>
    <row r="35" spans="1:6" x14ac:dyDescent="0.25">
      <c r="A35" s="4">
        <v>46165</v>
      </c>
      <c r="B35" s="145" t="s">
        <v>7114</v>
      </c>
      <c r="C35" s="182"/>
      <c r="D35" s="23"/>
      <c r="E35" s="23"/>
      <c r="F35" s="2"/>
    </row>
    <row r="36" spans="1:6" x14ac:dyDescent="0.25">
      <c r="A36" s="4">
        <v>46165</v>
      </c>
      <c r="B36" s="145" t="s">
        <v>7115</v>
      </c>
      <c r="C36" s="182"/>
      <c r="D36" s="23"/>
      <c r="E36" s="23"/>
      <c r="F36" s="2"/>
    </row>
    <row r="37" spans="1:6" x14ac:dyDescent="0.25">
      <c r="A37" s="4">
        <v>46165</v>
      </c>
      <c r="B37" s="145" t="s">
        <v>7116</v>
      </c>
      <c r="C37" s="182"/>
      <c r="D37" s="23"/>
      <c r="E37" s="23"/>
      <c r="F37" s="2"/>
    </row>
    <row r="38" spans="1:6" x14ac:dyDescent="0.25">
      <c r="A38" s="4">
        <v>46165</v>
      </c>
      <c r="B38" s="145" t="s">
        <v>7117</v>
      </c>
      <c r="C38" s="183"/>
      <c r="D38" s="23"/>
      <c r="E38" s="23"/>
      <c r="F38" s="2"/>
    </row>
    <row r="39" spans="1:6" x14ac:dyDescent="0.25">
      <c r="A39" s="4">
        <v>46166</v>
      </c>
      <c r="B39" s="2"/>
      <c r="C39" s="2"/>
      <c r="D39" s="23"/>
      <c r="E39" s="23"/>
      <c r="F39" s="2"/>
    </row>
    <row r="40" spans="1:6" x14ac:dyDescent="0.25">
      <c r="A40" s="4">
        <v>46167</v>
      </c>
      <c r="B40" s="2"/>
      <c r="C40" s="2"/>
      <c r="D40" s="23"/>
      <c r="E40" s="2"/>
      <c r="F40" s="2"/>
    </row>
    <row r="41" spans="1:6" x14ac:dyDescent="0.25">
      <c r="A41" s="4">
        <v>46168</v>
      </c>
      <c r="B41" s="2"/>
      <c r="C41" s="2"/>
      <c r="D41" s="23"/>
      <c r="E41" s="2"/>
      <c r="F41" s="2"/>
    </row>
    <row r="42" spans="1:6" x14ac:dyDescent="0.25">
      <c r="A42" s="4">
        <v>46169</v>
      </c>
      <c r="B42" s="2"/>
      <c r="C42" s="2"/>
      <c r="D42" s="23"/>
      <c r="E42" s="2"/>
      <c r="F42" s="2"/>
    </row>
    <row r="43" spans="1:6" x14ac:dyDescent="0.25">
      <c r="A43" s="4">
        <v>46170</v>
      </c>
      <c r="B43" s="2"/>
      <c r="C43" s="2"/>
      <c r="D43" s="23"/>
      <c r="E43" s="2"/>
      <c r="F43" s="2"/>
    </row>
    <row r="44" spans="1:6" x14ac:dyDescent="0.25">
      <c r="A44" s="4">
        <v>46171</v>
      </c>
      <c r="B44" s="2"/>
      <c r="C44" s="2"/>
      <c r="D44" s="23"/>
      <c r="E44" s="2"/>
      <c r="F44" s="2"/>
    </row>
    <row r="45" spans="1:6" x14ac:dyDescent="0.25">
      <c r="A45" s="4">
        <v>46172</v>
      </c>
      <c r="B45" s="2" t="s">
        <v>7147</v>
      </c>
      <c r="C45" s="2"/>
      <c r="D45" s="23"/>
      <c r="E45" s="2"/>
      <c r="F45" s="2"/>
    </row>
    <row r="46" spans="1:6" x14ac:dyDescent="0.25">
      <c r="A46" s="4">
        <v>46173</v>
      </c>
      <c r="B46" s="2" t="s">
        <v>7147</v>
      </c>
      <c r="C46" s="2"/>
      <c r="D46" s="23"/>
      <c r="E46" s="2"/>
      <c r="F46" s="2"/>
    </row>
    <row r="47" spans="1:6" x14ac:dyDescent="0.25">
      <c r="A47" s="4">
        <v>46174</v>
      </c>
      <c r="B47" s="2" t="s">
        <v>7156</v>
      </c>
      <c r="C47" s="2"/>
      <c r="D47" s="23"/>
      <c r="E47" s="2"/>
      <c r="F47" s="2"/>
    </row>
    <row r="48" spans="1:6" x14ac:dyDescent="0.25">
      <c r="A48" s="4">
        <v>46175</v>
      </c>
      <c r="B48" s="2" t="s">
        <v>7157</v>
      </c>
      <c r="C48" s="2"/>
      <c r="D48" s="23"/>
      <c r="E48" s="2"/>
      <c r="F48" s="2"/>
    </row>
    <row r="49" spans="1:6" x14ac:dyDescent="0.25">
      <c r="A49" s="4">
        <v>46176</v>
      </c>
      <c r="B49" s="2" t="s">
        <v>7157</v>
      </c>
      <c r="C49" s="2"/>
      <c r="D49" s="23"/>
      <c r="E49" s="2"/>
      <c r="F49" s="2"/>
    </row>
    <row r="50" spans="1:6" x14ac:dyDescent="0.25">
      <c r="A50" s="4">
        <v>46177</v>
      </c>
      <c r="B50" s="2" t="s">
        <v>7170</v>
      </c>
      <c r="C50" s="2"/>
      <c r="D50" s="23"/>
      <c r="E50" s="2"/>
      <c r="F50" s="2"/>
    </row>
    <row r="51" spans="1:6" x14ac:dyDescent="0.25">
      <c r="A51" s="4">
        <v>46178</v>
      </c>
      <c r="B51" s="2" t="s">
        <v>7171</v>
      </c>
      <c r="C51" s="2"/>
      <c r="D51" s="23"/>
      <c r="E51" s="2"/>
      <c r="F51" s="2"/>
    </row>
    <row r="52" spans="1:6" x14ac:dyDescent="0.25">
      <c r="A52" s="4">
        <v>46179</v>
      </c>
      <c r="B52" s="2" t="s">
        <v>7172</v>
      </c>
      <c r="C52" s="2"/>
      <c r="D52" s="23"/>
      <c r="E52" s="2"/>
      <c r="F52" s="2"/>
    </row>
    <row r="53" spans="1:6" x14ac:dyDescent="0.25">
      <c r="A53" s="4">
        <v>46180</v>
      </c>
      <c r="B53" s="2" t="s">
        <v>7173</v>
      </c>
      <c r="C53" s="2"/>
      <c r="D53" s="23"/>
      <c r="E53" s="2"/>
      <c r="F53" s="2"/>
    </row>
    <row r="54" spans="1:6" x14ac:dyDescent="0.25">
      <c r="A54" s="4">
        <v>46181</v>
      </c>
      <c r="B54" s="2" t="s">
        <v>7173</v>
      </c>
      <c r="C54" s="2"/>
      <c r="D54" s="23"/>
      <c r="E54" s="2"/>
      <c r="F54" s="2"/>
    </row>
    <row r="55" spans="1:6" x14ac:dyDescent="0.25">
      <c r="A55" s="4">
        <v>46182</v>
      </c>
      <c r="B55" s="2" t="s">
        <v>7203</v>
      </c>
      <c r="C55" s="2"/>
      <c r="D55" s="23"/>
      <c r="E55" s="2"/>
      <c r="F55" s="2"/>
    </row>
    <row r="56" spans="1:6" x14ac:dyDescent="0.25">
      <c r="A56" s="4">
        <v>46183</v>
      </c>
      <c r="B56" s="2"/>
      <c r="C56" s="2"/>
      <c r="D56" s="23"/>
      <c r="E56" s="2"/>
      <c r="F56" s="2"/>
    </row>
    <row r="57" spans="1:6" x14ac:dyDescent="0.25">
      <c r="A57" s="4">
        <v>46184</v>
      </c>
      <c r="B57" s="2" t="s">
        <v>4597</v>
      </c>
      <c r="C57" s="2"/>
      <c r="D57" s="23"/>
      <c r="E57" s="2"/>
      <c r="F57" s="2"/>
    </row>
    <row r="58" spans="1:6" x14ac:dyDescent="0.25">
      <c r="A58" s="4">
        <v>46185</v>
      </c>
      <c r="B58" s="2"/>
      <c r="C58" s="2"/>
      <c r="D58" s="23"/>
      <c r="E58" s="2"/>
      <c r="F58" s="2"/>
    </row>
    <row r="59" spans="1:6" x14ac:dyDescent="0.25">
      <c r="A59" s="4">
        <v>46186</v>
      </c>
      <c r="B59" s="2"/>
      <c r="C59" s="2"/>
      <c r="D59" s="23"/>
      <c r="E59" s="2"/>
      <c r="F59" s="2"/>
    </row>
    <row r="60" spans="1:6" x14ac:dyDescent="0.25">
      <c r="A60" s="4">
        <v>46187</v>
      </c>
      <c r="B60" s="2"/>
      <c r="C60" s="2"/>
      <c r="D60" s="23"/>
      <c r="E60" s="2"/>
      <c r="F60" s="2"/>
    </row>
    <row r="61" spans="1:6" x14ac:dyDescent="0.25">
      <c r="A61" s="4">
        <v>46188</v>
      </c>
      <c r="B61" s="2"/>
      <c r="C61" s="2"/>
      <c r="D61" s="23"/>
      <c r="E61" s="2"/>
      <c r="F61" s="2"/>
    </row>
    <row r="62" spans="1:6" x14ac:dyDescent="0.25">
      <c r="A62" s="4">
        <v>46189</v>
      </c>
      <c r="B62" s="2"/>
      <c r="C62" s="2"/>
      <c r="D62" s="23"/>
      <c r="E62" s="2"/>
      <c r="F62" s="2"/>
    </row>
    <row r="63" spans="1:6" x14ac:dyDescent="0.25">
      <c r="A63" s="4">
        <v>46190</v>
      </c>
      <c r="B63" s="2" t="s">
        <v>7246</v>
      </c>
      <c r="C63" s="2"/>
      <c r="D63" s="23"/>
      <c r="E63" s="2"/>
      <c r="F63" s="2"/>
    </row>
    <row r="64" spans="1:6" x14ac:dyDescent="0.25">
      <c r="A64" s="4">
        <v>46191</v>
      </c>
      <c r="B64" s="2"/>
      <c r="C64" s="2"/>
      <c r="D64" s="23"/>
      <c r="E64" s="2"/>
      <c r="F64" s="2"/>
    </row>
    <row r="65" spans="1:6" x14ac:dyDescent="0.25">
      <c r="A65" s="4">
        <v>46192</v>
      </c>
      <c r="B65" s="2"/>
      <c r="C65" s="2"/>
      <c r="D65" s="23"/>
      <c r="E65" s="2"/>
      <c r="F65" s="2"/>
    </row>
    <row r="66" spans="1:6" x14ac:dyDescent="0.25">
      <c r="A66" s="4">
        <v>46193</v>
      </c>
      <c r="B66" s="2"/>
      <c r="C66" s="2"/>
      <c r="D66" s="23"/>
      <c r="E66" s="2"/>
      <c r="F66" s="2"/>
    </row>
    <row r="67" spans="1:6" x14ac:dyDescent="0.25">
      <c r="A67" s="4">
        <v>46194</v>
      </c>
      <c r="B67" s="2"/>
      <c r="C67" s="2"/>
      <c r="D67" s="23"/>
      <c r="E67" s="2"/>
      <c r="F67" s="2"/>
    </row>
    <row r="68" spans="1:6" x14ac:dyDescent="0.25">
      <c r="A68" s="4">
        <v>46195</v>
      </c>
      <c r="B68" s="2"/>
      <c r="C68" s="2"/>
      <c r="D68" s="23"/>
      <c r="E68" s="2"/>
      <c r="F68" s="2"/>
    </row>
    <row r="69" spans="1:6" x14ac:dyDescent="0.25">
      <c r="A69" s="4">
        <v>46196</v>
      </c>
      <c r="B69" s="2"/>
      <c r="C69" s="2"/>
      <c r="D69" s="23"/>
      <c r="E69" s="2"/>
      <c r="F69" s="2"/>
    </row>
    <row r="70" spans="1:6" x14ac:dyDescent="0.25">
      <c r="A70" s="4">
        <v>46197</v>
      </c>
      <c r="B70" s="2"/>
      <c r="C70" s="2"/>
      <c r="D70" s="23"/>
      <c r="E70" s="2"/>
      <c r="F70" s="2"/>
    </row>
    <row r="71" spans="1:6" x14ac:dyDescent="0.25">
      <c r="A71" s="4">
        <v>46198</v>
      </c>
      <c r="B71" s="2"/>
      <c r="C71" s="2"/>
      <c r="D71" s="23"/>
      <c r="E71" s="2"/>
      <c r="F71" s="2"/>
    </row>
    <row r="72" spans="1:6" x14ac:dyDescent="0.25">
      <c r="A72" s="4">
        <v>46199</v>
      </c>
      <c r="B72" s="2"/>
      <c r="C72" s="2"/>
      <c r="D72" s="23"/>
      <c r="E72" s="2"/>
      <c r="F72" s="2"/>
    </row>
    <row r="73" spans="1:6" x14ac:dyDescent="0.25">
      <c r="A73" s="4">
        <v>46200</v>
      </c>
      <c r="B73" s="2"/>
      <c r="C73" s="2"/>
      <c r="D73" s="23"/>
      <c r="E73" s="2"/>
      <c r="F73" s="2"/>
    </row>
    <row r="74" spans="1:6" x14ac:dyDescent="0.25">
      <c r="A74" s="4">
        <v>46201</v>
      </c>
      <c r="B74" s="2"/>
      <c r="C74" s="2"/>
      <c r="D74" s="23"/>
      <c r="E74" s="2"/>
      <c r="F74" s="2"/>
    </row>
    <row r="75" spans="1:6" x14ac:dyDescent="0.25">
      <c r="A75" s="4">
        <v>46202</v>
      </c>
      <c r="B75" s="2"/>
      <c r="C75" s="2"/>
      <c r="D75" s="23"/>
      <c r="E75" s="2"/>
      <c r="F75" s="2"/>
    </row>
    <row r="76" spans="1:6" x14ac:dyDescent="0.25">
      <c r="A76" s="4">
        <v>46203</v>
      </c>
      <c r="B76" s="2"/>
      <c r="C76" s="2"/>
      <c r="D76" s="23"/>
      <c r="E76" s="2"/>
      <c r="F76" s="2"/>
    </row>
  </sheetData>
  <mergeCells count="1">
    <mergeCell ref="C34:C38"/>
  </mergeCells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08333-1380-4294-AFD1-A0A599C7A988}">
  <dimension ref="A1:F84"/>
  <sheetViews>
    <sheetView topLeftCell="A52" workbookViewId="0">
      <selection activeCell="C71" sqref="C71"/>
    </sheetView>
  </sheetViews>
  <sheetFormatPr defaultRowHeight="15" x14ac:dyDescent="0.25"/>
  <cols>
    <col min="1" max="1" width="19.140625" bestFit="1" customWidth="1"/>
    <col min="2" max="2" width="72" bestFit="1" customWidth="1"/>
    <col min="3" max="3" width="42.140625" bestFit="1" customWidth="1"/>
    <col min="4" max="4" width="11.85546875" bestFit="1" customWidth="1"/>
    <col min="5" max="5" width="8.42578125" bestFit="1" customWidth="1"/>
    <col min="6" max="6" width="11" bestFit="1" customWidth="1"/>
  </cols>
  <sheetData>
    <row r="1" spans="1:6" x14ac:dyDescent="0.25">
      <c r="A1" t="s">
        <v>6997</v>
      </c>
    </row>
    <row r="2" spans="1:6" x14ac:dyDescent="0.25">
      <c r="A2" t="s">
        <v>7003</v>
      </c>
    </row>
    <row r="3" spans="1:6" x14ac:dyDescent="0.25">
      <c r="A3" t="s">
        <v>7004</v>
      </c>
    </row>
    <row r="4" spans="1:6" x14ac:dyDescent="0.25">
      <c r="A4" t="s">
        <v>7005</v>
      </c>
    </row>
    <row r="5" spans="1:6" x14ac:dyDescent="0.25">
      <c r="A5" s="144" t="s">
        <v>7006</v>
      </c>
      <c r="E5" s="24"/>
    </row>
    <row r="6" spans="1:6" ht="15.75" x14ac:dyDescent="0.25">
      <c r="A6" s="10" t="s">
        <v>0</v>
      </c>
      <c r="B6" s="11" t="s">
        <v>1</v>
      </c>
      <c r="C6" s="11" t="s">
        <v>2</v>
      </c>
      <c r="D6" s="11" t="s">
        <v>934</v>
      </c>
      <c r="E6" s="11" t="s">
        <v>1095</v>
      </c>
      <c r="F6" s="11" t="s">
        <v>1507</v>
      </c>
    </row>
    <row r="7" spans="1:6" x14ac:dyDescent="0.25">
      <c r="A7" s="4">
        <v>46153</v>
      </c>
      <c r="B7" s="2" t="s">
        <v>7016</v>
      </c>
      <c r="C7" s="2"/>
      <c r="D7" s="23"/>
      <c r="E7" s="23"/>
      <c r="F7" s="2"/>
    </row>
    <row r="8" spans="1:6" x14ac:dyDescent="0.25">
      <c r="A8" s="4">
        <v>46154</v>
      </c>
      <c r="B8" s="2"/>
      <c r="C8" s="2"/>
      <c r="D8" s="23"/>
      <c r="E8" s="23">
        <f>D8-D7</f>
        <v>0</v>
      </c>
      <c r="F8" s="2"/>
    </row>
    <row r="9" spans="1:6" x14ac:dyDescent="0.25">
      <c r="A9" s="4">
        <v>46155</v>
      </c>
      <c r="B9" s="2"/>
      <c r="C9" s="2"/>
      <c r="D9" s="23"/>
      <c r="E9" s="23">
        <f>D9-D8</f>
        <v>0</v>
      </c>
      <c r="F9" s="2"/>
    </row>
    <row r="10" spans="1:6" x14ac:dyDescent="0.25">
      <c r="A10" s="4">
        <v>46156</v>
      </c>
      <c r="B10" s="2"/>
      <c r="C10" s="58"/>
      <c r="D10" s="23"/>
      <c r="E10" s="23">
        <f t="shared" ref="E10:E26" si="0">D10-D9</f>
        <v>0</v>
      </c>
      <c r="F10" s="2"/>
    </row>
    <row r="11" spans="1:6" x14ac:dyDescent="0.25">
      <c r="A11" s="4">
        <v>46157</v>
      </c>
      <c r="B11" s="2" t="s">
        <v>7043</v>
      </c>
      <c r="C11" s="16"/>
      <c r="D11" s="23"/>
      <c r="E11" s="23">
        <f t="shared" si="0"/>
        <v>0</v>
      </c>
      <c r="F11" s="2"/>
    </row>
    <row r="12" spans="1:6" x14ac:dyDescent="0.25">
      <c r="A12" s="4">
        <v>46158</v>
      </c>
      <c r="B12" s="2" t="s">
        <v>7043</v>
      </c>
      <c r="C12" s="58"/>
      <c r="D12" s="23"/>
      <c r="E12" s="23">
        <f t="shared" si="0"/>
        <v>0</v>
      </c>
      <c r="F12" s="2"/>
    </row>
    <row r="13" spans="1:6" x14ac:dyDescent="0.25">
      <c r="A13" s="4">
        <v>46159</v>
      </c>
      <c r="B13" s="2" t="s">
        <v>7062</v>
      </c>
      <c r="C13" s="2"/>
      <c r="D13" s="2"/>
      <c r="E13" s="23">
        <f t="shared" si="0"/>
        <v>0</v>
      </c>
      <c r="F13" s="2"/>
    </row>
    <row r="14" spans="1:6" x14ac:dyDescent="0.25">
      <c r="A14" s="4">
        <v>46160</v>
      </c>
      <c r="B14" s="2" t="s">
        <v>7483</v>
      </c>
      <c r="C14" s="2"/>
      <c r="D14" s="2"/>
      <c r="E14" s="23">
        <f t="shared" si="0"/>
        <v>0</v>
      </c>
      <c r="F14" s="2"/>
    </row>
    <row r="15" spans="1:6" x14ac:dyDescent="0.25">
      <c r="A15" s="4">
        <v>46161</v>
      </c>
      <c r="B15" s="2" t="s">
        <v>7484</v>
      </c>
      <c r="C15" s="2"/>
      <c r="D15" s="2"/>
      <c r="E15" s="23">
        <f t="shared" si="0"/>
        <v>0</v>
      </c>
      <c r="F15" s="2"/>
    </row>
    <row r="16" spans="1:6" x14ac:dyDescent="0.25">
      <c r="A16" s="4">
        <v>46162</v>
      </c>
      <c r="B16" s="2" t="s">
        <v>7484</v>
      </c>
      <c r="C16" s="2"/>
      <c r="D16" s="2"/>
      <c r="E16" s="23">
        <f t="shared" si="0"/>
        <v>0</v>
      </c>
      <c r="F16" s="2"/>
    </row>
    <row r="17" spans="1:6" x14ac:dyDescent="0.25">
      <c r="A17" s="4">
        <v>46163</v>
      </c>
      <c r="B17" s="2" t="s">
        <v>7484</v>
      </c>
      <c r="C17" s="2"/>
      <c r="D17" s="2"/>
      <c r="E17" s="23">
        <f t="shared" si="0"/>
        <v>0</v>
      </c>
      <c r="F17" s="2"/>
    </row>
    <row r="18" spans="1:6" x14ac:dyDescent="0.25">
      <c r="A18" s="4">
        <v>46164</v>
      </c>
      <c r="B18" s="2" t="s">
        <v>7484</v>
      </c>
      <c r="C18" s="2"/>
      <c r="D18" s="2"/>
      <c r="E18" s="23">
        <f t="shared" si="0"/>
        <v>0</v>
      </c>
      <c r="F18" s="2"/>
    </row>
    <row r="19" spans="1:6" x14ac:dyDescent="0.25">
      <c r="A19" s="4">
        <v>46165</v>
      </c>
      <c r="B19" s="2" t="s">
        <v>7484</v>
      </c>
      <c r="C19" s="2"/>
      <c r="D19" s="2"/>
      <c r="E19" s="23">
        <f t="shared" si="0"/>
        <v>0</v>
      </c>
      <c r="F19" s="2"/>
    </row>
    <row r="20" spans="1:6" x14ac:dyDescent="0.25">
      <c r="A20" s="4">
        <v>46166</v>
      </c>
      <c r="B20" s="2" t="s">
        <v>7484</v>
      </c>
      <c r="C20" s="2"/>
      <c r="D20" s="2"/>
      <c r="E20" s="23">
        <f t="shared" si="0"/>
        <v>0</v>
      </c>
      <c r="F20" s="2"/>
    </row>
    <row r="21" spans="1:6" x14ac:dyDescent="0.25">
      <c r="A21" s="4">
        <v>46167</v>
      </c>
      <c r="B21" s="2" t="s">
        <v>7484</v>
      </c>
      <c r="C21" s="2"/>
      <c r="D21" s="2"/>
      <c r="E21" s="23">
        <f t="shared" si="0"/>
        <v>0</v>
      </c>
      <c r="F21" s="2"/>
    </row>
    <row r="22" spans="1:6" x14ac:dyDescent="0.25">
      <c r="A22" s="4">
        <v>46168</v>
      </c>
      <c r="B22" s="2" t="s">
        <v>7484</v>
      </c>
      <c r="C22" s="2"/>
      <c r="D22" s="2"/>
      <c r="E22" s="23">
        <f t="shared" si="0"/>
        <v>0</v>
      </c>
      <c r="F22" s="2"/>
    </row>
    <row r="23" spans="1:6" x14ac:dyDescent="0.25">
      <c r="A23" s="4">
        <v>46169</v>
      </c>
      <c r="B23" s="2" t="s">
        <v>7484</v>
      </c>
      <c r="C23" s="2"/>
      <c r="D23" s="2"/>
      <c r="E23" s="23">
        <f t="shared" si="0"/>
        <v>0</v>
      </c>
      <c r="F23" s="2"/>
    </row>
    <row r="24" spans="1:6" x14ac:dyDescent="0.25">
      <c r="A24" s="4">
        <v>46170</v>
      </c>
      <c r="B24" s="2" t="s">
        <v>7484</v>
      </c>
      <c r="C24" s="2"/>
      <c r="D24" s="2"/>
      <c r="E24" s="23">
        <f t="shared" si="0"/>
        <v>0</v>
      </c>
      <c r="F24" s="2"/>
    </row>
    <row r="25" spans="1:6" x14ac:dyDescent="0.25">
      <c r="A25" s="4">
        <v>46171</v>
      </c>
      <c r="B25" s="2" t="s">
        <v>7484</v>
      </c>
      <c r="C25" s="2"/>
      <c r="D25" s="2"/>
      <c r="E25" s="23">
        <f t="shared" si="0"/>
        <v>0</v>
      </c>
      <c r="F25" s="2"/>
    </row>
    <row r="26" spans="1:6" x14ac:dyDescent="0.25">
      <c r="A26" s="4">
        <v>46172</v>
      </c>
      <c r="B26" s="2" t="s">
        <v>7484</v>
      </c>
      <c r="C26" s="2"/>
      <c r="D26" s="2"/>
      <c r="E26" s="23">
        <f t="shared" si="0"/>
        <v>0</v>
      </c>
      <c r="F26" s="2"/>
    </row>
    <row r="27" spans="1:6" x14ac:dyDescent="0.25">
      <c r="A27" s="4">
        <v>46173</v>
      </c>
      <c r="B27" s="2" t="s">
        <v>7484</v>
      </c>
      <c r="C27" s="2"/>
      <c r="D27" s="2"/>
      <c r="E27" s="23"/>
      <c r="F27" s="2"/>
    </row>
    <row r="28" spans="1:6" x14ac:dyDescent="0.25">
      <c r="A28" s="4">
        <v>46174</v>
      </c>
      <c r="B28" s="2" t="s">
        <v>7485</v>
      </c>
      <c r="C28" s="2"/>
      <c r="D28" s="2"/>
      <c r="E28" s="23"/>
      <c r="F28" s="2"/>
    </row>
    <row r="29" spans="1:6" x14ac:dyDescent="0.25">
      <c r="A29" s="4">
        <v>46175</v>
      </c>
      <c r="B29" s="2"/>
      <c r="C29" s="2"/>
      <c r="D29" s="2"/>
      <c r="E29" s="23"/>
      <c r="F29" s="2"/>
    </row>
    <row r="30" spans="1:6" x14ac:dyDescent="0.25">
      <c r="A30" s="4">
        <v>46176</v>
      </c>
      <c r="B30" s="2"/>
      <c r="C30" s="2"/>
      <c r="D30" s="2"/>
      <c r="E30" s="23"/>
      <c r="F30" s="2"/>
    </row>
    <row r="31" spans="1:6" x14ac:dyDescent="0.25">
      <c r="A31" s="4">
        <v>46177</v>
      </c>
      <c r="B31" s="2" t="s">
        <v>7174</v>
      </c>
      <c r="C31" s="2"/>
      <c r="D31" s="2"/>
      <c r="E31" s="23"/>
      <c r="F31" s="2"/>
    </row>
    <row r="32" spans="1:6" x14ac:dyDescent="0.25">
      <c r="A32" s="4">
        <v>46178</v>
      </c>
      <c r="B32" s="2"/>
      <c r="C32" s="2"/>
      <c r="D32" s="2"/>
      <c r="E32" s="23"/>
      <c r="F32" s="2"/>
    </row>
    <row r="33" spans="1:6" x14ac:dyDescent="0.25">
      <c r="A33" s="4">
        <v>46179</v>
      </c>
      <c r="B33" s="2"/>
      <c r="C33" s="2"/>
      <c r="D33" s="2"/>
      <c r="E33" s="23"/>
      <c r="F33" s="2"/>
    </row>
    <row r="34" spans="1:6" x14ac:dyDescent="0.25">
      <c r="A34" s="4">
        <v>46180</v>
      </c>
      <c r="B34" s="2"/>
      <c r="C34" s="2"/>
      <c r="D34" s="2"/>
      <c r="E34" s="23"/>
      <c r="F34" s="2"/>
    </row>
    <row r="35" spans="1:6" x14ac:dyDescent="0.25">
      <c r="A35" s="4">
        <v>46181</v>
      </c>
      <c r="B35" s="2"/>
      <c r="C35" s="2"/>
      <c r="D35" s="2"/>
      <c r="E35" s="23"/>
      <c r="F35" s="2"/>
    </row>
    <row r="36" spans="1:6" x14ac:dyDescent="0.25">
      <c r="A36" s="4">
        <v>46182</v>
      </c>
      <c r="B36" s="2"/>
      <c r="C36" s="2"/>
      <c r="D36" s="2"/>
      <c r="E36" s="23"/>
      <c r="F36" s="2"/>
    </row>
    <row r="37" spans="1:6" x14ac:dyDescent="0.25">
      <c r="A37" s="4">
        <v>46183</v>
      </c>
      <c r="B37" s="2" t="s">
        <v>7214</v>
      </c>
      <c r="C37" s="2"/>
      <c r="D37" s="2"/>
      <c r="E37" s="23"/>
      <c r="F37" s="2"/>
    </row>
    <row r="38" spans="1:6" x14ac:dyDescent="0.25">
      <c r="A38" s="4">
        <v>46184</v>
      </c>
      <c r="B38" s="2" t="s">
        <v>7217</v>
      </c>
      <c r="C38" s="2"/>
      <c r="D38" s="2"/>
      <c r="E38" s="23"/>
      <c r="F38" s="2"/>
    </row>
    <row r="39" spans="1:6" x14ac:dyDescent="0.25">
      <c r="A39" s="4">
        <v>46185</v>
      </c>
      <c r="B39" s="2"/>
      <c r="C39" s="2"/>
      <c r="D39" s="2"/>
      <c r="E39" s="23"/>
      <c r="F39" s="2"/>
    </row>
    <row r="40" spans="1:6" x14ac:dyDescent="0.25">
      <c r="A40" s="4">
        <v>46186</v>
      </c>
      <c r="B40" s="2"/>
      <c r="C40" s="2"/>
      <c r="D40" s="2"/>
      <c r="E40" s="23"/>
      <c r="F40" s="2"/>
    </row>
    <row r="41" spans="1:6" x14ac:dyDescent="0.25">
      <c r="A41" s="4">
        <v>46187</v>
      </c>
      <c r="B41" s="2"/>
      <c r="C41" s="2"/>
      <c r="D41" s="2"/>
      <c r="E41" s="23"/>
      <c r="F41" s="2"/>
    </row>
    <row r="42" spans="1:6" x14ac:dyDescent="0.25">
      <c r="A42" s="4">
        <v>46188</v>
      </c>
      <c r="B42" s="2"/>
      <c r="C42" s="2"/>
      <c r="D42" s="2"/>
      <c r="E42" s="23"/>
      <c r="F42" s="2"/>
    </row>
    <row r="43" spans="1:6" x14ac:dyDescent="0.25">
      <c r="A43" s="4">
        <v>46189</v>
      </c>
      <c r="B43" s="2"/>
      <c r="C43" s="2"/>
      <c r="D43" s="2"/>
      <c r="E43" s="23"/>
      <c r="F43" s="2"/>
    </row>
    <row r="44" spans="1:6" x14ac:dyDescent="0.25">
      <c r="A44" s="4">
        <v>46190</v>
      </c>
      <c r="B44" s="2" t="s">
        <v>7254</v>
      </c>
      <c r="C44" s="2"/>
      <c r="D44" s="2"/>
      <c r="E44" s="23"/>
      <c r="F44" s="2"/>
    </row>
    <row r="45" spans="1:6" x14ac:dyDescent="0.25">
      <c r="A45" s="4">
        <v>46191</v>
      </c>
      <c r="B45" s="2" t="s">
        <v>7254</v>
      </c>
      <c r="C45" s="2"/>
      <c r="D45" s="2"/>
      <c r="E45" s="23"/>
      <c r="F45" s="2"/>
    </row>
    <row r="46" spans="1:6" x14ac:dyDescent="0.25">
      <c r="A46" s="4">
        <v>46192</v>
      </c>
      <c r="B46" s="2" t="s">
        <v>7277</v>
      </c>
      <c r="C46" s="2"/>
      <c r="D46" s="2"/>
      <c r="E46" s="23"/>
      <c r="F46" s="2"/>
    </row>
    <row r="47" spans="1:6" x14ac:dyDescent="0.25">
      <c r="A47" s="4">
        <v>46193</v>
      </c>
      <c r="B47" s="2" t="s">
        <v>7278</v>
      </c>
      <c r="C47" s="2"/>
      <c r="D47" s="2"/>
      <c r="E47" s="23"/>
      <c r="F47" s="2"/>
    </row>
    <row r="48" spans="1:6" x14ac:dyDescent="0.25">
      <c r="A48" s="4">
        <v>46194</v>
      </c>
      <c r="B48" s="2"/>
      <c r="C48" s="2"/>
      <c r="D48" s="2"/>
      <c r="E48" s="23"/>
      <c r="F48" s="2"/>
    </row>
    <row r="49" spans="1:6" x14ac:dyDescent="0.25">
      <c r="A49" s="4">
        <v>46195</v>
      </c>
      <c r="B49" s="2"/>
      <c r="C49" s="2"/>
      <c r="D49" s="2"/>
      <c r="E49" s="23"/>
      <c r="F49" s="2"/>
    </row>
    <row r="50" spans="1:6" x14ac:dyDescent="0.25">
      <c r="A50" s="4">
        <v>46196</v>
      </c>
      <c r="B50" s="2"/>
      <c r="C50" s="2"/>
      <c r="D50" s="2"/>
      <c r="E50" s="23"/>
      <c r="F50" s="2"/>
    </row>
    <row r="51" spans="1:6" x14ac:dyDescent="0.25">
      <c r="A51" s="4">
        <v>46197</v>
      </c>
      <c r="B51" s="2" t="s">
        <v>7372</v>
      </c>
      <c r="C51" s="2"/>
      <c r="D51" s="2"/>
      <c r="E51" s="2"/>
      <c r="F51" s="2"/>
    </row>
    <row r="52" spans="1:6" x14ac:dyDescent="0.25">
      <c r="A52" s="4">
        <v>46198</v>
      </c>
      <c r="B52" s="2"/>
      <c r="C52" s="2"/>
      <c r="D52" s="2"/>
      <c r="E52" s="2"/>
      <c r="F52" s="2"/>
    </row>
    <row r="53" spans="1:6" x14ac:dyDescent="0.25">
      <c r="A53" s="4">
        <v>46199</v>
      </c>
      <c r="B53" s="2"/>
      <c r="C53" s="2"/>
      <c r="D53" s="2"/>
      <c r="E53" s="2"/>
      <c r="F53" s="2"/>
    </row>
    <row r="54" spans="1:6" x14ac:dyDescent="0.25">
      <c r="A54" s="4">
        <v>46200</v>
      </c>
      <c r="B54" s="2"/>
      <c r="C54" s="2"/>
      <c r="D54" s="2"/>
      <c r="E54" s="2"/>
      <c r="F54" s="2"/>
    </row>
    <row r="55" spans="1:6" x14ac:dyDescent="0.25">
      <c r="A55" s="4">
        <v>46201</v>
      </c>
      <c r="B55" s="2"/>
      <c r="C55" s="2"/>
      <c r="D55" s="2"/>
      <c r="E55" s="2"/>
      <c r="F55" s="2"/>
    </row>
    <row r="56" spans="1:6" x14ac:dyDescent="0.25">
      <c r="A56" s="4">
        <v>46202</v>
      </c>
      <c r="B56" s="2"/>
      <c r="C56" s="2"/>
      <c r="D56" s="2"/>
      <c r="E56" s="2"/>
      <c r="F56" s="2"/>
    </row>
    <row r="57" spans="1:6" x14ac:dyDescent="0.25">
      <c r="A57" s="4">
        <v>46203</v>
      </c>
      <c r="B57" s="2"/>
      <c r="C57" s="2"/>
      <c r="D57" s="2"/>
      <c r="E57" s="2"/>
      <c r="F57" s="2"/>
    </row>
    <row r="58" spans="1:6" x14ac:dyDescent="0.25">
      <c r="A58" s="4">
        <v>46204</v>
      </c>
      <c r="B58" s="2"/>
      <c r="C58" s="2"/>
      <c r="D58" s="2"/>
      <c r="E58" s="2"/>
      <c r="F58" s="2"/>
    </row>
    <row r="59" spans="1:6" x14ac:dyDescent="0.25">
      <c r="A59" s="4">
        <v>46205</v>
      </c>
      <c r="B59" s="2"/>
      <c r="C59" s="2"/>
      <c r="D59" s="2"/>
      <c r="E59" s="2"/>
      <c r="F59" s="2"/>
    </row>
    <row r="60" spans="1:6" x14ac:dyDescent="0.25">
      <c r="A60" s="4">
        <v>46206</v>
      </c>
      <c r="B60" s="2" t="s">
        <v>7486</v>
      </c>
      <c r="C60" s="2"/>
      <c r="D60" s="2"/>
      <c r="E60" s="2"/>
      <c r="F60" s="2"/>
    </row>
    <row r="61" spans="1:6" x14ac:dyDescent="0.25">
      <c r="A61" s="4">
        <v>46207</v>
      </c>
      <c r="B61" s="2"/>
      <c r="C61" s="2"/>
      <c r="D61" s="2"/>
      <c r="E61" s="2"/>
      <c r="F61" s="2"/>
    </row>
    <row r="62" spans="1:6" x14ac:dyDescent="0.25">
      <c r="A62" s="4">
        <v>46208</v>
      </c>
      <c r="B62" s="2"/>
      <c r="C62" s="2"/>
      <c r="D62" s="2"/>
      <c r="E62" s="2"/>
      <c r="F62" s="2"/>
    </row>
    <row r="63" spans="1:6" x14ac:dyDescent="0.25">
      <c r="A63" s="4">
        <v>46209</v>
      </c>
      <c r="B63" s="2" t="s">
        <v>7487</v>
      </c>
      <c r="C63" s="2"/>
      <c r="D63" s="2"/>
      <c r="E63" s="2"/>
      <c r="F63" s="2"/>
    </row>
    <row r="64" spans="1:6" x14ac:dyDescent="0.25">
      <c r="A64" s="4">
        <v>46210</v>
      </c>
      <c r="B64" s="2"/>
      <c r="C64" s="2"/>
      <c r="D64" s="2"/>
      <c r="E64" s="2"/>
      <c r="F64" s="2"/>
    </row>
    <row r="65" spans="1:6" x14ac:dyDescent="0.25">
      <c r="A65" s="4">
        <v>46211</v>
      </c>
      <c r="B65" s="2"/>
      <c r="C65" s="2"/>
      <c r="D65" s="2"/>
      <c r="E65" s="2"/>
      <c r="F65" s="2"/>
    </row>
    <row r="66" spans="1:6" x14ac:dyDescent="0.25">
      <c r="A66" s="4">
        <v>46212</v>
      </c>
      <c r="B66" s="2"/>
      <c r="C66" s="2"/>
      <c r="D66" s="2"/>
      <c r="E66" s="2"/>
      <c r="F66" s="2"/>
    </row>
    <row r="67" spans="1:6" x14ac:dyDescent="0.25">
      <c r="A67" s="4">
        <v>46213</v>
      </c>
      <c r="B67" s="2"/>
      <c r="C67" s="2"/>
      <c r="D67" s="2"/>
      <c r="E67" s="2"/>
      <c r="F67" s="2"/>
    </row>
    <row r="68" spans="1:6" x14ac:dyDescent="0.25">
      <c r="A68" s="4">
        <v>46214</v>
      </c>
      <c r="B68" s="2"/>
      <c r="C68" s="2"/>
      <c r="D68" s="2"/>
      <c r="E68" s="2"/>
      <c r="F68" s="2"/>
    </row>
    <row r="69" spans="1:6" x14ac:dyDescent="0.25">
      <c r="A69" s="4">
        <v>46215</v>
      </c>
      <c r="B69" s="2"/>
      <c r="C69" s="2"/>
      <c r="D69" s="2"/>
      <c r="E69" s="2"/>
      <c r="F69" s="2"/>
    </row>
    <row r="70" spans="1:6" x14ac:dyDescent="0.25">
      <c r="A70" s="4">
        <v>46216</v>
      </c>
      <c r="B70" s="2" t="s">
        <v>7488</v>
      </c>
      <c r="C70" s="2"/>
      <c r="D70" s="2"/>
      <c r="E70" s="2"/>
      <c r="F70" s="2"/>
    </row>
    <row r="71" spans="1:6" x14ac:dyDescent="0.25">
      <c r="A71" s="4">
        <v>46217</v>
      </c>
      <c r="B71" s="2"/>
      <c r="C71" s="2"/>
      <c r="D71" s="2"/>
      <c r="E71" s="2"/>
      <c r="F71" s="2"/>
    </row>
    <row r="72" spans="1:6" x14ac:dyDescent="0.25">
      <c r="A72" s="4">
        <v>46218</v>
      </c>
      <c r="B72" s="2"/>
      <c r="C72" s="2"/>
      <c r="D72" s="2"/>
      <c r="E72" s="2"/>
      <c r="F72" s="2"/>
    </row>
    <row r="73" spans="1:6" x14ac:dyDescent="0.25">
      <c r="A73" s="4">
        <v>46219</v>
      </c>
      <c r="B73" s="2"/>
      <c r="C73" s="2"/>
      <c r="D73" s="2"/>
      <c r="E73" s="2"/>
      <c r="F73" s="2"/>
    </row>
    <row r="74" spans="1:6" x14ac:dyDescent="0.25">
      <c r="A74" s="4">
        <v>46220</v>
      </c>
      <c r="B74" s="2"/>
      <c r="C74" s="2"/>
      <c r="D74" s="2"/>
      <c r="E74" s="2"/>
      <c r="F74" s="2"/>
    </row>
    <row r="75" spans="1:6" x14ac:dyDescent="0.25">
      <c r="A75" s="4">
        <v>46221</v>
      </c>
      <c r="B75" s="2"/>
      <c r="C75" s="2"/>
      <c r="D75" s="2"/>
      <c r="E75" s="2"/>
      <c r="F75" s="2"/>
    </row>
    <row r="76" spans="1:6" x14ac:dyDescent="0.25">
      <c r="A76" s="4">
        <v>46222</v>
      </c>
      <c r="B76" s="2"/>
      <c r="C76" s="2"/>
      <c r="D76" s="2"/>
      <c r="E76" s="2"/>
      <c r="F76" s="2"/>
    </row>
    <row r="77" spans="1:6" x14ac:dyDescent="0.25">
      <c r="A77" s="4">
        <v>46223</v>
      </c>
      <c r="B77" s="2"/>
      <c r="C77" s="2"/>
      <c r="D77" s="2"/>
      <c r="E77" s="2"/>
      <c r="F77" s="2"/>
    </row>
    <row r="78" spans="1:6" x14ac:dyDescent="0.25">
      <c r="A78" s="4">
        <v>46224</v>
      </c>
      <c r="B78" s="2"/>
      <c r="C78" s="2"/>
      <c r="D78" s="2"/>
      <c r="E78" s="2"/>
      <c r="F78" s="2"/>
    </row>
    <row r="79" spans="1:6" x14ac:dyDescent="0.25">
      <c r="A79" s="4">
        <v>46225</v>
      </c>
      <c r="B79" s="2"/>
      <c r="C79" s="2"/>
      <c r="D79" s="2"/>
      <c r="E79" s="2"/>
      <c r="F79" s="2"/>
    </row>
    <row r="80" spans="1:6" x14ac:dyDescent="0.25">
      <c r="A80" s="4">
        <v>46226</v>
      </c>
      <c r="B80" s="2"/>
      <c r="C80" s="2"/>
      <c r="D80" s="2"/>
      <c r="E80" s="2"/>
      <c r="F80" s="2"/>
    </row>
    <row r="81" spans="1:6" x14ac:dyDescent="0.25">
      <c r="A81" s="4">
        <v>46227</v>
      </c>
      <c r="B81" s="2"/>
      <c r="C81" s="2"/>
      <c r="D81" s="2"/>
      <c r="E81" s="2"/>
      <c r="F81" s="2"/>
    </row>
    <row r="82" spans="1:6" x14ac:dyDescent="0.25">
      <c r="A82" s="4">
        <v>46228</v>
      </c>
      <c r="B82" s="2"/>
      <c r="C82" s="2"/>
      <c r="D82" s="2"/>
      <c r="E82" s="2"/>
      <c r="F82" s="2"/>
    </row>
    <row r="83" spans="1:6" x14ac:dyDescent="0.25">
      <c r="A83" s="4">
        <v>46229</v>
      </c>
      <c r="B83" s="2"/>
      <c r="C83" s="2"/>
      <c r="D83" s="2"/>
      <c r="E83" s="2"/>
      <c r="F83" s="2"/>
    </row>
    <row r="84" spans="1:6" x14ac:dyDescent="0.25">
      <c r="A84" s="4">
        <v>46230</v>
      </c>
      <c r="B84" s="2"/>
      <c r="C84" s="2"/>
      <c r="D84" s="2"/>
      <c r="E84" s="2"/>
      <c r="F84" s="2"/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13492-0869-465E-B7E9-CDE06B857E31}">
  <dimension ref="B2:I224"/>
  <sheetViews>
    <sheetView topLeftCell="A115" workbookViewId="0">
      <selection activeCell="C131" sqref="C131"/>
    </sheetView>
  </sheetViews>
  <sheetFormatPr defaultRowHeight="15" x14ac:dyDescent="0.25"/>
  <cols>
    <col min="2" max="2" width="18" bestFit="1" customWidth="1"/>
    <col min="3" max="3" width="72" bestFit="1" customWidth="1"/>
    <col min="4" max="4" width="42.140625" bestFit="1" customWidth="1"/>
    <col min="5" max="5" width="11.85546875" bestFit="1" customWidth="1"/>
    <col min="6" max="6" width="8.42578125" bestFit="1" customWidth="1"/>
    <col min="7" max="7" width="11" bestFit="1" customWidth="1"/>
  </cols>
  <sheetData>
    <row r="2" spans="2:7" x14ac:dyDescent="0.25">
      <c r="B2" s="53" t="s">
        <v>4500</v>
      </c>
      <c r="C2" t="s">
        <v>7075</v>
      </c>
    </row>
    <row r="3" spans="2:7" ht="15.75" x14ac:dyDescent="0.25">
      <c r="B3" s="10" t="s">
        <v>0</v>
      </c>
      <c r="C3" s="11" t="s">
        <v>1</v>
      </c>
      <c r="D3" s="11" t="s">
        <v>2</v>
      </c>
      <c r="E3" s="11" t="s">
        <v>934</v>
      </c>
      <c r="F3" s="11" t="s">
        <v>1095</v>
      </c>
      <c r="G3" s="11" t="s">
        <v>1507</v>
      </c>
    </row>
    <row r="4" spans="2:7" x14ac:dyDescent="0.25">
      <c r="B4" s="156">
        <v>46158</v>
      </c>
      <c r="C4" s="2"/>
      <c r="D4" s="2"/>
      <c r="E4" s="2"/>
      <c r="F4" s="2"/>
      <c r="G4" s="2"/>
    </row>
    <row r="5" spans="2:7" x14ac:dyDescent="0.25">
      <c r="B5" s="156">
        <v>46159</v>
      </c>
      <c r="C5" s="2"/>
      <c r="D5" s="2"/>
      <c r="E5" s="2"/>
      <c r="F5" s="2"/>
      <c r="G5" s="2"/>
    </row>
    <row r="6" spans="2:7" x14ac:dyDescent="0.25">
      <c r="B6" s="156">
        <v>46160</v>
      </c>
      <c r="C6" s="2"/>
      <c r="D6" s="2"/>
      <c r="E6" s="2"/>
      <c r="F6" s="2"/>
      <c r="G6" s="2"/>
    </row>
    <row r="7" spans="2:7" x14ac:dyDescent="0.25">
      <c r="B7" s="156">
        <v>46161</v>
      </c>
      <c r="C7" s="2" t="s">
        <v>7074</v>
      </c>
      <c r="D7" s="2"/>
      <c r="E7" s="2"/>
      <c r="F7" s="2"/>
      <c r="G7" s="2"/>
    </row>
    <row r="8" spans="2:7" x14ac:dyDescent="0.25">
      <c r="B8" s="156">
        <v>46162</v>
      </c>
      <c r="C8" s="2" t="s">
        <v>279</v>
      </c>
      <c r="D8" s="2"/>
      <c r="E8" s="2"/>
      <c r="F8" s="2"/>
      <c r="G8" s="2"/>
    </row>
    <row r="9" spans="2:7" x14ac:dyDescent="0.25">
      <c r="B9" s="156">
        <v>46163</v>
      </c>
      <c r="C9" s="2" t="s">
        <v>7093</v>
      </c>
      <c r="D9" s="2"/>
      <c r="E9" s="2">
        <v>150</v>
      </c>
      <c r="F9" s="2">
        <f>E9-E8</f>
        <v>150</v>
      </c>
      <c r="G9" s="2"/>
    </row>
    <row r="10" spans="2:7" x14ac:dyDescent="0.25">
      <c r="B10" s="156">
        <v>46164</v>
      </c>
      <c r="C10" s="2" t="s">
        <v>7098</v>
      </c>
      <c r="D10" s="2"/>
      <c r="E10" s="2"/>
      <c r="F10" s="2">
        <f t="shared" ref="F10:F22" si="0">E10-E9</f>
        <v>-150</v>
      </c>
      <c r="G10" s="2"/>
    </row>
    <row r="11" spans="2:7" x14ac:dyDescent="0.25">
      <c r="B11" s="156">
        <v>46165</v>
      </c>
      <c r="C11" s="2" t="s">
        <v>539</v>
      </c>
      <c r="D11" s="2"/>
      <c r="E11" s="2"/>
      <c r="F11" s="2">
        <f t="shared" si="0"/>
        <v>0</v>
      </c>
      <c r="G11" s="2"/>
    </row>
    <row r="12" spans="2:7" x14ac:dyDescent="0.25">
      <c r="B12" s="156">
        <v>46166</v>
      </c>
      <c r="C12" s="2" t="s">
        <v>5442</v>
      </c>
      <c r="D12" s="2"/>
      <c r="E12" s="2"/>
      <c r="F12" s="2">
        <f t="shared" si="0"/>
        <v>0</v>
      </c>
      <c r="G12" s="2"/>
    </row>
    <row r="13" spans="2:7" x14ac:dyDescent="0.25">
      <c r="B13" s="156">
        <v>46167</v>
      </c>
      <c r="C13" s="2" t="s">
        <v>7144</v>
      </c>
      <c r="D13" s="2"/>
      <c r="E13" s="2"/>
      <c r="F13" s="2">
        <f t="shared" si="0"/>
        <v>0</v>
      </c>
      <c r="G13" s="2"/>
    </row>
    <row r="14" spans="2:7" x14ac:dyDescent="0.25">
      <c r="B14" s="156">
        <v>46168</v>
      </c>
      <c r="C14" s="2"/>
      <c r="D14" s="2"/>
      <c r="E14" s="2"/>
      <c r="F14" s="2">
        <f t="shared" si="0"/>
        <v>0</v>
      </c>
      <c r="G14" s="2"/>
    </row>
    <row r="15" spans="2:7" x14ac:dyDescent="0.25">
      <c r="B15" s="156">
        <v>46169</v>
      </c>
      <c r="C15" s="2"/>
      <c r="D15" s="2"/>
      <c r="E15" s="2"/>
      <c r="F15" s="2">
        <f t="shared" si="0"/>
        <v>0</v>
      </c>
      <c r="G15" s="2"/>
    </row>
    <row r="16" spans="2:7" x14ac:dyDescent="0.25">
      <c r="B16" s="156">
        <v>46170</v>
      </c>
      <c r="C16" s="2"/>
      <c r="D16" s="2"/>
      <c r="E16" s="2"/>
      <c r="F16" s="2">
        <f t="shared" si="0"/>
        <v>0</v>
      </c>
      <c r="G16" s="2"/>
    </row>
    <row r="17" spans="2:9" x14ac:dyDescent="0.25">
      <c r="B17" s="156">
        <v>46171</v>
      </c>
      <c r="C17" s="2"/>
      <c r="D17" s="2"/>
      <c r="E17" s="2"/>
      <c r="F17" s="2">
        <f t="shared" si="0"/>
        <v>0</v>
      </c>
      <c r="G17" s="2"/>
    </row>
    <row r="18" spans="2:9" x14ac:dyDescent="0.25">
      <c r="B18" s="156">
        <v>46172</v>
      </c>
      <c r="C18" s="2" t="s">
        <v>7148</v>
      </c>
      <c r="D18" s="2"/>
      <c r="E18" s="2"/>
      <c r="F18" s="2">
        <f t="shared" si="0"/>
        <v>0</v>
      </c>
      <c r="G18" s="2"/>
    </row>
    <row r="19" spans="2:9" x14ac:dyDescent="0.25">
      <c r="B19" s="156">
        <v>46173</v>
      </c>
      <c r="C19" s="2"/>
      <c r="D19" s="2"/>
      <c r="E19" s="2"/>
      <c r="F19" s="2">
        <f t="shared" si="0"/>
        <v>0</v>
      </c>
      <c r="G19" s="2"/>
    </row>
    <row r="20" spans="2:9" x14ac:dyDescent="0.25">
      <c r="B20" s="156">
        <v>46174</v>
      </c>
      <c r="C20" s="2"/>
      <c r="D20" s="2"/>
      <c r="E20" s="2"/>
      <c r="F20" s="2">
        <f t="shared" si="0"/>
        <v>0</v>
      </c>
      <c r="G20" s="2"/>
    </row>
    <row r="21" spans="2:9" x14ac:dyDescent="0.25">
      <c r="B21" s="156">
        <v>46175</v>
      </c>
      <c r="C21" s="2"/>
      <c r="D21" s="2"/>
      <c r="E21" s="2"/>
      <c r="F21" s="2">
        <f t="shared" si="0"/>
        <v>0</v>
      </c>
      <c r="G21" s="2"/>
    </row>
    <row r="22" spans="2:9" x14ac:dyDescent="0.25">
      <c r="B22" s="156">
        <v>46176</v>
      </c>
      <c r="C22" s="2"/>
      <c r="D22" s="2"/>
      <c r="E22" s="2"/>
      <c r="F22" s="2">
        <f t="shared" si="0"/>
        <v>0</v>
      </c>
      <c r="G22" s="2"/>
    </row>
    <row r="23" spans="2:9" x14ac:dyDescent="0.25">
      <c r="B23" s="156">
        <v>46177</v>
      </c>
      <c r="C23" s="2" t="s">
        <v>7175</v>
      </c>
      <c r="D23" s="2"/>
      <c r="E23" s="2"/>
      <c r="F23" s="2"/>
      <c r="G23" s="2"/>
      <c r="H23">
        <v>174</v>
      </c>
    </row>
    <row r="24" spans="2:9" x14ac:dyDescent="0.25">
      <c r="B24" s="156">
        <v>46178</v>
      </c>
      <c r="C24" s="2"/>
      <c r="D24" s="2"/>
      <c r="E24" s="2"/>
      <c r="F24" s="2"/>
      <c r="G24" s="2"/>
      <c r="H24">
        <v>4</v>
      </c>
    </row>
    <row r="25" spans="2:9" s="157" customFormat="1" x14ac:dyDescent="0.25">
      <c r="B25" s="156">
        <v>46179</v>
      </c>
      <c r="C25" s="58"/>
      <c r="D25" s="58"/>
      <c r="E25" s="58"/>
      <c r="F25" s="58"/>
      <c r="G25" s="58"/>
      <c r="H25" s="157">
        <f>H23/H24</f>
        <v>43.5</v>
      </c>
      <c r="I25" s="157" t="s">
        <v>6966</v>
      </c>
    </row>
    <row r="26" spans="2:9" s="157" customFormat="1" x14ac:dyDescent="0.25">
      <c r="B26" s="156">
        <v>46180</v>
      </c>
      <c r="C26" s="58"/>
      <c r="D26" s="58"/>
      <c r="E26" s="58"/>
      <c r="F26" s="58"/>
      <c r="G26" s="58"/>
      <c r="H26" s="157">
        <v>6</v>
      </c>
      <c r="I26" s="157" t="s">
        <v>7279</v>
      </c>
    </row>
    <row r="27" spans="2:9" s="157" customFormat="1" x14ac:dyDescent="0.25">
      <c r="B27" s="156">
        <v>46181</v>
      </c>
      <c r="C27" s="58"/>
      <c r="D27" s="58"/>
      <c r="E27" s="58"/>
      <c r="F27" s="58"/>
      <c r="G27" s="58"/>
      <c r="H27" s="157">
        <v>6</v>
      </c>
      <c r="I27" s="157" t="s">
        <v>7280</v>
      </c>
    </row>
    <row r="28" spans="2:9" s="157" customFormat="1" x14ac:dyDescent="0.25">
      <c r="B28" s="156">
        <v>46182</v>
      </c>
      <c r="C28" s="58"/>
      <c r="D28" s="58"/>
      <c r="E28" s="58"/>
      <c r="F28" s="58"/>
      <c r="G28" s="58"/>
    </row>
    <row r="29" spans="2:9" s="157" customFormat="1" x14ac:dyDescent="0.25">
      <c r="B29" s="156">
        <v>46183</v>
      </c>
      <c r="C29" s="58"/>
      <c r="D29" s="58"/>
      <c r="E29" s="58"/>
      <c r="F29" s="58"/>
      <c r="G29" s="58"/>
    </row>
    <row r="30" spans="2:9" s="157" customFormat="1" x14ac:dyDescent="0.25">
      <c r="B30" s="156">
        <v>46184</v>
      </c>
      <c r="C30" s="58"/>
      <c r="D30" s="58"/>
      <c r="E30" s="58"/>
      <c r="F30" s="58"/>
      <c r="G30" s="58"/>
    </row>
    <row r="31" spans="2:9" s="157" customFormat="1" x14ac:dyDescent="0.25">
      <c r="B31" s="156">
        <v>46185</v>
      </c>
      <c r="C31" s="58" t="s">
        <v>7229</v>
      </c>
      <c r="D31" s="58"/>
      <c r="E31" s="58"/>
      <c r="F31" s="58"/>
      <c r="G31" s="58"/>
    </row>
    <row r="32" spans="2:9" s="157" customFormat="1" x14ac:dyDescent="0.25">
      <c r="B32" s="162">
        <v>46186</v>
      </c>
      <c r="C32" s="161"/>
      <c r="D32" s="58"/>
      <c r="E32" s="58"/>
      <c r="F32" s="58"/>
      <c r="G32" s="58"/>
    </row>
    <row r="33" spans="2:7" s="157" customFormat="1" x14ac:dyDescent="0.25">
      <c r="B33" s="156">
        <v>46187</v>
      </c>
      <c r="C33" s="58"/>
      <c r="D33" s="58"/>
      <c r="E33" s="58"/>
      <c r="F33" s="58"/>
      <c r="G33" s="58"/>
    </row>
    <row r="34" spans="2:7" s="157" customFormat="1" x14ac:dyDescent="0.25">
      <c r="B34" s="156">
        <v>46188</v>
      </c>
      <c r="C34" s="58"/>
      <c r="D34" s="58"/>
      <c r="E34" s="58"/>
      <c r="F34" s="58"/>
      <c r="G34" s="58"/>
    </row>
    <row r="35" spans="2:7" s="157" customFormat="1" x14ac:dyDescent="0.25">
      <c r="B35" s="156">
        <v>46189</v>
      </c>
      <c r="C35" s="58"/>
      <c r="D35" s="58"/>
      <c r="E35" s="58"/>
      <c r="F35" s="58"/>
      <c r="G35" s="58"/>
    </row>
    <row r="36" spans="2:7" s="157" customFormat="1" x14ac:dyDescent="0.25">
      <c r="B36" s="156">
        <v>46190</v>
      </c>
      <c r="C36" s="58"/>
      <c r="D36" s="58"/>
      <c r="E36" s="58"/>
      <c r="F36" s="58"/>
      <c r="G36" s="58"/>
    </row>
    <row r="37" spans="2:7" s="157" customFormat="1" x14ac:dyDescent="0.25">
      <c r="B37" s="156">
        <v>46191</v>
      </c>
      <c r="C37" s="58"/>
      <c r="D37" s="58"/>
      <c r="E37" s="58"/>
      <c r="F37" s="58"/>
      <c r="G37" s="58"/>
    </row>
    <row r="38" spans="2:7" s="157" customFormat="1" x14ac:dyDescent="0.25">
      <c r="B38" s="156">
        <v>46192</v>
      </c>
      <c r="C38" s="58"/>
      <c r="D38" s="58"/>
      <c r="E38" s="58"/>
      <c r="F38" s="58"/>
      <c r="G38" s="58"/>
    </row>
    <row r="39" spans="2:7" s="157" customFormat="1" x14ac:dyDescent="0.25">
      <c r="B39" s="156">
        <v>46193</v>
      </c>
      <c r="C39" s="58"/>
      <c r="D39" s="58"/>
      <c r="E39" s="58"/>
      <c r="F39" s="58"/>
      <c r="G39" s="58"/>
    </row>
    <row r="40" spans="2:7" s="157" customFormat="1" x14ac:dyDescent="0.25">
      <c r="B40" s="156">
        <v>46194</v>
      </c>
      <c r="C40" s="58"/>
      <c r="D40" s="58"/>
      <c r="E40" s="58"/>
      <c r="F40" s="58"/>
      <c r="G40" s="58"/>
    </row>
    <row r="41" spans="2:7" s="157" customFormat="1" x14ac:dyDescent="0.25">
      <c r="B41" s="156">
        <v>46195</v>
      </c>
      <c r="C41" s="58"/>
      <c r="D41" s="58"/>
      <c r="E41" s="58"/>
      <c r="F41" s="58"/>
      <c r="G41" s="58"/>
    </row>
    <row r="42" spans="2:7" s="157" customFormat="1" ht="30" x14ac:dyDescent="0.25">
      <c r="B42" s="162">
        <v>46196</v>
      </c>
      <c r="C42" s="161" t="s">
        <v>7289</v>
      </c>
      <c r="D42" s="58"/>
      <c r="E42" s="58"/>
      <c r="F42" s="58"/>
      <c r="G42" s="58"/>
    </row>
    <row r="43" spans="2:7" s="157" customFormat="1" x14ac:dyDescent="0.25">
      <c r="B43" s="156">
        <v>46197</v>
      </c>
      <c r="C43" s="58"/>
      <c r="D43" s="58"/>
      <c r="E43" s="58"/>
      <c r="F43" s="58"/>
      <c r="G43" s="58"/>
    </row>
    <row r="44" spans="2:7" s="157" customFormat="1" x14ac:dyDescent="0.25">
      <c r="B44" s="156">
        <v>46198</v>
      </c>
      <c r="C44" s="58"/>
      <c r="D44" s="58"/>
      <c r="E44" s="58"/>
      <c r="F44" s="58"/>
      <c r="G44" s="58"/>
    </row>
    <row r="45" spans="2:7" s="157" customFormat="1" x14ac:dyDescent="0.25">
      <c r="B45" s="156">
        <v>46199</v>
      </c>
      <c r="C45" s="58"/>
      <c r="D45" s="58"/>
      <c r="E45" s="58"/>
      <c r="F45" s="58"/>
      <c r="G45" s="58"/>
    </row>
    <row r="46" spans="2:7" s="157" customFormat="1" x14ac:dyDescent="0.25">
      <c r="B46" s="156">
        <v>46200</v>
      </c>
      <c r="C46" s="58"/>
      <c r="D46" s="58"/>
      <c r="E46" s="58"/>
      <c r="F46" s="58"/>
      <c r="G46" s="58"/>
    </row>
    <row r="47" spans="2:7" s="157" customFormat="1" x14ac:dyDescent="0.25">
      <c r="B47" s="156">
        <v>46201</v>
      </c>
      <c r="C47" s="58" t="s">
        <v>7319</v>
      </c>
      <c r="D47" s="58"/>
      <c r="E47" s="58"/>
      <c r="F47" s="58"/>
      <c r="G47" s="58"/>
    </row>
    <row r="48" spans="2:7" s="157" customFormat="1" x14ac:dyDescent="0.25">
      <c r="B48" s="156">
        <v>46202</v>
      </c>
      <c r="C48" s="58" t="s">
        <v>7327</v>
      </c>
      <c r="D48" s="58"/>
      <c r="E48" s="58"/>
      <c r="F48" s="58"/>
      <c r="G48" s="58"/>
    </row>
    <row r="49" spans="2:7" s="157" customFormat="1" x14ac:dyDescent="0.25">
      <c r="B49" s="156">
        <v>46203</v>
      </c>
      <c r="C49" s="58"/>
      <c r="D49" s="58"/>
      <c r="E49" s="58"/>
      <c r="F49" s="58"/>
      <c r="G49" s="58"/>
    </row>
    <row r="50" spans="2:7" s="157" customFormat="1" x14ac:dyDescent="0.25">
      <c r="B50" s="156">
        <v>46204</v>
      </c>
      <c r="C50" s="58"/>
      <c r="D50" s="58"/>
      <c r="E50" s="58"/>
      <c r="F50" s="58"/>
      <c r="G50" s="58"/>
    </row>
    <row r="51" spans="2:7" s="157" customFormat="1" ht="30" x14ac:dyDescent="0.25">
      <c r="B51" s="163">
        <v>46205</v>
      </c>
      <c r="C51" s="113" t="s">
        <v>7345</v>
      </c>
      <c r="D51" s="58"/>
      <c r="E51" s="58"/>
      <c r="F51" s="58"/>
      <c r="G51" s="58"/>
    </row>
    <row r="52" spans="2:7" s="157" customFormat="1" x14ac:dyDescent="0.25">
      <c r="B52" s="156">
        <v>46206</v>
      </c>
      <c r="C52" s="58"/>
      <c r="D52" s="58"/>
      <c r="E52" s="58"/>
      <c r="F52" s="58"/>
      <c r="G52" s="58"/>
    </row>
    <row r="53" spans="2:7" s="157" customFormat="1" x14ac:dyDescent="0.25">
      <c r="B53" s="156">
        <v>46207</v>
      </c>
      <c r="C53" s="58"/>
      <c r="D53" s="58"/>
      <c r="E53" s="58"/>
      <c r="F53" s="58"/>
      <c r="G53" s="58"/>
    </row>
    <row r="54" spans="2:7" s="157" customFormat="1" x14ac:dyDescent="0.25">
      <c r="B54" s="156">
        <v>46208</v>
      </c>
      <c r="C54" s="58"/>
      <c r="D54" s="58"/>
      <c r="E54" s="58"/>
      <c r="F54" s="58"/>
      <c r="G54" s="58"/>
    </row>
    <row r="55" spans="2:7" s="157" customFormat="1" x14ac:dyDescent="0.25">
      <c r="B55" s="156">
        <v>46209</v>
      </c>
      <c r="C55" s="58"/>
      <c r="D55" s="58"/>
      <c r="E55" s="58"/>
      <c r="F55" s="58"/>
      <c r="G55" s="58"/>
    </row>
    <row r="56" spans="2:7" s="157" customFormat="1" x14ac:dyDescent="0.25">
      <c r="B56" s="156">
        <v>46210</v>
      </c>
      <c r="C56" s="58"/>
      <c r="D56" s="58"/>
      <c r="E56" s="58"/>
      <c r="F56" s="58"/>
      <c r="G56" s="58"/>
    </row>
    <row r="57" spans="2:7" s="157" customFormat="1" x14ac:dyDescent="0.25">
      <c r="B57" s="156">
        <v>46211</v>
      </c>
      <c r="C57" s="58"/>
      <c r="D57" s="58"/>
      <c r="E57" s="58"/>
      <c r="F57" s="58"/>
      <c r="G57" s="58"/>
    </row>
    <row r="58" spans="2:7" s="157" customFormat="1" x14ac:dyDescent="0.25">
      <c r="B58" s="156">
        <v>46212</v>
      </c>
      <c r="C58" s="58"/>
      <c r="D58" s="58"/>
      <c r="E58" s="58"/>
      <c r="F58" s="58"/>
      <c r="G58" s="58"/>
    </row>
    <row r="59" spans="2:7" s="157" customFormat="1" x14ac:dyDescent="0.25">
      <c r="B59" s="156">
        <v>46213</v>
      </c>
      <c r="C59" s="58"/>
      <c r="D59" s="58"/>
      <c r="E59" s="58"/>
      <c r="F59" s="58"/>
      <c r="G59" s="58"/>
    </row>
    <row r="60" spans="2:7" s="157" customFormat="1" x14ac:dyDescent="0.25">
      <c r="B60" s="156">
        <v>46214</v>
      </c>
      <c r="C60" s="58"/>
      <c r="D60" s="58"/>
      <c r="E60" s="58"/>
      <c r="F60" s="58"/>
      <c r="G60" s="58"/>
    </row>
    <row r="61" spans="2:7" s="157" customFormat="1" x14ac:dyDescent="0.25">
      <c r="B61" s="156">
        <v>46215</v>
      </c>
      <c r="C61" s="58"/>
      <c r="D61" s="58"/>
      <c r="E61" s="58"/>
      <c r="F61" s="58"/>
      <c r="G61" s="58"/>
    </row>
    <row r="62" spans="2:7" s="157" customFormat="1" x14ac:dyDescent="0.25">
      <c r="B62" s="156">
        <v>46216</v>
      </c>
      <c r="C62" s="58"/>
      <c r="D62" s="58"/>
      <c r="E62" s="58"/>
      <c r="F62" s="58"/>
      <c r="G62" s="58"/>
    </row>
    <row r="63" spans="2:7" s="157" customFormat="1" x14ac:dyDescent="0.25">
      <c r="B63" s="156">
        <v>46217</v>
      </c>
      <c r="C63" s="58"/>
      <c r="D63" s="58"/>
      <c r="E63" s="58"/>
      <c r="F63" s="58"/>
      <c r="G63" s="58"/>
    </row>
    <row r="64" spans="2:7" s="157" customFormat="1" x14ac:dyDescent="0.25">
      <c r="B64" s="156">
        <v>46218</v>
      </c>
      <c r="C64" s="58"/>
      <c r="D64" s="58"/>
      <c r="E64" s="58"/>
      <c r="F64" s="58"/>
      <c r="G64" s="58"/>
    </row>
    <row r="65" spans="2:7" s="157" customFormat="1" x14ac:dyDescent="0.25">
      <c r="B65" s="156">
        <v>46219</v>
      </c>
      <c r="C65" s="58" t="s">
        <v>7491</v>
      </c>
      <c r="D65" s="58" t="s">
        <v>7492</v>
      </c>
      <c r="E65" s="58"/>
      <c r="F65" s="58"/>
      <c r="G65" s="58"/>
    </row>
    <row r="66" spans="2:7" s="157" customFormat="1" x14ac:dyDescent="0.25">
      <c r="B66" s="156">
        <v>46220</v>
      </c>
      <c r="C66" s="58"/>
      <c r="D66" s="58"/>
      <c r="E66" s="58"/>
      <c r="F66" s="58"/>
      <c r="G66" s="58"/>
    </row>
    <row r="67" spans="2:7" s="157" customFormat="1" x14ac:dyDescent="0.25">
      <c r="B67" s="156">
        <v>46221</v>
      </c>
      <c r="C67" s="58"/>
      <c r="D67" s="58"/>
      <c r="E67" s="58"/>
      <c r="F67" s="58"/>
      <c r="G67" s="58"/>
    </row>
    <row r="68" spans="2:7" s="157" customFormat="1" x14ac:dyDescent="0.25">
      <c r="B68" s="156">
        <v>46222</v>
      </c>
      <c r="C68" s="58"/>
      <c r="D68" s="58"/>
      <c r="E68" s="58"/>
      <c r="F68" s="58"/>
      <c r="G68" s="58"/>
    </row>
    <row r="69" spans="2:7" s="157" customFormat="1" x14ac:dyDescent="0.25">
      <c r="B69" s="156">
        <v>46223</v>
      </c>
      <c r="C69" s="58"/>
      <c r="D69" s="58"/>
      <c r="E69" s="58"/>
      <c r="F69" s="58"/>
      <c r="G69" s="58"/>
    </row>
    <row r="70" spans="2:7" s="157" customFormat="1" x14ac:dyDescent="0.25">
      <c r="B70" s="156">
        <v>46224</v>
      </c>
      <c r="C70" s="58"/>
      <c r="D70" s="58"/>
      <c r="E70" s="58"/>
      <c r="F70" s="58"/>
      <c r="G70" s="58"/>
    </row>
    <row r="71" spans="2:7" s="157" customFormat="1" x14ac:dyDescent="0.25">
      <c r="B71" s="156">
        <v>46225</v>
      </c>
      <c r="C71" s="58"/>
      <c r="D71" s="58"/>
      <c r="E71" s="58"/>
      <c r="F71" s="58"/>
      <c r="G71" s="58"/>
    </row>
    <row r="72" spans="2:7" s="157" customFormat="1" x14ac:dyDescent="0.25">
      <c r="B72" s="156">
        <v>46226</v>
      </c>
      <c r="C72" s="58"/>
      <c r="D72" s="58"/>
      <c r="E72" s="58"/>
      <c r="F72" s="58"/>
      <c r="G72" s="58"/>
    </row>
    <row r="73" spans="2:7" s="157" customFormat="1" x14ac:dyDescent="0.25">
      <c r="B73" s="156">
        <v>46227</v>
      </c>
      <c r="C73" s="58"/>
      <c r="D73" s="58"/>
      <c r="E73" s="58"/>
      <c r="F73" s="58"/>
      <c r="G73" s="58"/>
    </row>
    <row r="74" spans="2:7" s="157" customFormat="1" x14ac:dyDescent="0.25">
      <c r="B74" s="156">
        <v>46228</v>
      </c>
      <c r="C74" s="58"/>
      <c r="D74" s="58"/>
      <c r="E74" s="58"/>
      <c r="F74" s="58"/>
      <c r="G74" s="58"/>
    </row>
    <row r="75" spans="2:7" s="157" customFormat="1" x14ac:dyDescent="0.25">
      <c r="B75" s="156">
        <v>46229</v>
      </c>
      <c r="C75" s="58" t="s">
        <v>7643</v>
      </c>
      <c r="D75" s="58"/>
      <c r="E75" s="58"/>
      <c r="F75" s="58"/>
      <c r="G75" s="58"/>
    </row>
    <row r="76" spans="2:7" s="157" customFormat="1" x14ac:dyDescent="0.25">
      <c r="B76" s="156">
        <v>46230</v>
      </c>
      <c r="C76" s="58" t="s">
        <v>7643</v>
      </c>
      <c r="D76" s="58"/>
      <c r="E76" s="58"/>
      <c r="F76" s="58"/>
      <c r="G76" s="58"/>
    </row>
    <row r="77" spans="2:7" s="157" customFormat="1" x14ac:dyDescent="0.25">
      <c r="B77" s="156">
        <v>46231</v>
      </c>
      <c r="C77" s="58" t="s">
        <v>7643</v>
      </c>
      <c r="D77" s="58"/>
      <c r="E77" s="58"/>
      <c r="F77" s="58"/>
      <c r="G77" s="58"/>
    </row>
    <row r="78" spans="2:7" s="157" customFormat="1" x14ac:dyDescent="0.25">
      <c r="B78" s="156">
        <v>46232</v>
      </c>
      <c r="C78" s="58"/>
      <c r="D78" s="58"/>
      <c r="E78" s="58"/>
      <c r="F78" s="58"/>
      <c r="G78" s="58"/>
    </row>
    <row r="79" spans="2:7" s="157" customFormat="1" x14ac:dyDescent="0.25">
      <c r="B79" s="156">
        <v>46233</v>
      </c>
      <c r="C79" s="58"/>
      <c r="D79" s="58"/>
      <c r="E79" s="58"/>
      <c r="F79" s="58"/>
      <c r="G79" s="58"/>
    </row>
    <row r="80" spans="2:7" s="157" customFormat="1" x14ac:dyDescent="0.25">
      <c r="B80" s="156">
        <v>46234</v>
      </c>
      <c r="C80" s="58"/>
      <c r="D80" s="58"/>
      <c r="E80" s="58"/>
      <c r="F80" s="58"/>
      <c r="G80" s="58"/>
    </row>
    <row r="81" spans="2:7" s="157" customFormat="1" x14ac:dyDescent="0.25">
      <c r="B81" s="156">
        <v>46235</v>
      </c>
      <c r="C81" s="58"/>
      <c r="D81" s="58"/>
      <c r="E81" s="58"/>
      <c r="F81" s="58"/>
      <c r="G81" s="58"/>
    </row>
    <row r="82" spans="2:7" s="157" customFormat="1" x14ac:dyDescent="0.25">
      <c r="B82" s="156">
        <v>46236</v>
      </c>
      <c r="C82" s="58"/>
      <c r="D82" s="58"/>
      <c r="E82" s="58"/>
      <c r="F82" s="58"/>
      <c r="G82" s="58"/>
    </row>
    <row r="83" spans="2:7" x14ac:dyDescent="0.25">
      <c r="B83" s="156">
        <v>46237</v>
      </c>
      <c r="C83" s="2"/>
      <c r="D83" s="2"/>
      <c r="E83" s="2"/>
      <c r="F83" s="2"/>
      <c r="G83" s="2"/>
    </row>
    <row r="84" spans="2:7" x14ac:dyDescent="0.25">
      <c r="B84" s="156">
        <v>46238</v>
      </c>
      <c r="C84" s="2"/>
      <c r="D84" s="2"/>
      <c r="E84" s="2"/>
      <c r="F84" s="2"/>
      <c r="G84" s="2"/>
    </row>
    <row r="85" spans="2:7" x14ac:dyDescent="0.25">
      <c r="B85" s="156">
        <v>46239</v>
      </c>
      <c r="C85" s="2" t="s">
        <v>7662</v>
      </c>
      <c r="D85" s="2"/>
      <c r="E85" s="2"/>
      <c r="F85" s="2"/>
      <c r="G85" s="2"/>
    </row>
    <row r="86" spans="2:7" x14ac:dyDescent="0.25">
      <c r="B86" s="156">
        <v>46240</v>
      </c>
      <c r="C86" s="2"/>
      <c r="D86" s="2"/>
      <c r="E86" s="2"/>
      <c r="F86" s="2"/>
      <c r="G86" s="2"/>
    </row>
    <row r="87" spans="2:7" x14ac:dyDescent="0.25">
      <c r="B87" s="156">
        <v>46241</v>
      </c>
      <c r="C87" s="2"/>
      <c r="D87" s="2"/>
      <c r="E87" s="2"/>
      <c r="F87" s="2"/>
      <c r="G87" s="2"/>
    </row>
    <row r="88" spans="2:7" x14ac:dyDescent="0.25">
      <c r="B88" s="156">
        <v>46242</v>
      </c>
      <c r="C88" s="2"/>
      <c r="D88" s="2"/>
      <c r="E88" s="2"/>
      <c r="F88" s="2"/>
      <c r="G88" s="2"/>
    </row>
    <row r="89" spans="2:7" x14ac:dyDescent="0.25">
      <c r="B89" s="156">
        <v>46243</v>
      </c>
      <c r="C89" s="2"/>
      <c r="D89" s="2"/>
      <c r="E89" s="2"/>
      <c r="F89" s="2"/>
      <c r="G89" s="2"/>
    </row>
    <row r="90" spans="2:7" x14ac:dyDescent="0.25">
      <c r="B90" s="156">
        <v>46244</v>
      </c>
      <c r="C90" s="2"/>
      <c r="D90" s="2"/>
      <c r="E90" s="2"/>
      <c r="F90" s="2"/>
      <c r="G90" s="2"/>
    </row>
    <row r="91" spans="2:7" x14ac:dyDescent="0.25">
      <c r="B91" s="156">
        <v>46245</v>
      </c>
      <c r="C91" s="2"/>
      <c r="D91" s="2"/>
      <c r="E91" s="2"/>
      <c r="F91" s="2"/>
      <c r="G91" s="2"/>
    </row>
    <row r="92" spans="2:7" x14ac:dyDescent="0.25">
      <c r="B92" s="156">
        <v>46246</v>
      </c>
      <c r="C92" s="2"/>
      <c r="D92" s="2"/>
      <c r="E92" s="2"/>
      <c r="F92" s="2"/>
      <c r="G92" s="2"/>
    </row>
    <row r="93" spans="2:7" x14ac:dyDescent="0.25">
      <c r="B93" s="156">
        <v>46247</v>
      </c>
      <c r="C93" s="2"/>
      <c r="D93" s="2"/>
      <c r="E93" s="2"/>
      <c r="F93" s="2"/>
      <c r="G93" s="2"/>
    </row>
    <row r="94" spans="2:7" x14ac:dyDescent="0.25">
      <c r="B94" s="156">
        <v>46248</v>
      </c>
      <c r="C94" s="2"/>
      <c r="D94" s="2"/>
      <c r="E94" s="2"/>
      <c r="F94" s="2"/>
      <c r="G94" s="2"/>
    </row>
    <row r="95" spans="2:7" x14ac:dyDescent="0.25">
      <c r="B95" s="156">
        <v>46249</v>
      </c>
      <c r="C95" s="2"/>
      <c r="D95" s="2"/>
      <c r="E95" s="2"/>
      <c r="F95" s="2"/>
      <c r="G95" s="2"/>
    </row>
    <row r="96" spans="2:7" x14ac:dyDescent="0.25">
      <c r="B96" s="156">
        <v>46250</v>
      </c>
      <c r="C96" s="2"/>
      <c r="D96" s="2"/>
      <c r="E96" s="2"/>
      <c r="F96" s="2"/>
      <c r="G96" s="2"/>
    </row>
    <row r="97" spans="2:7" x14ac:dyDescent="0.25">
      <c r="B97" s="156">
        <v>46251</v>
      </c>
      <c r="C97" s="2"/>
      <c r="D97" s="2"/>
      <c r="E97" s="2"/>
      <c r="F97" s="2"/>
      <c r="G97" s="2"/>
    </row>
    <row r="98" spans="2:7" x14ac:dyDescent="0.25">
      <c r="B98" s="156">
        <v>46252</v>
      </c>
      <c r="C98" s="2"/>
      <c r="D98" s="2"/>
      <c r="E98" s="2"/>
      <c r="F98" s="2"/>
      <c r="G98" s="2"/>
    </row>
    <row r="99" spans="2:7" x14ac:dyDescent="0.25">
      <c r="B99" s="156">
        <v>46253</v>
      </c>
      <c r="C99" s="2"/>
      <c r="D99" s="2"/>
      <c r="E99" s="2"/>
      <c r="F99" s="2"/>
      <c r="G99" s="2"/>
    </row>
    <row r="100" spans="2:7" ht="60" x14ac:dyDescent="0.25">
      <c r="B100" s="163">
        <v>46254</v>
      </c>
      <c r="C100" s="30" t="s">
        <v>7710</v>
      </c>
      <c r="D100" s="40" t="s">
        <v>7711</v>
      </c>
      <c r="E100" s="2"/>
      <c r="F100" s="2"/>
      <c r="G100" s="2"/>
    </row>
    <row r="101" spans="2:7" x14ac:dyDescent="0.25">
      <c r="B101" s="156">
        <v>46255</v>
      </c>
      <c r="C101" s="2" t="s">
        <v>7729</v>
      </c>
      <c r="D101" s="2"/>
      <c r="E101" s="2"/>
      <c r="F101" s="2"/>
      <c r="G101" s="2"/>
    </row>
    <row r="102" spans="2:7" x14ac:dyDescent="0.25">
      <c r="B102" s="156">
        <v>46256</v>
      </c>
      <c r="C102" s="2"/>
      <c r="D102" s="2"/>
      <c r="E102" s="2"/>
      <c r="F102" s="2"/>
      <c r="G102" s="2"/>
    </row>
    <row r="103" spans="2:7" x14ac:dyDescent="0.25">
      <c r="B103" s="156">
        <v>46257</v>
      </c>
      <c r="C103" s="2"/>
      <c r="D103" s="2"/>
      <c r="E103" s="2"/>
      <c r="F103" s="2"/>
      <c r="G103" s="2"/>
    </row>
    <row r="104" spans="2:7" x14ac:dyDescent="0.25">
      <c r="B104" s="156">
        <v>46258</v>
      </c>
      <c r="C104" s="2" t="s">
        <v>7616</v>
      </c>
      <c r="D104" s="2"/>
      <c r="E104" s="2"/>
      <c r="F104" s="2"/>
      <c r="G104" s="2"/>
    </row>
    <row r="105" spans="2:7" x14ac:dyDescent="0.25">
      <c r="B105" s="156">
        <v>46259</v>
      </c>
      <c r="C105" s="2" t="s">
        <v>4598</v>
      </c>
      <c r="D105" s="2"/>
      <c r="E105" s="2"/>
      <c r="F105" s="2"/>
      <c r="G105" s="2"/>
    </row>
    <row r="106" spans="2:7" x14ac:dyDescent="0.25">
      <c r="B106" s="156">
        <v>46260</v>
      </c>
      <c r="C106" s="2"/>
      <c r="D106" s="2"/>
      <c r="E106" s="2"/>
      <c r="F106" s="2"/>
      <c r="G106" s="2"/>
    </row>
    <row r="107" spans="2:7" x14ac:dyDescent="0.25">
      <c r="B107" s="156">
        <v>46261</v>
      </c>
      <c r="C107" s="2"/>
      <c r="D107" s="2"/>
      <c r="E107" s="2"/>
      <c r="F107" s="2"/>
      <c r="G107" s="2"/>
    </row>
    <row r="108" spans="2:7" x14ac:dyDescent="0.25">
      <c r="B108" s="156">
        <v>46262</v>
      </c>
      <c r="C108" s="2"/>
      <c r="D108" s="2"/>
      <c r="E108" s="2"/>
      <c r="F108" s="2"/>
      <c r="G108" s="2"/>
    </row>
    <row r="109" spans="2:7" x14ac:dyDescent="0.25">
      <c r="B109" s="156">
        <v>46263</v>
      </c>
      <c r="C109" s="2"/>
      <c r="D109" s="2"/>
      <c r="E109" s="2"/>
      <c r="F109" s="2"/>
      <c r="G109" s="2"/>
    </row>
    <row r="110" spans="2:7" x14ac:dyDescent="0.25">
      <c r="B110" s="156">
        <v>46264</v>
      </c>
      <c r="C110" s="2"/>
      <c r="D110" s="2"/>
      <c r="E110" s="2"/>
      <c r="F110" s="2"/>
      <c r="G110" s="2"/>
    </row>
    <row r="111" spans="2:7" x14ac:dyDescent="0.25">
      <c r="B111" s="156">
        <v>46265</v>
      </c>
      <c r="C111" s="2"/>
      <c r="D111" s="2"/>
      <c r="E111" s="2"/>
      <c r="F111" s="2"/>
      <c r="G111" s="2"/>
    </row>
    <row r="115" spans="2:7" x14ac:dyDescent="0.25">
      <c r="B115" s="53" t="s">
        <v>954</v>
      </c>
    </row>
    <row r="116" spans="2:7" ht="15.75" x14ac:dyDescent="0.25">
      <c r="B116" s="10" t="s">
        <v>0</v>
      </c>
      <c r="C116" s="11" t="s">
        <v>1</v>
      </c>
      <c r="D116" s="11" t="s">
        <v>2</v>
      </c>
      <c r="E116" s="11" t="s">
        <v>934</v>
      </c>
      <c r="F116" s="11" t="s">
        <v>1095</v>
      </c>
      <c r="G116" s="11" t="s">
        <v>1507</v>
      </c>
    </row>
    <row r="117" spans="2:7" x14ac:dyDescent="0.25">
      <c r="B117" s="156">
        <v>46281</v>
      </c>
      <c r="C117" s="2" t="s">
        <v>7814</v>
      </c>
      <c r="D117" s="2"/>
      <c r="E117" s="2"/>
      <c r="F117" s="2"/>
      <c r="G117" s="2"/>
    </row>
    <row r="118" spans="2:7" x14ac:dyDescent="0.25">
      <c r="B118" s="156">
        <v>46282</v>
      </c>
      <c r="C118" s="2" t="s">
        <v>7935</v>
      </c>
      <c r="D118" s="2"/>
      <c r="E118" s="2"/>
      <c r="F118" s="2"/>
      <c r="G118" s="2"/>
    </row>
    <row r="119" spans="2:7" x14ac:dyDescent="0.25">
      <c r="B119" s="156">
        <v>46283</v>
      </c>
      <c r="C119" s="2" t="s">
        <v>5673</v>
      </c>
      <c r="D119" s="2" t="s">
        <v>7629</v>
      </c>
      <c r="E119" s="2"/>
      <c r="F119" s="2"/>
      <c r="G119" s="2"/>
    </row>
    <row r="120" spans="2:7" x14ac:dyDescent="0.25">
      <c r="B120" s="156">
        <v>46284</v>
      </c>
      <c r="C120" s="2"/>
      <c r="D120" s="2"/>
      <c r="E120" s="2"/>
      <c r="F120" s="2"/>
      <c r="G120" s="2"/>
    </row>
    <row r="121" spans="2:7" x14ac:dyDescent="0.25">
      <c r="B121" s="156">
        <v>46285</v>
      </c>
      <c r="C121" s="2"/>
      <c r="D121" s="2"/>
      <c r="E121" s="2"/>
      <c r="F121" s="2"/>
      <c r="G121" s="2"/>
    </row>
    <row r="122" spans="2:7" x14ac:dyDescent="0.25">
      <c r="B122" s="156">
        <v>46286</v>
      </c>
      <c r="C122" s="2"/>
      <c r="D122" s="2"/>
      <c r="E122" s="2"/>
      <c r="F122" s="2"/>
      <c r="G122" s="2"/>
    </row>
    <row r="123" spans="2:7" x14ac:dyDescent="0.25">
      <c r="B123" s="156">
        <v>46287</v>
      </c>
      <c r="C123" s="2"/>
      <c r="D123" s="2"/>
      <c r="E123" s="2"/>
      <c r="F123" s="2"/>
      <c r="G123" s="2"/>
    </row>
    <row r="124" spans="2:7" x14ac:dyDescent="0.25">
      <c r="B124" s="156">
        <v>46288</v>
      </c>
      <c r="C124" s="2" t="s">
        <v>8007</v>
      </c>
      <c r="D124" s="2"/>
      <c r="E124" s="2">
        <v>105</v>
      </c>
      <c r="F124" s="2">
        <f>E124-E123</f>
        <v>105</v>
      </c>
      <c r="G124" s="2"/>
    </row>
    <row r="125" spans="2:7" x14ac:dyDescent="0.25">
      <c r="B125" s="156">
        <v>46289</v>
      </c>
      <c r="C125" s="2" t="s">
        <v>8008</v>
      </c>
      <c r="D125" s="2" t="s">
        <v>8009</v>
      </c>
      <c r="E125" s="2">
        <v>108</v>
      </c>
      <c r="F125" s="2">
        <f t="shared" ref="F125:F149" si="1">E125-E124</f>
        <v>3</v>
      </c>
      <c r="G125" s="2"/>
    </row>
    <row r="126" spans="2:7" x14ac:dyDescent="0.25">
      <c r="B126" s="156">
        <v>46290</v>
      </c>
      <c r="C126" s="2"/>
      <c r="D126" s="2"/>
      <c r="E126" s="2"/>
      <c r="F126" s="2">
        <f t="shared" si="1"/>
        <v>-108</v>
      </c>
      <c r="G126" s="2"/>
    </row>
    <row r="127" spans="2:7" x14ac:dyDescent="0.25">
      <c r="B127" s="156">
        <v>46291</v>
      </c>
      <c r="C127" s="2"/>
      <c r="D127" s="2"/>
      <c r="E127" s="2"/>
      <c r="F127" s="2">
        <f t="shared" si="1"/>
        <v>0</v>
      </c>
      <c r="G127" s="2"/>
    </row>
    <row r="128" spans="2:7" x14ac:dyDescent="0.25">
      <c r="B128" s="156">
        <v>46292</v>
      </c>
      <c r="C128" s="2"/>
      <c r="D128" s="2"/>
      <c r="E128" s="2"/>
      <c r="F128" s="2">
        <f t="shared" si="1"/>
        <v>0</v>
      </c>
      <c r="G128" s="2"/>
    </row>
    <row r="129" spans="2:7" x14ac:dyDescent="0.25">
      <c r="B129" s="156">
        <v>46293</v>
      </c>
      <c r="C129" s="2" t="s">
        <v>8045</v>
      </c>
      <c r="D129" s="2"/>
      <c r="E129" s="2"/>
      <c r="F129" s="2">
        <f t="shared" si="1"/>
        <v>0</v>
      </c>
      <c r="G129" s="2"/>
    </row>
    <row r="130" spans="2:7" x14ac:dyDescent="0.25">
      <c r="B130" s="156">
        <v>46294</v>
      </c>
      <c r="C130" s="2" t="s">
        <v>5403</v>
      </c>
      <c r="D130" s="2"/>
      <c r="E130" s="2"/>
      <c r="F130" s="2">
        <f t="shared" si="1"/>
        <v>0</v>
      </c>
      <c r="G130" s="2"/>
    </row>
    <row r="131" spans="2:7" x14ac:dyDescent="0.25">
      <c r="B131" s="156">
        <v>46295</v>
      </c>
      <c r="C131" s="2"/>
      <c r="D131" s="2"/>
      <c r="E131" s="2"/>
      <c r="F131" s="2">
        <f t="shared" si="1"/>
        <v>0</v>
      </c>
      <c r="G131" s="2"/>
    </row>
    <row r="132" spans="2:7" x14ac:dyDescent="0.25">
      <c r="B132" s="156">
        <v>46296</v>
      </c>
      <c r="C132" s="2"/>
      <c r="D132" s="2"/>
      <c r="E132" s="2"/>
      <c r="F132" s="2">
        <f t="shared" si="1"/>
        <v>0</v>
      </c>
      <c r="G132" s="2"/>
    </row>
    <row r="133" spans="2:7" x14ac:dyDescent="0.25">
      <c r="B133" s="156">
        <v>46297</v>
      </c>
      <c r="C133" s="2"/>
      <c r="D133" s="2"/>
      <c r="E133" s="2"/>
      <c r="F133" s="2">
        <f t="shared" si="1"/>
        <v>0</v>
      </c>
      <c r="G133" s="2"/>
    </row>
    <row r="134" spans="2:7" x14ac:dyDescent="0.25">
      <c r="B134" s="156">
        <v>46298</v>
      </c>
      <c r="C134" s="2"/>
      <c r="D134" s="2"/>
      <c r="E134" s="2"/>
      <c r="F134" s="2">
        <f t="shared" si="1"/>
        <v>0</v>
      </c>
      <c r="G134" s="2"/>
    </row>
    <row r="135" spans="2:7" x14ac:dyDescent="0.25">
      <c r="B135" s="156">
        <v>46299</v>
      </c>
      <c r="C135" s="2"/>
      <c r="D135" s="2"/>
      <c r="E135" s="2"/>
      <c r="F135" s="2">
        <f t="shared" si="1"/>
        <v>0</v>
      </c>
      <c r="G135" s="2"/>
    </row>
    <row r="136" spans="2:7" x14ac:dyDescent="0.25">
      <c r="B136" s="156">
        <v>46300</v>
      </c>
      <c r="C136" s="2"/>
      <c r="D136" s="2"/>
      <c r="E136" s="2"/>
      <c r="F136" s="2">
        <f t="shared" si="1"/>
        <v>0</v>
      </c>
      <c r="G136" s="2"/>
    </row>
    <row r="137" spans="2:7" x14ac:dyDescent="0.25">
      <c r="B137" s="156">
        <v>46301</v>
      </c>
      <c r="C137" s="2"/>
      <c r="D137" s="2"/>
      <c r="E137" s="2"/>
      <c r="F137" s="2">
        <f t="shared" si="1"/>
        <v>0</v>
      </c>
      <c r="G137" s="2"/>
    </row>
    <row r="138" spans="2:7" x14ac:dyDescent="0.25">
      <c r="B138" s="156">
        <v>46302</v>
      </c>
      <c r="C138" s="58"/>
      <c r="D138" s="58"/>
      <c r="E138" s="58"/>
      <c r="F138" s="2">
        <f t="shared" si="1"/>
        <v>0</v>
      </c>
      <c r="G138" s="58"/>
    </row>
    <row r="139" spans="2:7" x14ac:dyDescent="0.25">
      <c r="B139" s="156">
        <v>46303</v>
      </c>
      <c r="C139" s="58"/>
      <c r="D139" s="58"/>
      <c r="E139" s="58"/>
      <c r="F139" s="2">
        <f t="shared" si="1"/>
        <v>0</v>
      </c>
      <c r="G139" s="58"/>
    </row>
    <row r="140" spans="2:7" x14ac:dyDescent="0.25">
      <c r="B140" s="156">
        <v>46304</v>
      </c>
      <c r="C140" s="58"/>
      <c r="D140" s="58"/>
      <c r="E140" s="58"/>
      <c r="F140" s="2">
        <f t="shared" si="1"/>
        <v>0</v>
      </c>
      <c r="G140" s="58"/>
    </row>
    <row r="141" spans="2:7" x14ac:dyDescent="0.25">
      <c r="B141" s="156">
        <v>46305</v>
      </c>
      <c r="C141" s="58"/>
      <c r="D141" s="58"/>
      <c r="E141" s="58"/>
      <c r="F141" s="2">
        <f t="shared" si="1"/>
        <v>0</v>
      </c>
      <c r="G141" s="58"/>
    </row>
    <row r="142" spans="2:7" x14ac:dyDescent="0.25">
      <c r="B142" s="156">
        <v>46306</v>
      </c>
      <c r="C142" s="58"/>
      <c r="D142" s="58"/>
      <c r="E142" s="58"/>
      <c r="F142" s="2">
        <f t="shared" si="1"/>
        <v>0</v>
      </c>
      <c r="G142" s="58"/>
    </row>
    <row r="143" spans="2:7" x14ac:dyDescent="0.25">
      <c r="B143" s="156">
        <v>46307</v>
      </c>
      <c r="C143" s="58"/>
      <c r="D143" s="58"/>
      <c r="E143" s="58"/>
      <c r="F143" s="2">
        <f t="shared" si="1"/>
        <v>0</v>
      </c>
      <c r="G143" s="58"/>
    </row>
    <row r="144" spans="2:7" x14ac:dyDescent="0.25">
      <c r="B144" s="156">
        <v>46308</v>
      </c>
      <c r="C144" s="58"/>
      <c r="D144" s="58"/>
      <c r="E144" s="58"/>
      <c r="F144" s="2">
        <f t="shared" si="1"/>
        <v>0</v>
      </c>
      <c r="G144" s="58"/>
    </row>
    <row r="145" spans="2:7" x14ac:dyDescent="0.25">
      <c r="B145" s="156">
        <v>46309</v>
      </c>
      <c r="C145" s="161"/>
      <c r="D145" s="58"/>
      <c r="E145" s="58"/>
      <c r="F145" s="2">
        <f t="shared" si="1"/>
        <v>0</v>
      </c>
      <c r="G145" s="58"/>
    </row>
    <row r="146" spans="2:7" x14ac:dyDescent="0.25">
      <c r="B146" s="156">
        <v>46310</v>
      </c>
      <c r="C146" s="58"/>
      <c r="D146" s="58"/>
      <c r="E146" s="58"/>
      <c r="F146" s="2">
        <f t="shared" si="1"/>
        <v>0</v>
      </c>
      <c r="G146" s="58"/>
    </row>
    <row r="147" spans="2:7" x14ac:dyDescent="0.25">
      <c r="B147" s="156">
        <v>46311</v>
      </c>
      <c r="C147" s="58"/>
      <c r="D147" s="58"/>
      <c r="E147" s="58"/>
      <c r="F147" s="2">
        <f t="shared" si="1"/>
        <v>0</v>
      </c>
      <c r="G147" s="58"/>
    </row>
    <row r="148" spans="2:7" x14ac:dyDescent="0.25">
      <c r="B148" s="156">
        <v>46312</v>
      </c>
      <c r="C148" s="58"/>
      <c r="D148" s="58"/>
      <c r="E148" s="58"/>
      <c r="F148" s="2">
        <f t="shared" si="1"/>
        <v>0</v>
      </c>
      <c r="G148" s="58"/>
    </row>
    <row r="149" spans="2:7" x14ac:dyDescent="0.25">
      <c r="B149" s="156">
        <v>46313</v>
      </c>
      <c r="C149" s="58"/>
      <c r="D149" s="58"/>
      <c r="E149" s="58"/>
      <c r="F149" s="2">
        <f t="shared" si="1"/>
        <v>0</v>
      </c>
      <c r="G149" s="58"/>
    </row>
    <row r="150" spans="2:7" x14ac:dyDescent="0.25">
      <c r="B150" s="156">
        <v>46314</v>
      </c>
      <c r="C150" s="58"/>
      <c r="D150" s="58"/>
      <c r="E150" s="58"/>
      <c r="F150" s="58"/>
      <c r="G150" s="58"/>
    </row>
    <row r="151" spans="2:7" x14ac:dyDescent="0.25">
      <c r="B151" s="156">
        <v>46315</v>
      </c>
      <c r="C151" s="58"/>
      <c r="D151" s="58"/>
      <c r="E151" s="58"/>
      <c r="F151" s="58"/>
      <c r="G151" s="58"/>
    </row>
    <row r="152" spans="2:7" x14ac:dyDescent="0.25">
      <c r="B152" s="156">
        <v>46316</v>
      </c>
      <c r="C152" s="58"/>
      <c r="D152" s="58"/>
      <c r="E152" s="58"/>
      <c r="F152" s="58"/>
      <c r="G152" s="58"/>
    </row>
    <row r="153" spans="2:7" x14ac:dyDescent="0.25">
      <c r="B153" s="156">
        <v>46317</v>
      </c>
      <c r="C153" s="58"/>
      <c r="D153" s="58"/>
      <c r="E153" s="58"/>
      <c r="F153" s="58"/>
      <c r="G153" s="58"/>
    </row>
    <row r="154" spans="2:7" x14ac:dyDescent="0.25">
      <c r="B154" s="156">
        <v>46318</v>
      </c>
      <c r="C154" s="58"/>
      <c r="D154" s="58"/>
      <c r="E154" s="58"/>
      <c r="F154" s="58"/>
      <c r="G154" s="58"/>
    </row>
    <row r="155" spans="2:7" x14ac:dyDescent="0.25">
      <c r="B155" s="156">
        <v>46319</v>
      </c>
      <c r="C155" s="161"/>
      <c r="D155" s="58"/>
      <c r="E155" s="58"/>
      <c r="F155" s="58"/>
      <c r="G155" s="58"/>
    </row>
    <row r="156" spans="2:7" x14ac:dyDescent="0.25">
      <c r="B156" s="156">
        <v>46320</v>
      </c>
      <c r="C156" s="58"/>
      <c r="D156" s="58"/>
      <c r="E156" s="58"/>
      <c r="F156" s="58"/>
      <c r="G156" s="58"/>
    </row>
    <row r="157" spans="2:7" x14ac:dyDescent="0.25">
      <c r="B157" s="156">
        <v>46321</v>
      </c>
      <c r="C157" s="58"/>
      <c r="D157" s="58"/>
      <c r="E157" s="58"/>
      <c r="F157" s="58"/>
      <c r="G157" s="58"/>
    </row>
    <row r="158" spans="2:7" x14ac:dyDescent="0.25">
      <c r="B158" s="156">
        <v>46322</v>
      </c>
      <c r="C158" s="58"/>
      <c r="D158" s="58"/>
      <c r="E158" s="58"/>
      <c r="F158" s="58"/>
      <c r="G158" s="58"/>
    </row>
    <row r="159" spans="2:7" x14ac:dyDescent="0.25">
      <c r="B159" s="156">
        <v>46323</v>
      </c>
      <c r="C159" s="58"/>
      <c r="D159" s="58"/>
      <c r="E159" s="58"/>
      <c r="F159" s="58"/>
      <c r="G159" s="58"/>
    </row>
    <row r="160" spans="2:7" x14ac:dyDescent="0.25">
      <c r="B160" s="156">
        <v>46324</v>
      </c>
      <c r="C160" s="58"/>
      <c r="D160" s="58"/>
      <c r="E160" s="58"/>
      <c r="F160" s="58"/>
      <c r="G160" s="58"/>
    </row>
    <row r="161" spans="2:7" x14ac:dyDescent="0.25">
      <c r="B161" s="156">
        <v>46325</v>
      </c>
      <c r="C161" s="58"/>
      <c r="D161" s="58"/>
      <c r="E161" s="58"/>
      <c r="F161" s="58"/>
      <c r="G161" s="58"/>
    </row>
    <row r="162" spans="2:7" x14ac:dyDescent="0.25">
      <c r="B162" s="156">
        <v>46326</v>
      </c>
      <c r="C162" s="58"/>
      <c r="D162" s="58"/>
      <c r="E162" s="58"/>
      <c r="F162" s="58"/>
      <c r="G162" s="58"/>
    </row>
    <row r="163" spans="2:7" x14ac:dyDescent="0.25">
      <c r="B163" s="156">
        <v>46327</v>
      </c>
      <c r="C163" s="58"/>
      <c r="D163" s="58"/>
      <c r="E163" s="58"/>
      <c r="F163" s="58"/>
      <c r="G163" s="58"/>
    </row>
    <row r="164" spans="2:7" x14ac:dyDescent="0.25">
      <c r="B164" s="156">
        <v>46328</v>
      </c>
      <c r="C164" s="113"/>
      <c r="D164" s="58"/>
      <c r="E164" s="58"/>
      <c r="F164" s="58"/>
      <c r="G164" s="58"/>
    </row>
    <row r="165" spans="2:7" x14ac:dyDescent="0.25">
      <c r="B165" s="156">
        <v>46329</v>
      </c>
      <c r="C165" s="58"/>
      <c r="D165" s="58"/>
      <c r="E165" s="58"/>
      <c r="F165" s="58"/>
      <c r="G165" s="58"/>
    </row>
    <row r="166" spans="2:7" x14ac:dyDescent="0.25">
      <c r="B166" s="156">
        <v>46330</v>
      </c>
      <c r="C166" s="58"/>
      <c r="D166" s="58"/>
      <c r="E166" s="58"/>
      <c r="F166" s="58"/>
      <c r="G166" s="58"/>
    </row>
    <row r="167" spans="2:7" x14ac:dyDescent="0.25">
      <c r="B167" s="156">
        <v>46331</v>
      </c>
      <c r="C167" s="58"/>
      <c r="D167" s="58"/>
      <c r="E167" s="58"/>
      <c r="F167" s="58"/>
      <c r="G167" s="58"/>
    </row>
    <row r="168" spans="2:7" x14ac:dyDescent="0.25">
      <c r="B168" s="156">
        <v>46332</v>
      </c>
      <c r="C168" s="58"/>
      <c r="D168" s="58"/>
      <c r="E168" s="58"/>
      <c r="F168" s="58"/>
      <c r="G168" s="58"/>
    </row>
    <row r="169" spans="2:7" x14ac:dyDescent="0.25">
      <c r="B169" s="156">
        <v>46333</v>
      </c>
      <c r="C169" s="58"/>
      <c r="D169" s="58"/>
      <c r="E169" s="58"/>
      <c r="F169" s="58"/>
      <c r="G169" s="58"/>
    </row>
    <row r="170" spans="2:7" x14ac:dyDescent="0.25">
      <c r="B170" s="156">
        <v>46334</v>
      </c>
      <c r="C170" s="58"/>
      <c r="D170" s="58"/>
      <c r="E170" s="58"/>
      <c r="F170" s="58"/>
      <c r="G170" s="58"/>
    </row>
    <row r="171" spans="2:7" x14ac:dyDescent="0.25">
      <c r="B171" s="156">
        <v>46335</v>
      </c>
      <c r="C171" s="58"/>
      <c r="D171" s="58"/>
      <c r="E171" s="58"/>
      <c r="F171" s="58"/>
      <c r="G171" s="58"/>
    </row>
    <row r="172" spans="2:7" x14ac:dyDescent="0.25">
      <c r="B172" s="156">
        <v>46336</v>
      </c>
      <c r="C172" s="58"/>
      <c r="D172" s="58"/>
      <c r="E172" s="58"/>
      <c r="F172" s="58"/>
      <c r="G172" s="58"/>
    </row>
    <row r="173" spans="2:7" x14ac:dyDescent="0.25">
      <c r="B173" s="156">
        <v>46337</v>
      </c>
      <c r="C173" s="58"/>
      <c r="D173" s="58"/>
      <c r="E173" s="58"/>
      <c r="F173" s="58"/>
      <c r="G173" s="58"/>
    </row>
    <row r="174" spans="2:7" x14ac:dyDescent="0.25">
      <c r="B174" s="156">
        <v>46338</v>
      </c>
      <c r="C174" s="58"/>
      <c r="D174" s="58"/>
      <c r="E174" s="58"/>
      <c r="F174" s="58"/>
      <c r="G174" s="58"/>
    </row>
    <row r="175" spans="2:7" x14ac:dyDescent="0.25">
      <c r="B175" s="156">
        <v>46339</v>
      </c>
      <c r="C175" s="58"/>
      <c r="D175" s="58"/>
      <c r="E175" s="58"/>
      <c r="F175" s="58"/>
      <c r="G175" s="58"/>
    </row>
    <row r="176" spans="2:7" x14ac:dyDescent="0.25">
      <c r="B176" s="156">
        <v>46340</v>
      </c>
      <c r="C176" s="58"/>
      <c r="D176" s="58"/>
      <c r="E176" s="58"/>
      <c r="F176" s="58"/>
      <c r="G176" s="58"/>
    </row>
    <row r="177" spans="2:7" x14ac:dyDescent="0.25">
      <c r="B177" s="156">
        <v>46341</v>
      </c>
      <c r="C177" s="58"/>
      <c r="D177" s="58"/>
      <c r="E177" s="58"/>
      <c r="F177" s="58"/>
      <c r="G177" s="58"/>
    </row>
    <row r="178" spans="2:7" x14ac:dyDescent="0.25">
      <c r="B178" s="156">
        <v>46342</v>
      </c>
      <c r="C178" s="58"/>
      <c r="D178" s="58"/>
      <c r="E178" s="58"/>
      <c r="F178" s="58"/>
      <c r="G178" s="58"/>
    </row>
    <row r="179" spans="2:7" x14ac:dyDescent="0.25">
      <c r="B179" s="156">
        <v>46343</v>
      </c>
      <c r="C179" s="58"/>
      <c r="D179" s="58"/>
      <c r="E179" s="58"/>
      <c r="F179" s="58"/>
      <c r="G179" s="58"/>
    </row>
    <row r="180" spans="2:7" x14ac:dyDescent="0.25">
      <c r="B180" s="156">
        <v>46344</v>
      </c>
      <c r="C180" s="58"/>
      <c r="D180" s="58"/>
      <c r="E180" s="58"/>
      <c r="F180" s="58"/>
      <c r="G180" s="58"/>
    </row>
    <row r="181" spans="2:7" x14ac:dyDescent="0.25">
      <c r="B181" s="156">
        <v>46345</v>
      </c>
      <c r="C181" s="58"/>
      <c r="D181" s="58"/>
      <c r="E181" s="58"/>
      <c r="F181" s="58"/>
      <c r="G181" s="58"/>
    </row>
    <row r="182" spans="2:7" x14ac:dyDescent="0.25">
      <c r="B182" s="156">
        <v>46346</v>
      </c>
      <c r="C182" s="58"/>
      <c r="D182" s="58"/>
      <c r="E182" s="58"/>
      <c r="F182" s="58"/>
      <c r="G182" s="58"/>
    </row>
    <row r="183" spans="2:7" x14ac:dyDescent="0.25">
      <c r="B183" s="156">
        <v>46347</v>
      </c>
      <c r="C183" s="58"/>
      <c r="D183" s="58"/>
      <c r="E183" s="58"/>
      <c r="F183" s="58"/>
      <c r="G183" s="58"/>
    </row>
    <row r="184" spans="2:7" x14ac:dyDescent="0.25">
      <c r="B184" s="156">
        <v>46348</v>
      </c>
      <c r="C184" s="58"/>
      <c r="D184" s="58"/>
      <c r="E184" s="58"/>
      <c r="F184" s="58"/>
      <c r="G184" s="58"/>
    </row>
    <row r="185" spans="2:7" x14ac:dyDescent="0.25">
      <c r="B185" s="156">
        <v>46349</v>
      </c>
      <c r="C185" s="58"/>
      <c r="D185" s="58"/>
      <c r="E185" s="58"/>
      <c r="F185" s="58"/>
      <c r="G185" s="58"/>
    </row>
    <row r="186" spans="2:7" x14ac:dyDescent="0.25">
      <c r="B186" s="156">
        <v>46350</v>
      </c>
      <c r="C186" s="58"/>
      <c r="D186" s="58"/>
      <c r="E186" s="58"/>
      <c r="F186" s="58"/>
      <c r="G186" s="58"/>
    </row>
    <row r="187" spans="2:7" x14ac:dyDescent="0.25">
      <c r="B187" s="156">
        <v>46351</v>
      </c>
      <c r="C187" s="58"/>
      <c r="D187" s="58"/>
      <c r="E187" s="58"/>
      <c r="F187" s="58"/>
      <c r="G187" s="58"/>
    </row>
    <row r="188" spans="2:7" x14ac:dyDescent="0.25">
      <c r="B188" s="156">
        <v>46352</v>
      </c>
      <c r="C188" s="58"/>
      <c r="D188" s="58"/>
      <c r="E188" s="58"/>
      <c r="F188" s="58"/>
      <c r="G188" s="58"/>
    </row>
    <row r="189" spans="2:7" x14ac:dyDescent="0.25">
      <c r="B189" s="156">
        <v>46353</v>
      </c>
      <c r="C189" s="58"/>
      <c r="D189" s="58"/>
      <c r="E189" s="58"/>
      <c r="F189" s="58"/>
      <c r="G189" s="58"/>
    </row>
    <row r="190" spans="2:7" x14ac:dyDescent="0.25">
      <c r="B190" s="156">
        <v>46354</v>
      </c>
      <c r="C190" s="58"/>
      <c r="D190" s="58"/>
      <c r="E190" s="58"/>
      <c r="F190" s="58"/>
      <c r="G190" s="58"/>
    </row>
    <row r="191" spans="2:7" x14ac:dyDescent="0.25">
      <c r="B191" s="156">
        <v>46355</v>
      </c>
      <c r="C191" s="58"/>
      <c r="D191" s="58"/>
      <c r="E191" s="58"/>
      <c r="F191" s="58"/>
      <c r="G191" s="58"/>
    </row>
    <row r="192" spans="2:7" x14ac:dyDescent="0.25">
      <c r="B192" s="156">
        <v>46356</v>
      </c>
      <c r="C192" s="58"/>
      <c r="D192" s="58"/>
      <c r="E192" s="58"/>
      <c r="F192" s="58"/>
      <c r="G192" s="58"/>
    </row>
    <row r="193" spans="2:7" x14ac:dyDescent="0.25">
      <c r="B193" s="156">
        <v>46357</v>
      </c>
      <c r="C193" s="58"/>
      <c r="D193" s="58"/>
      <c r="E193" s="58"/>
      <c r="F193" s="58"/>
      <c r="G193" s="58"/>
    </row>
    <row r="194" spans="2:7" x14ac:dyDescent="0.25">
      <c r="B194" s="156">
        <v>46358</v>
      </c>
      <c r="C194" s="58"/>
      <c r="D194" s="58"/>
      <c r="E194" s="58"/>
      <c r="F194" s="58"/>
      <c r="G194" s="58"/>
    </row>
    <row r="195" spans="2:7" x14ac:dyDescent="0.25">
      <c r="B195" s="156">
        <v>46359</v>
      </c>
      <c r="C195" s="58"/>
      <c r="D195" s="58"/>
      <c r="E195" s="58"/>
      <c r="F195" s="58"/>
      <c r="G195" s="58"/>
    </row>
    <row r="196" spans="2:7" x14ac:dyDescent="0.25">
      <c r="B196" s="156">
        <v>46360</v>
      </c>
      <c r="C196" s="2"/>
      <c r="D196" s="2"/>
      <c r="E196" s="2"/>
      <c r="F196" s="2"/>
      <c r="G196" s="2"/>
    </row>
    <row r="197" spans="2:7" x14ac:dyDescent="0.25">
      <c r="B197" s="156">
        <v>46361</v>
      </c>
      <c r="C197" s="2"/>
      <c r="D197" s="2"/>
      <c r="E197" s="2"/>
      <c r="F197" s="2"/>
      <c r="G197" s="2"/>
    </row>
    <row r="198" spans="2:7" x14ac:dyDescent="0.25">
      <c r="B198" s="156">
        <v>46362</v>
      </c>
      <c r="C198" s="2"/>
      <c r="D198" s="2"/>
      <c r="E198" s="2"/>
      <c r="F198" s="2"/>
      <c r="G198" s="2"/>
    </row>
    <row r="199" spans="2:7" x14ac:dyDescent="0.25">
      <c r="B199" s="156">
        <v>46363</v>
      </c>
      <c r="C199" s="2"/>
      <c r="D199" s="2"/>
      <c r="E199" s="2"/>
      <c r="F199" s="2"/>
      <c r="G199" s="2"/>
    </row>
    <row r="200" spans="2:7" x14ac:dyDescent="0.25">
      <c r="B200" s="156">
        <v>46364</v>
      </c>
      <c r="C200" s="2"/>
      <c r="D200" s="2"/>
      <c r="E200" s="2"/>
      <c r="F200" s="2"/>
      <c r="G200" s="2"/>
    </row>
    <row r="201" spans="2:7" x14ac:dyDescent="0.25">
      <c r="B201" s="156">
        <v>46365</v>
      </c>
      <c r="C201" s="2"/>
      <c r="D201" s="2"/>
      <c r="E201" s="2"/>
      <c r="F201" s="2"/>
      <c r="G201" s="2"/>
    </row>
    <row r="202" spans="2:7" x14ac:dyDescent="0.25">
      <c r="B202" s="156">
        <v>46366</v>
      </c>
      <c r="C202" s="2"/>
      <c r="D202" s="2"/>
      <c r="E202" s="2"/>
      <c r="F202" s="2"/>
      <c r="G202" s="2"/>
    </row>
    <row r="203" spans="2:7" x14ac:dyDescent="0.25">
      <c r="B203" s="156">
        <v>46367</v>
      </c>
      <c r="C203" s="2"/>
      <c r="D203" s="2"/>
      <c r="E203" s="2"/>
      <c r="F203" s="2"/>
      <c r="G203" s="2"/>
    </row>
    <row r="204" spans="2:7" x14ac:dyDescent="0.25">
      <c r="B204" s="156">
        <v>46368</v>
      </c>
      <c r="C204" s="2"/>
      <c r="D204" s="2"/>
      <c r="E204" s="2"/>
      <c r="F204" s="2"/>
      <c r="G204" s="2"/>
    </row>
    <row r="205" spans="2:7" x14ac:dyDescent="0.25">
      <c r="B205" s="156">
        <v>46369</v>
      </c>
      <c r="C205" s="2"/>
      <c r="D205" s="2"/>
      <c r="E205" s="2"/>
      <c r="F205" s="2"/>
      <c r="G205" s="2"/>
    </row>
    <row r="206" spans="2:7" x14ac:dyDescent="0.25">
      <c r="B206" s="156">
        <v>46370</v>
      </c>
      <c r="C206" s="2"/>
      <c r="D206" s="2"/>
      <c r="E206" s="2"/>
      <c r="F206" s="2"/>
      <c r="G206" s="2"/>
    </row>
    <row r="207" spans="2:7" x14ac:dyDescent="0.25">
      <c r="B207" s="156">
        <v>46371</v>
      </c>
      <c r="C207" s="2"/>
      <c r="D207" s="2"/>
      <c r="E207" s="2"/>
      <c r="F207" s="2"/>
      <c r="G207" s="2"/>
    </row>
    <row r="208" spans="2:7" x14ac:dyDescent="0.25">
      <c r="B208" s="156">
        <v>46372</v>
      </c>
      <c r="C208" s="2"/>
      <c r="D208" s="2"/>
      <c r="E208" s="2"/>
      <c r="F208" s="2"/>
      <c r="G208" s="2"/>
    </row>
    <row r="209" spans="2:7" x14ac:dyDescent="0.25">
      <c r="B209" s="156">
        <v>46373</v>
      </c>
      <c r="C209" s="2"/>
      <c r="D209" s="2"/>
      <c r="E209" s="2"/>
      <c r="F209" s="2"/>
      <c r="G209" s="2"/>
    </row>
    <row r="210" spans="2:7" x14ac:dyDescent="0.25">
      <c r="B210" s="156">
        <v>46374</v>
      </c>
      <c r="C210" s="2"/>
      <c r="D210" s="2"/>
      <c r="E210" s="2"/>
      <c r="F210" s="2"/>
      <c r="G210" s="2"/>
    </row>
    <row r="211" spans="2:7" x14ac:dyDescent="0.25">
      <c r="B211" s="156">
        <v>46375</v>
      </c>
      <c r="C211" s="2"/>
      <c r="D211" s="2"/>
      <c r="E211" s="2"/>
      <c r="F211" s="2"/>
      <c r="G211" s="2"/>
    </row>
    <row r="212" spans="2:7" x14ac:dyDescent="0.25">
      <c r="B212" s="156">
        <v>46376</v>
      </c>
      <c r="C212" s="2"/>
      <c r="D212" s="2"/>
      <c r="E212" s="2"/>
      <c r="F212" s="2"/>
      <c r="G212" s="2"/>
    </row>
    <row r="213" spans="2:7" x14ac:dyDescent="0.25">
      <c r="B213" s="156">
        <v>46377</v>
      </c>
      <c r="C213" s="30"/>
      <c r="D213" s="40"/>
      <c r="E213" s="2"/>
      <c r="F213" s="2"/>
      <c r="G213" s="2"/>
    </row>
    <row r="214" spans="2:7" x14ac:dyDescent="0.25">
      <c r="B214" s="156">
        <v>46378</v>
      </c>
      <c r="C214" s="2"/>
      <c r="D214" s="2"/>
      <c r="E214" s="2"/>
      <c r="F214" s="2"/>
      <c r="G214" s="2"/>
    </row>
    <row r="215" spans="2:7" x14ac:dyDescent="0.25">
      <c r="B215" s="156">
        <v>46379</v>
      </c>
      <c r="C215" s="2"/>
      <c r="D215" s="2"/>
      <c r="E215" s="2"/>
      <c r="F215" s="2"/>
      <c r="G215" s="2"/>
    </row>
    <row r="216" spans="2:7" x14ac:dyDescent="0.25">
      <c r="B216" s="156">
        <v>46380</v>
      </c>
      <c r="C216" s="2"/>
      <c r="D216" s="2"/>
      <c r="E216" s="2"/>
      <c r="F216" s="2"/>
      <c r="G216" s="2"/>
    </row>
    <row r="217" spans="2:7" x14ac:dyDescent="0.25">
      <c r="B217" s="156">
        <v>46381</v>
      </c>
      <c r="C217" s="2"/>
      <c r="D217" s="2"/>
      <c r="E217" s="2"/>
      <c r="F217" s="2"/>
      <c r="G217" s="2"/>
    </row>
    <row r="218" spans="2:7" x14ac:dyDescent="0.25">
      <c r="B218" s="156">
        <v>46382</v>
      </c>
      <c r="C218" s="2"/>
      <c r="D218" s="2"/>
      <c r="E218" s="2"/>
      <c r="F218" s="2"/>
      <c r="G218" s="2"/>
    </row>
    <row r="219" spans="2:7" x14ac:dyDescent="0.25">
      <c r="B219" s="156">
        <v>46383</v>
      </c>
      <c r="C219" s="2"/>
      <c r="D219" s="2"/>
      <c r="E219" s="2"/>
      <c r="F219" s="2"/>
      <c r="G219" s="2"/>
    </row>
    <row r="220" spans="2:7" x14ac:dyDescent="0.25">
      <c r="B220" s="156">
        <v>46384</v>
      </c>
      <c r="C220" s="2"/>
      <c r="D220" s="2"/>
      <c r="E220" s="2"/>
      <c r="F220" s="2"/>
      <c r="G220" s="2"/>
    </row>
    <row r="221" spans="2:7" x14ac:dyDescent="0.25">
      <c r="B221" s="156">
        <v>46385</v>
      </c>
      <c r="C221" s="2"/>
      <c r="D221" s="2"/>
      <c r="E221" s="2"/>
      <c r="F221" s="2"/>
      <c r="G221" s="2"/>
    </row>
    <row r="222" spans="2:7" x14ac:dyDescent="0.25">
      <c r="B222" s="156">
        <v>46386</v>
      </c>
      <c r="C222" s="2"/>
      <c r="D222" s="2"/>
      <c r="E222" s="2"/>
      <c r="F222" s="2"/>
      <c r="G222" s="2"/>
    </row>
    <row r="223" spans="2:7" x14ac:dyDescent="0.25">
      <c r="B223" s="156">
        <v>46387</v>
      </c>
      <c r="C223" s="2"/>
      <c r="D223" s="2"/>
      <c r="E223" s="2"/>
      <c r="F223" s="2"/>
      <c r="G223" s="2"/>
    </row>
    <row r="224" spans="2:7" x14ac:dyDescent="0.25">
      <c r="B224" s="156">
        <v>46388</v>
      </c>
      <c r="C224" s="2"/>
      <c r="D224" s="2"/>
      <c r="E224" s="2"/>
      <c r="F224" s="2"/>
      <c r="G224" s="2"/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47E6B-7906-4A95-B910-3790E91ED9D0}">
  <dimension ref="B2:H23"/>
  <sheetViews>
    <sheetView workbookViewId="0">
      <selection activeCell="H11" sqref="H11"/>
    </sheetView>
  </sheetViews>
  <sheetFormatPr defaultRowHeight="15" x14ac:dyDescent="0.25"/>
  <cols>
    <col min="2" max="2" width="18" bestFit="1" customWidth="1"/>
    <col min="3" max="3" width="72" bestFit="1" customWidth="1"/>
    <col min="4" max="4" width="42.140625" bestFit="1" customWidth="1"/>
    <col min="5" max="5" width="11.85546875" bestFit="1" customWidth="1"/>
    <col min="7" max="7" width="11" bestFit="1" customWidth="1"/>
  </cols>
  <sheetData>
    <row r="2" spans="2:8" x14ac:dyDescent="0.25">
      <c r="B2" s="144" t="s">
        <v>954</v>
      </c>
      <c r="D2" s="123" t="s">
        <v>1324</v>
      </c>
      <c r="E2" s="24">
        <v>100</v>
      </c>
      <c r="F2" s="24"/>
    </row>
    <row r="3" spans="2:8" ht="15.75" x14ac:dyDescent="0.25">
      <c r="B3" s="10" t="s">
        <v>0</v>
      </c>
      <c r="C3" s="11" t="s">
        <v>1</v>
      </c>
      <c r="D3" s="11" t="s">
        <v>2</v>
      </c>
      <c r="E3" s="11" t="s">
        <v>934</v>
      </c>
      <c r="F3" s="11" t="s">
        <v>1095</v>
      </c>
      <c r="G3" s="11" t="s">
        <v>1507</v>
      </c>
    </row>
    <row r="4" spans="2:8" x14ac:dyDescent="0.25">
      <c r="B4" s="156">
        <v>46291</v>
      </c>
      <c r="C4" s="2" t="s">
        <v>4059</v>
      </c>
      <c r="D4" s="2"/>
      <c r="E4" s="23"/>
      <c r="F4" s="23"/>
      <c r="G4" s="2"/>
    </row>
    <row r="5" spans="2:8" x14ac:dyDescent="0.25">
      <c r="B5" s="156">
        <v>46292</v>
      </c>
      <c r="C5" s="2" t="s">
        <v>8041</v>
      </c>
      <c r="D5" s="2"/>
      <c r="E5" s="23"/>
      <c r="F5" s="23">
        <f>E5-E4</f>
        <v>0</v>
      </c>
      <c r="G5" s="2"/>
    </row>
    <row r="6" spans="2:8" x14ac:dyDescent="0.25">
      <c r="B6" s="156">
        <v>46293</v>
      </c>
      <c r="C6" s="2" t="s">
        <v>279</v>
      </c>
      <c r="D6" s="2"/>
      <c r="E6" s="2"/>
      <c r="F6" s="23">
        <f t="shared" ref="F6:F23" si="0">E6-E5</f>
        <v>0</v>
      </c>
      <c r="G6" s="2"/>
    </row>
    <row r="7" spans="2:8" x14ac:dyDescent="0.25">
      <c r="B7" s="156">
        <v>46294</v>
      </c>
      <c r="C7" s="2" t="s">
        <v>8050</v>
      </c>
      <c r="D7" s="2"/>
      <c r="E7" s="2">
        <v>10</v>
      </c>
      <c r="F7" s="23">
        <f t="shared" si="0"/>
        <v>10</v>
      </c>
      <c r="G7" s="2"/>
    </row>
    <row r="8" spans="2:8" x14ac:dyDescent="0.25">
      <c r="B8" s="156">
        <v>46295</v>
      </c>
      <c r="C8" s="2"/>
      <c r="D8" s="2"/>
      <c r="E8" s="2"/>
      <c r="F8" s="23">
        <f t="shared" si="0"/>
        <v>-10</v>
      </c>
      <c r="G8" s="2"/>
    </row>
    <row r="9" spans="2:8" x14ac:dyDescent="0.25">
      <c r="B9" s="156">
        <v>46296</v>
      </c>
      <c r="C9" s="2"/>
      <c r="D9" s="2"/>
      <c r="E9" s="2"/>
      <c r="F9" s="23">
        <f t="shared" si="0"/>
        <v>0</v>
      </c>
      <c r="G9" s="2"/>
    </row>
    <row r="10" spans="2:8" x14ac:dyDescent="0.25">
      <c r="B10" s="156">
        <v>46297</v>
      </c>
      <c r="C10" s="2" t="s">
        <v>8107</v>
      </c>
      <c r="D10" s="2" t="s">
        <v>2881</v>
      </c>
      <c r="E10" s="2">
        <v>40</v>
      </c>
      <c r="F10" s="23">
        <f t="shared" si="0"/>
        <v>40</v>
      </c>
      <c r="G10" s="2"/>
      <c r="H10" t="s">
        <v>8108</v>
      </c>
    </row>
    <row r="11" spans="2:8" x14ac:dyDescent="0.25">
      <c r="B11" s="156">
        <v>46298</v>
      </c>
      <c r="C11" s="2"/>
      <c r="D11" s="2"/>
      <c r="E11" s="2"/>
      <c r="F11" s="23">
        <f t="shared" si="0"/>
        <v>-40</v>
      </c>
      <c r="G11" s="2"/>
    </row>
    <row r="12" spans="2:8" x14ac:dyDescent="0.25">
      <c r="B12" s="156">
        <v>46299</v>
      </c>
      <c r="C12" s="2"/>
      <c r="D12" s="2"/>
      <c r="E12" s="2"/>
      <c r="F12" s="23">
        <f t="shared" si="0"/>
        <v>0</v>
      </c>
      <c r="G12" s="2"/>
    </row>
    <row r="13" spans="2:8" x14ac:dyDescent="0.25">
      <c r="B13" s="156">
        <v>46300</v>
      </c>
      <c r="C13" s="2"/>
      <c r="D13" s="2"/>
      <c r="E13" s="2"/>
      <c r="F13" s="23">
        <f t="shared" si="0"/>
        <v>0</v>
      </c>
      <c r="G13" s="2"/>
    </row>
    <row r="14" spans="2:8" x14ac:dyDescent="0.25">
      <c r="B14" s="156">
        <v>46301</v>
      </c>
      <c r="C14" s="2"/>
      <c r="D14" s="2"/>
      <c r="E14" s="2"/>
      <c r="F14" s="23">
        <f t="shared" si="0"/>
        <v>0</v>
      </c>
      <c r="G14" s="2"/>
    </row>
    <row r="15" spans="2:8" x14ac:dyDescent="0.25">
      <c r="B15" s="156">
        <v>46302</v>
      </c>
      <c r="C15" s="2"/>
      <c r="D15" s="2"/>
      <c r="E15" s="2"/>
      <c r="F15" s="23">
        <f t="shared" si="0"/>
        <v>0</v>
      </c>
      <c r="G15" s="2"/>
    </row>
    <row r="16" spans="2:8" x14ac:dyDescent="0.25">
      <c r="B16" s="156">
        <v>46303</v>
      </c>
      <c r="C16" s="2"/>
      <c r="D16" s="2"/>
      <c r="E16" s="2"/>
      <c r="F16" s="23">
        <f t="shared" si="0"/>
        <v>0</v>
      </c>
      <c r="G16" s="2"/>
    </row>
    <row r="17" spans="2:7" x14ac:dyDescent="0.25">
      <c r="B17" s="156">
        <v>46304</v>
      </c>
      <c r="C17" s="2"/>
      <c r="D17" s="2"/>
      <c r="E17" s="2"/>
      <c r="F17" s="23">
        <f t="shared" si="0"/>
        <v>0</v>
      </c>
      <c r="G17" s="2"/>
    </row>
    <row r="18" spans="2:7" x14ac:dyDescent="0.25">
      <c r="B18" s="156">
        <v>46305</v>
      </c>
      <c r="C18" s="2"/>
      <c r="D18" s="2"/>
      <c r="E18" s="2"/>
      <c r="F18" s="23">
        <f t="shared" si="0"/>
        <v>0</v>
      </c>
      <c r="G18" s="2"/>
    </row>
    <row r="19" spans="2:7" x14ac:dyDescent="0.25">
      <c r="B19" s="156">
        <v>46306</v>
      </c>
      <c r="C19" s="2"/>
      <c r="D19" s="2"/>
      <c r="E19" s="2"/>
      <c r="F19" s="23">
        <f t="shared" si="0"/>
        <v>0</v>
      </c>
      <c r="G19" s="2"/>
    </row>
    <row r="20" spans="2:7" x14ac:dyDescent="0.25">
      <c r="B20" s="156">
        <v>46307</v>
      </c>
      <c r="C20" s="2"/>
      <c r="D20" s="2"/>
      <c r="E20" s="2"/>
      <c r="F20" s="23">
        <f t="shared" si="0"/>
        <v>0</v>
      </c>
      <c r="G20" s="2"/>
    </row>
    <row r="21" spans="2:7" x14ac:dyDescent="0.25">
      <c r="B21" s="156">
        <v>46308</v>
      </c>
      <c r="C21" s="2"/>
      <c r="D21" s="2"/>
      <c r="E21" s="2"/>
      <c r="F21" s="23">
        <f t="shared" si="0"/>
        <v>0</v>
      </c>
      <c r="G21" s="2"/>
    </row>
    <row r="22" spans="2:7" x14ac:dyDescent="0.25">
      <c r="B22" s="156">
        <v>46309</v>
      </c>
      <c r="C22" s="2"/>
      <c r="D22" s="2"/>
      <c r="E22" s="2"/>
      <c r="F22" s="23">
        <f t="shared" si="0"/>
        <v>0</v>
      </c>
      <c r="G22" s="2"/>
    </row>
    <row r="23" spans="2:7" x14ac:dyDescent="0.25">
      <c r="B23" s="156">
        <v>46310</v>
      </c>
      <c r="F23" s="23">
        <f t="shared" si="0"/>
        <v>0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B2:H88"/>
  <sheetViews>
    <sheetView topLeftCell="A76" workbookViewId="0">
      <selection activeCell="F60" sqref="F60"/>
    </sheetView>
  </sheetViews>
  <sheetFormatPr defaultRowHeight="15" x14ac:dyDescent="0.25"/>
  <cols>
    <col min="2" max="2" width="16.28515625" bestFit="1" customWidth="1"/>
    <col min="3" max="3" width="72" bestFit="1" customWidth="1"/>
    <col min="4" max="4" width="42.140625" bestFit="1" customWidth="1"/>
  </cols>
  <sheetData>
    <row r="2" spans="2:7" x14ac:dyDescent="0.25">
      <c r="B2" s="53" t="s">
        <v>954</v>
      </c>
      <c r="C2" t="s">
        <v>7045</v>
      </c>
    </row>
    <row r="3" spans="2:7" ht="15.75" x14ac:dyDescent="0.25">
      <c r="B3" s="10" t="s">
        <v>0</v>
      </c>
      <c r="C3" s="11" t="s">
        <v>1</v>
      </c>
      <c r="D3" s="11" t="s">
        <v>2</v>
      </c>
      <c r="E3" s="11" t="s">
        <v>934</v>
      </c>
      <c r="F3" s="11" t="s">
        <v>1095</v>
      </c>
      <c r="G3" s="11" t="s">
        <v>1507</v>
      </c>
    </row>
    <row r="4" spans="2:7" x14ac:dyDescent="0.25">
      <c r="B4" s="4">
        <v>45832</v>
      </c>
      <c r="C4" s="2" t="s">
        <v>1528</v>
      </c>
      <c r="D4" s="2"/>
      <c r="E4" s="23">
        <v>0</v>
      </c>
      <c r="F4" s="2"/>
      <c r="G4" s="2"/>
    </row>
    <row r="5" spans="2:7" x14ac:dyDescent="0.25">
      <c r="B5" s="4">
        <v>45833</v>
      </c>
      <c r="C5" s="2" t="s">
        <v>4402</v>
      </c>
      <c r="D5" s="2"/>
      <c r="E5" s="23">
        <v>60</v>
      </c>
      <c r="F5" s="2">
        <f t="shared" ref="F5:F13" si="0">E5-E4</f>
        <v>60</v>
      </c>
      <c r="G5" s="2"/>
    </row>
    <row r="6" spans="2:7" x14ac:dyDescent="0.25">
      <c r="B6" s="4">
        <v>45834</v>
      </c>
      <c r="C6" s="2" t="s">
        <v>4426</v>
      </c>
      <c r="D6" s="2"/>
      <c r="E6" s="23">
        <v>70</v>
      </c>
      <c r="F6" s="2">
        <f t="shared" si="0"/>
        <v>10</v>
      </c>
      <c r="G6" s="2"/>
    </row>
    <row r="7" spans="2:7" x14ac:dyDescent="0.25">
      <c r="B7" s="4">
        <v>45835</v>
      </c>
      <c r="C7" s="2" t="s">
        <v>2851</v>
      </c>
      <c r="D7" s="58" t="s">
        <v>4453</v>
      </c>
      <c r="E7" s="23">
        <v>90</v>
      </c>
      <c r="F7" s="2">
        <f t="shared" si="0"/>
        <v>20</v>
      </c>
      <c r="G7" s="2"/>
    </row>
    <row r="8" spans="2:7" x14ac:dyDescent="0.25">
      <c r="B8" s="4">
        <v>45836</v>
      </c>
      <c r="C8" s="2" t="s">
        <v>4456</v>
      </c>
      <c r="D8" s="58"/>
      <c r="E8" s="23">
        <v>100</v>
      </c>
      <c r="F8" s="2">
        <f t="shared" si="0"/>
        <v>10</v>
      </c>
      <c r="G8" s="2"/>
    </row>
    <row r="9" spans="2:7" x14ac:dyDescent="0.25">
      <c r="B9" s="4">
        <v>45837</v>
      </c>
      <c r="C9" s="2"/>
      <c r="D9" s="58" t="s">
        <v>2615</v>
      </c>
      <c r="E9" s="23">
        <v>0</v>
      </c>
      <c r="F9" s="2">
        <f t="shared" si="0"/>
        <v>-100</v>
      </c>
      <c r="G9" s="2"/>
    </row>
    <row r="10" spans="2:7" x14ac:dyDescent="0.25">
      <c r="B10" s="4">
        <v>45838</v>
      </c>
      <c r="C10" s="2"/>
      <c r="D10" s="2"/>
      <c r="E10" s="23">
        <v>0</v>
      </c>
      <c r="F10" s="2">
        <f t="shared" si="0"/>
        <v>0</v>
      </c>
      <c r="G10" s="2"/>
    </row>
    <row r="11" spans="2:7" x14ac:dyDescent="0.25">
      <c r="B11" s="4">
        <v>45839</v>
      </c>
      <c r="C11" s="2"/>
      <c r="D11" s="2"/>
      <c r="E11" s="23">
        <v>0</v>
      </c>
      <c r="F11" s="2">
        <f t="shared" si="0"/>
        <v>0</v>
      </c>
      <c r="G11" s="2"/>
    </row>
    <row r="12" spans="2:7" x14ac:dyDescent="0.25">
      <c r="B12" s="4">
        <v>45840</v>
      </c>
      <c r="C12" s="2"/>
      <c r="D12" s="2"/>
      <c r="E12" s="23">
        <v>0</v>
      </c>
      <c r="F12" s="2">
        <f t="shared" si="0"/>
        <v>0</v>
      </c>
      <c r="G12" s="2"/>
    </row>
    <row r="13" spans="2:7" x14ac:dyDescent="0.25">
      <c r="B13" s="4">
        <v>45841</v>
      </c>
      <c r="C13" s="2"/>
      <c r="D13" s="2"/>
      <c r="E13" s="23">
        <v>0</v>
      </c>
      <c r="F13" s="2">
        <f t="shared" si="0"/>
        <v>0</v>
      </c>
      <c r="G13" s="2"/>
    </row>
    <row r="14" spans="2:7" x14ac:dyDescent="0.25">
      <c r="B14" s="4">
        <v>45842</v>
      </c>
      <c r="C14" s="2"/>
      <c r="D14" s="2"/>
      <c r="E14" s="2"/>
      <c r="F14" s="2"/>
      <c r="G14" s="2"/>
    </row>
    <row r="15" spans="2:7" x14ac:dyDescent="0.25">
      <c r="B15" s="4">
        <v>45843</v>
      </c>
      <c r="C15" s="2"/>
      <c r="D15" s="2"/>
      <c r="E15" s="2"/>
      <c r="F15" s="2"/>
      <c r="G15" s="2"/>
    </row>
    <row r="16" spans="2:7" x14ac:dyDescent="0.25">
      <c r="B16" s="4">
        <v>45844</v>
      </c>
      <c r="C16" s="2"/>
      <c r="D16" s="2"/>
      <c r="E16" s="2"/>
      <c r="F16" s="2"/>
      <c r="G16" s="2"/>
    </row>
    <row r="17" spans="2:7" x14ac:dyDescent="0.25">
      <c r="B17" s="4">
        <v>45845</v>
      </c>
      <c r="C17" s="2"/>
      <c r="D17" s="2"/>
      <c r="E17" s="2"/>
      <c r="F17" s="2"/>
      <c r="G17" s="2"/>
    </row>
    <row r="18" spans="2:7" x14ac:dyDescent="0.25">
      <c r="B18" s="4">
        <v>45846</v>
      </c>
      <c r="C18" s="2"/>
      <c r="D18" s="2"/>
      <c r="E18" s="2"/>
      <c r="F18" s="2"/>
      <c r="G18" s="2"/>
    </row>
    <row r="19" spans="2:7" x14ac:dyDescent="0.25">
      <c r="B19" s="4">
        <v>45847</v>
      </c>
      <c r="C19" s="2"/>
      <c r="D19" s="2"/>
      <c r="E19" s="2"/>
      <c r="F19" s="2"/>
      <c r="G19" s="2"/>
    </row>
    <row r="20" spans="2:7" x14ac:dyDescent="0.25">
      <c r="B20" s="4">
        <v>45848</v>
      </c>
      <c r="C20" s="2"/>
      <c r="D20" s="2"/>
      <c r="E20" s="2"/>
      <c r="F20" s="2"/>
      <c r="G20" s="2"/>
    </row>
    <row r="21" spans="2:7" x14ac:dyDescent="0.25">
      <c r="B21" s="4">
        <v>45849</v>
      </c>
      <c r="C21" s="2"/>
      <c r="D21" s="2"/>
      <c r="E21" s="2"/>
      <c r="F21" s="2"/>
      <c r="G21" s="2"/>
    </row>
    <row r="22" spans="2:7" x14ac:dyDescent="0.25">
      <c r="B22" s="4">
        <v>45850</v>
      </c>
      <c r="C22" s="2"/>
      <c r="D22" s="2"/>
      <c r="E22" s="2"/>
      <c r="F22" s="2"/>
      <c r="G22" s="2"/>
    </row>
    <row r="23" spans="2:7" x14ac:dyDescent="0.25">
      <c r="B23" s="4">
        <v>45851</v>
      </c>
      <c r="C23" s="2"/>
      <c r="D23" s="2"/>
      <c r="E23" s="2"/>
      <c r="F23" s="2"/>
      <c r="G23" s="2"/>
    </row>
    <row r="24" spans="2:7" x14ac:dyDescent="0.25">
      <c r="B24" s="4">
        <v>45852</v>
      </c>
      <c r="C24" s="2" t="s">
        <v>2116</v>
      </c>
      <c r="D24" s="2" t="s">
        <v>4603</v>
      </c>
      <c r="E24" s="2"/>
      <c r="F24" s="2"/>
      <c r="G24" s="2"/>
    </row>
    <row r="25" spans="2:7" s="76" customFormat="1" x14ac:dyDescent="0.25">
      <c r="B25" s="126"/>
      <c r="C25" s="53"/>
      <c r="D25" s="53"/>
      <c r="E25" s="53"/>
      <c r="F25" s="53"/>
      <c r="G25" s="53"/>
    </row>
    <row r="26" spans="2:7" x14ac:dyDescent="0.25">
      <c r="B26" s="156">
        <v>46165</v>
      </c>
      <c r="C26" s="2" t="s">
        <v>1528</v>
      </c>
      <c r="D26" s="2"/>
      <c r="E26" s="2"/>
      <c r="F26" s="2"/>
      <c r="G26" s="2"/>
    </row>
    <row r="27" spans="2:7" x14ac:dyDescent="0.25">
      <c r="B27" s="156">
        <v>46166</v>
      </c>
      <c r="C27" s="2" t="s">
        <v>279</v>
      </c>
      <c r="D27" s="2"/>
      <c r="E27" s="2"/>
      <c r="F27" s="2"/>
      <c r="G27" s="2"/>
    </row>
    <row r="28" spans="2:7" x14ac:dyDescent="0.25">
      <c r="B28" s="156">
        <v>46167</v>
      </c>
      <c r="C28" s="2" t="s">
        <v>7126</v>
      </c>
      <c r="D28" s="2"/>
      <c r="E28" s="2"/>
      <c r="F28" s="2"/>
      <c r="G28" s="2"/>
    </row>
    <row r="29" spans="2:7" x14ac:dyDescent="0.25">
      <c r="B29" s="156">
        <v>46168</v>
      </c>
      <c r="C29" s="2" t="s">
        <v>7135</v>
      </c>
      <c r="D29" s="2"/>
      <c r="E29" s="2"/>
      <c r="F29" s="2"/>
      <c r="G29" s="2"/>
    </row>
    <row r="30" spans="2:7" x14ac:dyDescent="0.25">
      <c r="B30" s="156">
        <v>46169</v>
      </c>
      <c r="C30" s="2"/>
      <c r="D30" s="2"/>
      <c r="E30" s="2"/>
      <c r="F30" s="2"/>
      <c r="G30" s="2"/>
    </row>
    <row r="31" spans="2:7" x14ac:dyDescent="0.25">
      <c r="B31" s="156">
        <v>46170</v>
      </c>
      <c r="C31" s="2" t="s">
        <v>7136</v>
      </c>
      <c r="D31" s="2" t="s">
        <v>7137</v>
      </c>
      <c r="E31" s="2"/>
      <c r="F31" s="2"/>
      <c r="G31" s="2"/>
    </row>
    <row r="32" spans="2:7" x14ac:dyDescent="0.25">
      <c r="B32" s="156">
        <v>46171</v>
      </c>
      <c r="C32" s="2" t="s">
        <v>7145</v>
      </c>
      <c r="D32" s="2" t="s">
        <v>7149</v>
      </c>
      <c r="E32" s="2"/>
      <c r="F32" s="2"/>
      <c r="G32" s="2"/>
    </row>
    <row r="33" spans="2:7" x14ac:dyDescent="0.25">
      <c r="B33" s="156">
        <v>46172</v>
      </c>
      <c r="C33" s="2"/>
      <c r="D33" s="2"/>
      <c r="E33" s="2"/>
      <c r="F33" s="2"/>
      <c r="G33" s="2"/>
    </row>
    <row r="34" spans="2:7" x14ac:dyDescent="0.25">
      <c r="B34" s="156">
        <v>46173</v>
      </c>
      <c r="C34" s="2"/>
      <c r="D34" s="2"/>
      <c r="E34" s="2"/>
      <c r="F34" s="2"/>
      <c r="G34" s="2"/>
    </row>
    <row r="35" spans="2:7" x14ac:dyDescent="0.25">
      <c r="B35" s="156">
        <v>46174</v>
      </c>
      <c r="C35" s="2"/>
      <c r="D35" s="2"/>
      <c r="E35" s="2"/>
      <c r="F35" s="2"/>
      <c r="G35" s="2"/>
    </row>
    <row r="36" spans="2:7" x14ac:dyDescent="0.25">
      <c r="B36" s="156">
        <v>46175</v>
      </c>
      <c r="C36" s="2"/>
      <c r="D36" s="2"/>
      <c r="E36" s="2"/>
      <c r="F36" s="2"/>
      <c r="G36" s="2"/>
    </row>
    <row r="37" spans="2:7" x14ac:dyDescent="0.25">
      <c r="B37" s="156">
        <v>46176</v>
      </c>
      <c r="C37" s="2"/>
      <c r="D37" s="2"/>
      <c r="E37" s="2"/>
      <c r="F37" s="2"/>
      <c r="G37" s="2"/>
    </row>
    <row r="38" spans="2:7" x14ac:dyDescent="0.25">
      <c r="B38" s="156">
        <v>46177</v>
      </c>
      <c r="C38" s="2"/>
      <c r="D38" s="2"/>
      <c r="E38" s="2"/>
      <c r="F38" s="2"/>
      <c r="G38" s="2"/>
    </row>
    <row r="39" spans="2:7" x14ac:dyDescent="0.25">
      <c r="B39" s="156">
        <v>46178</v>
      </c>
      <c r="C39" s="2"/>
      <c r="D39" s="2"/>
      <c r="E39" s="2"/>
      <c r="F39" s="2"/>
      <c r="G39" s="2"/>
    </row>
    <row r="40" spans="2:7" x14ac:dyDescent="0.25">
      <c r="B40" s="156">
        <v>46179</v>
      </c>
      <c r="C40" s="2"/>
      <c r="D40" s="2"/>
      <c r="E40" s="2"/>
      <c r="F40" s="2"/>
      <c r="G40" s="2"/>
    </row>
    <row r="41" spans="2:7" x14ac:dyDescent="0.25">
      <c r="B41" s="156">
        <v>46180</v>
      </c>
      <c r="C41" s="2"/>
      <c r="D41" s="2"/>
      <c r="E41" s="2"/>
      <c r="F41" s="2"/>
      <c r="G41" s="2"/>
    </row>
    <row r="42" spans="2:7" x14ac:dyDescent="0.25">
      <c r="B42" s="156">
        <v>46181</v>
      </c>
      <c r="C42" s="2"/>
      <c r="D42" s="2"/>
      <c r="E42" s="2"/>
      <c r="F42" s="2"/>
      <c r="G42" s="2"/>
    </row>
    <row r="43" spans="2:7" x14ac:dyDescent="0.25">
      <c r="B43" s="156">
        <v>46182</v>
      </c>
      <c r="C43" s="2"/>
      <c r="D43" s="2"/>
      <c r="E43" s="2"/>
      <c r="F43" s="2"/>
      <c r="G43" s="2"/>
    </row>
    <row r="44" spans="2:7" x14ac:dyDescent="0.25">
      <c r="B44" s="156">
        <v>46183</v>
      </c>
      <c r="C44" s="2"/>
      <c r="D44" s="2"/>
      <c r="E44" s="2"/>
      <c r="F44" s="2"/>
      <c r="G44" s="2"/>
    </row>
    <row r="45" spans="2:7" x14ac:dyDescent="0.25">
      <c r="B45" s="156">
        <v>46184</v>
      </c>
      <c r="C45" s="2"/>
      <c r="D45" s="2"/>
      <c r="E45" s="2"/>
      <c r="F45" s="2"/>
      <c r="G45" s="2"/>
    </row>
    <row r="46" spans="2:7" x14ac:dyDescent="0.25">
      <c r="B46" s="156">
        <v>46185</v>
      </c>
      <c r="C46" s="2"/>
      <c r="D46" s="2"/>
      <c r="E46" s="2"/>
      <c r="F46" s="2"/>
      <c r="G46" s="2"/>
    </row>
    <row r="47" spans="2:7" x14ac:dyDescent="0.25">
      <c r="B47" s="156">
        <v>46186</v>
      </c>
      <c r="C47" s="2"/>
      <c r="D47" s="2"/>
      <c r="E47" s="2"/>
      <c r="F47" s="2"/>
      <c r="G47" s="2"/>
    </row>
    <row r="48" spans="2:7" x14ac:dyDescent="0.25">
      <c r="B48" s="156">
        <v>46187</v>
      </c>
      <c r="C48" s="2"/>
      <c r="D48" s="2"/>
      <c r="E48" s="2"/>
      <c r="F48" s="2"/>
      <c r="G48" s="2"/>
    </row>
    <row r="49" spans="2:8" x14ac:dyDescent="0.25">
      <c r="B49" s="156">
        <v>46188</v>
      </c>
      <c r="C49" s="2"/>
      <c r="D49" s="2"/>
      <c r="E49" s="2"/>
      <c r="F49" s="2"/>
      <c r="G49" s="2"/>
    </row>
    <row r="50" spans="2:8" x14ac:dyDescent="0.25">
      <c r="B50" s="156">
        <v>46189</v>
      </c>
      <c r="C50" s="2"/>
      <c r="D50" s="2"/>
      <c r="E50" s="2"/>
      <c r="F50" s="2"/>
      <c r="G50" s="2"/>
    </row>
    <row r="51" spans="2:8" x14ac:dyDescent="0.25">
      <c r="B51" s="156">
        <v>46190</v>
      </c>
      <c r="C51" s="2"/>
      <c r="D51" s="2"/>
      <c r="E51" s="2"/>
      <c r="F51" s="2"/>
      <c r="G51" s="2"/>
    </row>
    <row r="52" spans="2:8" x14ac:dyDescent="0.25">
      <c r="B52" s="156">
        <v>46191</v>
      </c>
      <c r="C52" s="2"/>
      <c r="D52" s="2"/>
      <c r="E52" s="2"/>
      <c r="F52" s="2"/>
      <c r="G52" s="2"/>
    </row>
    <row r="53" spans="2:8" x14ac:dyDescent="0.25">
      <c r="B53" s="156">
        <v>46192</v>
      </c>
      <c r="C53" s="2"/>
      <c r="D53" s="2"/>
      <c r="E53" s="2"/>
      <c r="F53" s="2"/>
      <c r="G53" s="2"/>
    </row>
    <row r="54" spans="2:8" x14ac:dyDescent="0.25">
      <c r="B54" s="156">
        <v>46193</v>
      </c>
      <c r="C54" s="2"/>
      <c r="D54" s="2"/>
      <c r="E54" s="2"/>
      <c r="F54" s="2"/>
      <c r="G54" s="2"/>
    </row>
    <row r="55" spans="2:8" x14ac:dyDescent="0.25">
      <c r="B55" s="156">
        <v>46194</v>
      </c>
      <c r="C55" s="2"/>
      <c r="D55" s="2"/>
      <c r="E55" s="2"/>
      <c r="F55" s="2"/>
      <c r="G55" s="2"/>
    </row>
    <row r="56" spans="2:8" x14ac:dyDescent="0.25">
      <c r="B56" s="156">
        <v>46195</v>
      </c>
      <c r="C56" s="2"/>
      <c r="D56" s="2"/>
      <c r="E56" s="2"/>
      <c r="F56" s="2"/>
      <c r="G56" s="2"/>
    </row>
    <row r="57" spans="2:8" x14ac:dyDescent="0.25">
      <c r="B57" s="156">
        <v>46196</v>
      </c>
      <c r="C57" s="2" t="s">
        <v>7290</v>
      </c>
      <c r="D57" s="2"/>
      <c r="E57" s="2"/>
      <c r="F57" s="2"/>
      <c r="G57" s="2"/>
    </row>
    <row r="58" spans="2:8" x14ac:dyDescent="0.25">
      <c r="B58" s="156">
        <v>46197</v>
      </c>
      <c r="C58" s="2"/>
      <c r="D58" s="2"/>
      <c r="E58" s="2"/>
      <c r="F58" s="2"/>
      <c r="G58" s="2"/>
    </row>
    <row r="59" spans="2:8" x14ac:dyDescent="0.25">
      <c r="B59" s="156">
        <v>46198</v>
      </c>
      <c r="C59" s="2" t="s">
        <v>7302</v>
      </c>
      <c r="D59" s="2" t="s">
        <v>7303</v>
      </c>
      <c r="E59" s="2"/>
      <c r="F59" s="2"/>
      <c r="G59" s="2"/>
    </row>
    <row r="60" spans="2:8" x14ac:dyDescent="0.25">
      <c r="B60" s="156">
        <v>46199</v>
      </c>
      <c r="C60" s="2" t="s">
        <v>7310</v>
      </c>
      <c r="D60" s="2"/>
      <c r="E60" s="2"/>
      <c r="F60" s="2"/>
      <c r="G60" s="2"/>
    </row>
    <row r="61" spans="2:8" x14ac:dyDescent="0.25">
      <c r="B61" s="156">
        <v>46200</v>
      </c>
      <c r="C61" s="2"/>
      <c r="D61" s="2"/>
      <c r="E61" s="2"/>
      <c r="F61" s="2"/>
      <c r="G61" s="2"/>
    </row>
    <row r="62" spans="2:8" x14ac:dyDescent="0.25">
      <c r="B62" s="156">
        <v>46201</v>
      </c>
      <c r="C62" s="2" t="s">
        <v>7320</v>
      </c>
      <c r="D62" s="2"/>
      <c r="E62" s="2"/>
      <c r="F62" s="2"/>
      <c r="G62" s="2"/>
      <c r="H62">
        <v>3</v>
      </c>
    </row>
    <row r="63" spans="2:8" ht="30" x14ac:dyDescent="0.25">
      <c r="B63" s="162">
        <v>46202</v>
      </c>
      <c r="C63" s="30" t="s">
        <v>7328</v>
      </c>
      <c r="D63" s="2"/>
      <c r="E63" s="2"/>
      <c r="F63" s="2"/>
      <c r="G63" s="2"/>
      <c r="H63">
        <v>4</v>
      </c>
    </row>
    <row r="64" spans="2:8" x14ac:dyDescent="0.25">
      <c r="B64" s="156">
        <v>46203</v>
      </c>
      <c r="C64" s="2" t="s">
        <v>7337</v>
      </c>
      <c r="D64" s="2"/>
      <c r="E64" s="2"/>
      <c r="F64" s="2"/>
      <c r="G64" s="2"/>
    </row>
    <row r="65" spans="2:7" x14ac:dyDescent="0.25">
      <c r="B65" s="156">
        <v>46204</v>
      </c>
      <c r="C65" s="2" t="s">
        <v>7337</v>
      </c>
      <c r="D65" s="2" t="s">
        <v>2025</v>
      </c>
      <c r="E65" s="2"/>
      <c r="F65" s="2"/>
      <c r="G65" s="2"/>
    </row>
    <row r="66" spans="2:7" x14ac:dyDescent="0.25">
      <c r="B66" s="156">
        <v>46205</v>
      </c>
      <c r="C66" s="2" t="s">
        <v>7353</v>
      </c>
      <c r="D66" s="2"/>
      <c r="E66" s="2"/>
      <c r="F66" s="2"/>
      <c r="G66" s="2"/>
    </row>
    <row r="67" spans="2:7" x14ac:dyDescent="0.25">
      <c r="B67" s="156">
        <v>46206</v>
      </c>
      <c r="C67" s="2" t="s">
        <v>480</v>
      </c>
      <c r="D67" s="2"/>
      <c r="E67" s="2"/>
      <c r="F67" s="2"/>
      <c r="G67" s="2"/>
    </row>
    <row r="68" spans="2:7" x14ac:dyDescent="0.25">
      <c r="B68" s="156">
        <v>46207</v>
      </c>
      <c r="C68" s="2" t="s">
        <v>7351</v>
      </c>
      <c r="D68" s="2"/>
      <c r="E68" s="2"/>
      <c r="F68" s="2"/>
      <c r="G68" s="2"/>
    </row>
    <row r="69" spans="2:7" x14ac:dyDescent="0.25">
      <c r="B69" s="156">
        <v>46208</v>
      </c>
      <c r="C69" s="2" t="s">
        <v>7366</v>
      </c>
      <c r="D69" s="2"/>
      <c r="E69" s="2"/>
      <c r="F69" s="2"/>
      <c r="G69" s="2"/>
    </row>
    <row r="70" spans="2:7" x14ac:dyDescent="0.25">
      <c r="B70" s="156">
        <v>46209</v>
      </c>
      <c r="C70" s="2"/>
      <c r="D70" s="2"/>
      <c r="E70" s="2"/>
      <c r="F70" s="2"/>
      <c r="G70" s="2"/>
    </row>
    <row r="71" spans="2:7" x14ac:dyDescent="0.25">
      <c r="B71" s="156">
        <v>46210</v>
      </c>
      <c r="C71" s="2"/>
      <c r="D71" s="2"/>
      <c r="E71" s="2"/>
      <c r="F71" s="2"/>
      <c r="G71" s="2"/>
    </row>
    <row r="72" spans="2:7" x14ac:dyDescent="0.25">
      <c r="B72" s="156">
        <v>46211</v>
      </c>
      <c r="C72" s="2"/>
      <c r="D72" s="2"/>
      <c r="E72" s="2"/>
      <c r="F72" s="2"/>
      <c r="G72" s="2"/>
    </row>
    <row r="73" spans="2:7" x14ac:dyDescent="0.25">
      <c r="B73" s="156">
        <v>46212</v>
      </c>
      <c r="C73" s="2" t="s">
        <v>7379</v>
      </c>
      <c r="D73" s="2" t="s">
        <v>7380</v>
      </c>
      <c r="E73" s="2"/>
      <c r="F73" s="2"/>
      <c r="G73" s="2"/>
    </row>
    <row r="74" spans="2:7" x14ac:dyDescent="0.25">
      <c r="B74" s="156">
        <v>46213</v>
      </c>
      <c r="C74" s="2" t="s">
        <v>7035</v>
      </c>
      <c r="D74" s="2"/>
      <c r="E74" s="2"/>
      <c r="F74" s="2"/>
      <c r="G74" s="2"/>
    </row>
    <row r="75" spans="2:7" x14ac:dyDescent="0.25">
      <c r="B75" s="156">
        <v>46214</v>
      </c>
      <c r="C75" s="2" t="s">
        <v>7384</v>
      </c>
      <c r="D75" s="2"/>
      <c r="E75" s="2"/>
      <c r="F75" s="2"/>
      <c r="G75" s="2"/>
    </row>
    <row r="76" spans="2:7" x14ac:dyDescent="0.25">
      <c r="B76" s="156">
        <v>46215</v>
      </c>
      <c r="C76" s="2"/>
      <c r="D76" s="2"/>
      <c r="E76" s="2"/>
      <c r="F76" s="2"/>
      <c r="G76" s="2"/>
    </row>
    <row r="77" spans="2:7" x14ac:dyDescent="0.25">
      <c r="B77" s="156">
        <v>46216</v>
      </c>
      <c r="C77" s="2"/>
      <c r="D77" s="2"/>
      <c r="E77" s="2"/>
      <c r="F77" s="2"/>
      <c r="G77" s="2"/>
    </row>
    <row r="78" spans="2:7" x14ac:dyDescent="0.25">
      <c r="B78" s="156">
        <v>46217</v>
      </c>
      <c r="C78" s="2"/>
      <c r="D78" s="2"/>
      <c r="E78" s="2"/>
      <c r="F78" s="2"/>
      <c r="G78" s="2"/>
    </row>
    <row r="79" spans="2:7" x14ac:dyDescent="0.25">
      <c r="B79" s="156">
        <v>46218</v>
      </c>
      <c r="C79" s="2"/>
      <c r="D79" s="2"/>
      <c r="E79" s="2"/>
      <c r="F79" s="2"/>
      <c r="G79" s="2"/>
    </row>
    <row r="80" spans="2:7" x14ac:dyDescent="0.25">
      <c r="B80" s="156">
        <v>46219</v>
      </c>
      <c r="C80" s="2" t="s">
        <v>7493</v>
      </c>
      <c r="D80" s="2" t="s">
        <v>7466</v>
      </c>
      <c r="E80" s="2"/>
      <c r="F80" s="2"/>
      <c r="G80" s="2"/>
    </row>
    <row r="81" spans="2:7" x14ac:dyDescent="0.25">
      <c r="B81" s="156">
        <v>46220</v>
      </c>
      <c r="C81" s="2" t="s">
        <v>4597</v>
      </c>
      <c r="D81" s="2"/>
      <c r="E81" s="2"/>
      <c r="F81" s="2"/>
      <c r="G81" s="2"/>
    </row>
    <row r="82" spans="2:7" x14ac:dyDescent="0.25">
      <c r="B82" s="156">
        <v>46221</v>
      </c>
      <c r="C82" s="2"/>
      <c r="D82" s="2"/>
      <c r="E82" s="2"/>
      <c r="F82" s="2"/>
      <c r="G82" s="2"/>
    </row>
    <row r="83" spans="2:7" x14ac:dyDescent="0.25">
      <c r="B83" s="156">
        <v>46222</v>
      </c>
      <c r="C83" s="2"/>
      <c r="D83" s="2"/>
      <c r="E83" s="2"/>
      <c r="F83" s="2"/>
      <c r="G83" s="2"/>
    </row>
    <row r="84" spans="2:7" x14ac:dyDescent="0.25">
      <c r="B84" s="156">
        <v>46223</v>
      </c>
      <c r="C84" s="2"/>
      <c r="D84" s="2"/>
      <c r="E84" s="2"/>
      <c r="F84" s="2"/>
      <c r="G84" s="2"/>
    </row>
    <row r="85" spans="2:7" x14ac:dyDescent="0.25">
      <c r="B85" s="156">
        <v>46224</v>
      </c>
      <c r="C85" s="2"/>
      <c r="D85" s="2"/>
      <c r="E85" s="2"/>
      <c r="F85" s="2"/>
      <c r="G85" s="2"/>
    </row>
    <row r="86" spans="2:7" x14ac:dyDescent="0.25">
      <c r="B86" s="156">
        <v>46225</v>
      </c>
      <c r="C86" s="2"/>
      <c r="D86" s="2"/>
      <c r="E86" s="2"/>
      <c r="F86" s="2"/>
      <c r="G86" s="2"/>
    </row>
    <row r="87" spans="2:7" x14ac:dyDescent="0.25">
      <c r="B87" s="156">
        <v>46226</v>
      </c>
      <c r="C87" s="2"/>
      <c r="D87" s="2"/>
      <c r="E87" s="2"/>
      <c r="F87" s="2"/>
      <c r="G87" s="2"/>
    </row>
    <row r="88" spans="2:7" x14ac:dyDescent="0.25">
      <c r="B88" s="156">
        <v>46227</v>
      </c>
      <c r="C88" s="2"/>
      <c r="D88" s="2"/>
      <c r="E88" s="2"/>
      <c r="F88" s="2"/>
      <c r="G88" s="2"/>
    </row>
  </sheetData>
  <phoneticPr fontId="6" type="noConversion"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FA098-8F81-4051-A4F9-204D14398299}">
  <dimension ref="B1:G71"/>
  <sheetViews>
    <sheetView workbookViewId="0">
      <pane ySplit="1" topLeftCell="A59" activePane="bottomLeft" state="frozen"/>
      <selection pane="bottomLeft" activeCell="D59" sqref="D59"/>
    </sheetView>
  </sheetViews>
  <sheetFormatPr defaultRowHeight="15" x14ac:dyDescent="0.25"/>
  <cols>
    <col min="2" max="2" width="16.28515625" bestFit="1" customWidth="1"/>
    <col min="3" max="3" width="72" bestFit="1" customWidth="1"/>
    <col min="4" max="4" width="42.140625" bestFit="1" customWidth="1"/>
    <col min="5" max="5" width="11.85546875" style="24" bestFit="1" customWidth="1"/>
    <col min="6" max="6" width="9.140625" style="24"/>
    <col min="7" max="7" width="11" bestFit="1" customWidth="1"/>
  </cols>
  <sheetData>
    <row r="1" spans="2:7" x14ac:dyDescent="0.25">
      <c r="B1" s="53" t="s">
        <v>7160</v>
      </c>
    </row>
    <row r="2" spans="2:7" ht="15.75" x14ac:dyDescent="0.25">
      <c r="B2" s="10" t="s">
        <v>0</v>
      </c>
      <c r="C2" s="11" t="s">
        <v>1</v>
      </c>
      <c r="D2" s="11" t="s">
        <v>2</v>
      </c>
      <c r="E2" s="11" t="s">
        <v>934</v>
      </c>
      <c r="F2" s="11" t="s">
        <v>1095</v>
      </c>
      <c r="G2" s="11" t="s">
        <v>1507</v>
      </c>
    </row>
    <row r="3" spans="2:7" x14ac:dyDescent="0.25">
      <c r="B3" s="156">
        <v>46166</v>
      </c>
      <c r="C3" s="2" t="s">
        <v>805</v>
      </c>
      <c r="D3" s="2"/>
      <c r="E3" s="23"/>
      <c r="F3" s="23"/>
      <c r="G3" s="2"/>
    </row>
    <row r="4" spans="2:7" x14ac:dyDescent="0.25">
      <c r="B4" s="156">
        <v>46167</v>
      </c>
      <c r="C4" s="2" t="s">
        <v>7119</v>
      </c>
      <c r="D4" s="2"/>
      <c r="E4" s="23"/>
      <c r="F4" s="23"/>
      <c r="G4" s="2"/>
    </row>
    <row r="5" spans="2:7" x14ac:dyDescent="0.25">
      <c r="B5" s="156">
        <v>46168</v>
      </c>
      <c r="C5" s="2" t="s">
        <v>7130</v>
      </c>
      <c r="D5" s="2" t="s">
        <v>7131</v>
      </c>
      <c r="E5" s="23"/>
      <c r="F5" s="23"/>
      <c r="G5" s="2"/>
    </row>
    <row r="6" spans="2:7" x14ac:dyDescent="0.25">
      <c r="B6" s="156">
        <v>46169</v>
      </c>
      <c r="C6" s="2" t="s">
        <v>7146</v>
      </c>
      <c r="D6" s="2"/>
      <c r="E6" s="23"/>
      <c r="F6" s="23"/>
      <c r="G6" s="2"/>
    </row>
    <row r="7" spans="2:7" x14ac:dyDescent="0.25">
      <c r="B7" s="156">
        <v>46170</v>
      </c>
      <c r="C7" s="2" t="s">
        <v>7146</v>
      </c>
      <c r="D7" s="2"/>
      <c r="E7" s="23"/>
      <c r="F7" s="23"/>
      <c r="G7" s="2"/>
    </row>
    <row r="8" spans="2:7" x14ac:dyDescent="0.25">
      <c r="B8" s="156">
        <v>46171</v>
      </c>
      <c r="C8" s="2" t="s">
        <v>7146</v>
      </c>
      <c r="D8" s="2" t="s">
        <v>7161</v>
      </c>
      <c r="E8" s="23"/>
      <c r="F8" s="23"/>
      <c r="G8" s="2"/>
    </row>
    <row r="9" spans="2:7" x14ac:dyDescent="0.25">
      <c r="B9" s="156">
        <v>46172</v>
      </c>
      <c r="C9" s="2" t="s">
        <v>7146</v>
      </c>
      <c r="D9" s="2" t="s">
        <v>7159</v>
      </c>
      <c r="E9" s="23"/>
      <c r="F9" s="23"/>
      <c r="G9" s="2"/>
    </row>
    <row r="10" spans="2:7" x14ac:dyDescent="0.25">
      <c r="B10" s="156">
        <v>46173</v>
      </c>
      <c r="C10" s="2" t="s">
        <v>7146</v>
      </c>
      <c r="D10" s="2"/>
      <c r="E10" s="23"/>
      <c r="F10" s="23"/>
      <c r="G10" s="2"/>
    </row>
    <row r="11" spans="2:7" x14ac:dyDescent="0.25">
      <c r="B11" s="156">
        <v>46174</v>
      </c>
      <c r="C11" s="2" t="s">
        <v>7146</v>
      </c>
      <c r="D11" s="2"/>
      <c r="E11" s="23"/>
      <c r="F11" s="23"/>
      <c r="G11" s="2"/>
    </row>
    <row r="12" spans="2:7" x14ac:dyDescent="0.25">
      <c r="B12" s="156">
        <v>46175</v>
      </c>
      <c r="C12" s="2" t="s">
        <v>7146</v>
      </c>
      <c r="D12" s="2"/>
      <c r="E12" s="23"/>
      <c r="F12" s="23"/>
      <c r="G12" s="2"/>
    </row>
    <row r="13" spans="2:7" x14ac:dyDescent="0.25">
      <c r="B13" s="156">
        <v>46176</v>
      </c>
      <c r="C13" s="2" t="s">
        <v>7146</v>
      </c>
      <c r="D13" s="2" t="s">
        <v>7168</v>
      </c>
      <c r="E13" s="23"/>
      <c r="F13" s="23"/>
      <c r="G13" s="2"/>
    </row>
    <row r="14" spans="2:7" x14ac:dyDescent="0.25">
      <c r="B14" s="156">
        <v>46177</v>
      </c>
      <c r="C14" s="2" t="s">
        <v>7146</v>
      </c>
      <c r="D14" s="2"/>
      <c r="E14" s="23"/>
      <c r="F14" s="23"/>
      <c r="G14" s="2"/>
    </row>
    <row r="15" spans="2:7" x14ac:dyDescent="0.25">
      <c r="B15" s="156">
        <v>46178</v>
      </c>
      <c r="C15" s="2" t="s">
        <v>7181</v>
      </c>
      <c r="D15" s="2" t="s">
        <v>5562</v>
      </c>
      <c r="E15" s="23"/>
      <c r="F15" s="23"/>
      <c r="G15" s="2"/>
    </row>
    <row r="16" spans="2:7" x14ac:dyDescent="0.25">
      <c r="B16" s="156">
        <v>46179</v>
      </c>
      <c r="C16" s="2" t="s">
        <v>7187</v>
      </c>
      <c r="D16" s="2"/>
      <c r="E16" s="23"/>
      <c r="F16" s="23"/>
      <c r="G16" s="2"/>
    </row>
    <row r="17" spans="2:7" x14ac:dyDescent="0.25">
      <c r="B17" s="156">
        <v>46180</v>
      </c>
      <c r="C17" s="2" t="s">
        <v>7188</v>
      </c>
      <c r="D17" s="2" t="s">
        <v>7201</v>
      </c>
      <c r="E17" s="23"/>
      <c r="F17" s="23"/>
      <c r="G17" s="2"/>
    </row>
    <row r="18" spans="2:7" x14ac:dyDescent="0.25">
      <c r="B18" s="156">
        <v>46181</v>
      </c>
      <c r="C18" s="2" t="s">
        <v>7202</v>
      </c>
      <c r="D18" s="2"/>
      <c r="E18" s="23"/>
      <c r="F18" s="23"/>
      <c r="G18" s="2"/>
    </row>
    <row r="19" spans="2:7" x14ac:dyDescent="0.25">
      <c r="B19" s="156">
        <v>46182</v>
      </c>
      <c r="C19" s="2" t="s">
        <v>7211</v>
      </c>
      <c r="D19" s="2" t="s">
        <v>7212</v>
      </c>
      <c r="E19" s="23">
        <v>20</v>
      </c>
      <c r="F19" s="23">
        <f>E19-E18</f>
        <v>20</v>
      </c>
      <c r="G19" s="2"/>
    </row>
    <row r="20" spans="2:7" x14ac:dyDescent="0.25">
      <c r="B20" s="156">
        <v>46183</v>
      </c>
      <c r="C20" s="2" t="s">
        <v>7213</v>
      </c>
      <c r="D20" s="2"/>
      <c r="E20" s="23">
        <v>20</v>
      </c>
      <c r="F20" s="23">
        <f t="shared" ref="F20:F59" si="0">E20-E19</f>
        <v>0</v>
      </c>
      <c r="G20" s="2"/>
    </row>
    <row r="21" spans="2:7" x14ac:dyDescent="0.25">
      <c r="B21" s="156">
        <v>46184</v>
      </c>
      <c r="C21" s="2" t="s">
        <v>7223</v>
      </c>
      <c r="D21" s="2"/>
      <c r="E21" s="23">
        <v>23</v>
      </c>
      <c r="F21" s="23">
        <f t="shared" si="0"/>
        <v>3</v>
      </c>
      <c r="G21" s="2"/>
    </row>
    <row r="22" spans="2:7" x14ac:dyDescent="0.25">
      <c r="B22" s="156">
        <v>46185</v>
      </c>
      <c r="C22" s="2" t="s">
        <v>7224</v>
      </c>
      <c r="D22" s="2"/>
      <c r="E22" s="23">
        <v>23</v>
      </c>
      <c r="F22" s="23">
        <f t="shared" si="0"/>
        <v>0</v>
      </c>
      <c r="G22" s="2"/>
    </row>
    <row r="23" spans="2:7" x14ac:dyDescent="0.25">
      <c r="B23" s="156">
        <v>46186</v>
      </c>
      <c r="C23" s="2" t="s">
        <v>7235</v>
      </c>
      <c r="D23" s="2" t="s">
        <v>7236</v>
      </c>
      <c r="E23" s="23">
        <v>25</v>
      </c>
      <c r="F23" s="23">
        <f t="shared" si="0"/>
        <v>2</v>
      </c>
      <c r="G23" s="2"/>
    </row>
    <row r="24" spans="2:7" s="157" customFormat="1" x14ac:dyDescent="0.25">
      <c r="B24" s="156">
        <v>46187</v>
      </c>
      <c r="C24" s="58" t="s">
        <v>7247</v>
      </c>
      <c r="D24" s="58"/>
      <c r="E24" s="59">
        <v>25</v>
      </c>
      <c r="F24" s="23">
        <f t="shared" si="0"/>
        <v>0</v>
      </c>
      <c r="G24" s="58"/>
    </row>
    <row r="25" spans="2:7" x14ac:dyDescent="0.25">
      <c r="B25" s="156">
        <v>46188</v>
      </c>
      <c r="C25" s="2" t="s">
        <v>7249</v>
      </c>
      <c r="D25" s="2"/>
      <c r="E25" s="59">
        <v>25</v>
      </c>
      <c r="F25" s="23">
        <f t="shared" si="0"/>
        <v>0</v>
      </c>
      <c r="G25" s="2"/>
    </row>
    <row r="26" spans="2:7" x14ac:dyDescent="0.25">
      <c r="B26" s="156">
        <v>46189</v>
      </c>
      <c r="C26" s="2" t="s">
        <v>7250</v>
      </c>
      <c r="D26" s="2"/>
      <c r="E26" s="59">
        <v>25</v>
      </c>
      <c r="F26" s="23">
        <f t="shared" si="0"/>
        <v>0</v>
      </c>
      <c r="G26" s="2"/>
    </row>
    <row r="27" spans="2:7" x14ac:dyDescent="0.25">
      <c r="B27" s="156">
        <v>46190</v>
      </c>
      <c r="C27" s="2" t="s">
        <v>7251</v>
      </c>
      <c r="D27" s="2"/>
      <c r="E27" s="23">
        <v>28</v>
      </c>
      <c r="F27" s="23">
        <f t="shared" si="0"/>
        <v>3</v>
      </c>
      <c r="G27" s="2"/>
    </row>
    <row r="28" spans="2:7" x14ac:dyDescent="0.25">
      <c r="B28" s="156">
        <v>46191</v>
      </c>
      <c r="C28" s="2" t="s">
        <v>7275</v>
      </c>
      <c r="D28" s="2" t="s">
        <v>7268</v>
      </c>
      <c r="E28" s="23">
        <v>31.5</v>
      </c>
      <c r="F28" s="23">
        <f t="shared" si="0"/>
        <v>3.5</v>
      </c>
      <c r="G28" s="2"/>
    </row>
    <row r="29" spans="2:7" x14ac:dyDescent="0.25">
      <c r="B29" s="156">
        <v>46192</v>
      </c>
      <c r="C29" s="2" t="s">
        <v>7266</v>
      </c>
      <c r="D29" s="2" t="s">
        <v>7267</v>
      </c>
      <c r="E29" s="23">
        <v>32</v>
      </c>
      <c r="F29" s="23">
        <f t="shared" si="0"/>
        <v>0.5</v>
      </c>
      <c r="G29" s="2"/>
    </row>
    <row r="30" spans="2:7" x14ac:dyDescent="0.25">
      <c r="B30" s="156">
        <v>46193</v>
      </c>
      <c r="C30" s="2" t="s">
        <v>7276</v>
      </c>
      <c r="D30" s="2"/>
      <c r="E30" s="23">
        <v>34</v>
      </c>
      <c r="F30" s="23">
        <f t="shared" si="0"/>
        <v>2</v>
      </c>
      <c r="G30" s="2"/>
    </row>
    <row r="31" spans="2:7" x14ac:dyDescent="0.25">
      <c r="B31" s="156">
        <v>46194</v>
      </c>
      <c r="C31" s="2" t="s">
        <v>7286</v>
      </c>
      <c r="D31" s="2"/>
      <c r="E31" s="23">
        <v>34.5</v>
      </c>
      <c r="F31" s="23">
        <f t="shared" si="0"/>
        <v>0.5</v>
      </c>
      <c r="G31" s="2"/>
    </row>
    <row r="32" spans="2:7" x14ac:dyDescent="0.25">
      <c r="B32" s="156">
        <v>46195</v>
      </c>
      <c r="C32" s="2" t="s">
        <v>7291</v>
      </c>
      <c r="D32" s="2"/>
      <c r="E32" s="23">
        <v>40</v>
      </c>
      <c r="F32" s="23">
        <f t="shared" si="0"/>
        <v>5.5</v>
      </c>
      <c r="G32" s="2"/>
    </row>
    <row r="33" spans="2:7" x14ac:dyDescent="0.25">
      <c r="B33" s="156">
        <v>46196</v>
      </c>
      <c r="C33" s="2" t="s">
        <v>7292</v>
      </c>
      <c r="D33" s="2" t="s">
        <v>2777</v>
      </c>
      <c r="E33" s="23">
        <v>42</v>
      </c>
      <c r="F33" s="23">
        <f t="shared" si="0"/>
        <v>2</v>
      </c>
      <c r="G33" s="2"/>
    </row>
    <row r="34" spans="2:7" x14ac:dyDescent="0.25">
      <c r="B34" s="156">
        <v>46197</v>
      </c>
      <c r="C34" s="2" t="s">
        <v>7304</v>
      </c>
      <c r="D34" s="2"/>
      <c r="E34" s="23">
        <v>44</v>
      </c>
      <c r="F34" s="23">
        <f t="shared" si="0"/>
        <v>2</v>
      </c>
      <c r="G34" s="2"/>
    </row>
    <row r="35" spans="2:7" x14ac:dyDescent="0.25">
      <c r="B35" s="156">
        <v>46198</v>
      </c>
      <c r="C35" s="2" t="s">
        <v>7305</v>
      </c>
      <c r="D35" s="2"/>
      <c r="E35" s="23">
        <v>46</v>
      </c>
      <c r="F35" s="23">
        <f t="shared" si="0"/>
        <v>2</v>
      </c>
      <c r="G35" s="2"/>
    </row>
    <row r="36" spans="2:7" x14ac:dyDescent="0.25">
      <c r="B36" s="156">
        <v>46199</v>
      </c>
      <c r="C36" s="2" t="s">
        <v>7313</v>
      </c>
      <c r="D36" s="2"/>
      <c r="E36" s="23">
        <v>49</v>
      </c>
      <c r="F36" s="23">
        <f t="shared" si="0"/>
        <v>3</v>
      </c>
      <c r="G36" s="2"/>
    </row>
    <row r="37" spans="2:7" x14ac:dyDescent="0.25">
      <c r="B37" s="156">
        <v>46200</v>
      </c>
      <c r="C37" s="2" t="s">
        <v>7322</v>
      </c>
      <c r="D37" s="2"/>
      <c r="E37" s="23">
        <v>53</v>
      </c>
      <c r="F37" s="23">
        <f t="shared" si="0"/>
        <v>4</v>
      </c>
      <c r="G37" s="2"/>
    </row>
    <row r="38" spans="2:7" x14ac:dyDescent="0.25">
      <c r="B38" s="156">
        <v>46201</v>
      </c>
      <c r="C38" s="2" t="s">
        <v>7321</v>
      </c>
      <c r="D38" s="2"/>
      <c r="E38" s="23">
        <v>53</v>
      </c>
      <c r="F38" s="23">
        <f t="shared" si="0"/>
        <v>0</v>
      </c>
      <c r="G38" s="2"/>
    </row>
    <row r="39" spans="2:7" x14ac:dyDescent="0.25">
      <c r="B39" s="156">
        <v>46202</v>
      </c>
      <c r="C39" s="2" t="s">
        <v>7331</v>
      </c>
      <c r="D39" s="2" t="s">
        <v>2673</v>
      </c>
      <c r="E39" s="23">
        <v>55</v>
      </c>
      <c r="F39" s="23">
        <f t="shared" si="0"/>
        <v>2</v>
      </c>
      <c r="G39" s="2"/>
    </row>
    <row r="40" spans="2:7" x14ac:dyDescent="0.25">
      <c r="B40" s="156">
        <v>46203</v>
      </c>
      <c r="C40" s="2" t="s">
        <v>7332</v>
      </c>
      <c r="D40" s="2" t="s">
        <v>7333</v>
      </c>
      <c r="E40" s="23">
        <v>56</v>
      </c>
      <c r="F40" s="23">
        <f t="shared" si="0"/>
        <v>1</v>
      </c>
      <c r="G40" s="2"/>
    </row>
    <row r="41" spans="2:7" x14ac:dyDescent="0.25">
      <c r="B41" s="156">
        <v>46204</v>
      </c>
      <c r="C41" s="2" t="s">
        <v>7332</v>
      </c>
      <c r="D41" s="2" t="s">
        <v>7354</v>
      </c>
      <c r="E41" s="23">
        <v>56</v>
      </c>
      <c r="F41" s="23">
        <f t="shared" si="0"/>
        <v>0</v>
      </c>
      <c r="G41" s="2"/>
    </row>
    <row r="42" spans="2:7" x14ac:dyDescent="0.25">
      <c r="B42" s="156">
        <v>46205</v>
      </c>
      <c r="C42" s="2" t="s">
        <v>7340</v>
      </c>
      <c r="D42" s="2"/>
      <c r="E42" s="23">
        <v>56.5</v>
      </c>
      <c r="F42" s="23">
        <f t="shared" si="0"/>
        <v>0.5</v>
      </c>
      <c r="G42" s="2"/>
    </row>
    <row r="43" spans="2:7" x14ac:dyDescent="0.25">
      <c r="B43" s="156">
        <v>46206</v>
      </c>
      <c r="C43" s="2" t="s">
        <v>7341</v>
      </c>
      <c r="D43" s="2" t="s">
        <v>7342</v>
      </c>
      <c r="E43" s="23">
        <v>59</v>
      </c>
      <c r="F43" s="23">
        <f t="shared" si="0"/>
        <v>2.5</v>
      </c>
      <c r="G43" s="2"/>
    </row>
    <row r="44" spans="2:7" x14ac:dyDescent="0.25">
      <c r="B44" s="156">
        <v>46207</v>
      </c>
      <c r="C44" s="2" t="s">
        <v>7348</v>
      </c>
      <c r="D44" s="2" t="s">
        <v>7342</v>
      </c>
      <c r="E44" s="23">
        <v>62</v>
      </c>
      <c r="F44" s="23">
        <f t="shared" si="0"/>
        <v>3</v>
      </c>
      <c r="G44" s="2"/>
    </row>
    <row r="45" spans="2:7" x14ac:dyDescent="0.25">
      <c r="B45" s="156">
        <v>46208</v>
      </c>
      <c r="C45" s="2" t="s">
        <v>7355</v>
      </c>
      <c r="D45" s="2" t="s">
        <v>7356</v>
      </c>
      <c r="E45" s="23">
        <v>63</v>
      </c>
      <c r="F45" s="23">
        <f t="shared" si="0"/>
        <v>1</v>
      </c>
      <c r="G45" s="2"/>
    </row>
    <row r="46" spans="2:7" x14ac:dyDescent="0.25">
      <c r="B46" s="156">
        <v>46209</v>
      </c>
      <c r="C46" s="2" t="s">
        <v>7362</v>
      </c>
      <c r="D46" s="2"/>
      <c r="E46" s="23">
        <v>64</v>
      </c>
      <c r="F46" s="23">
        <f t="shared" si="0"/>
        <v>1</v>
      </c>
      <c r="G46" s="2"/>
    </row>
    <row r="47" spans="2:7" x14ac:dyDescent="0.25">
      <c r="B47" s="156">
        <v>46210</v>
      </c>
      <c r="C47" s="2" t="s">
        <v>7363</v>
      </c>
      <c r="D47" s="2"/>
      <c r="E47" s="23">
        <v>66</v>
      </c>
      <c r="F47" s="23">
        <f t="shared" si="0"/>
        <v>2</v>
      </c>
      <c r="G47" s="2"/>
    </row>
    <row r="48" spans="2:7" x14ac:dyDescent="0.25">
      <c r="B48" s="156">
        <v>46211</v>
      </c>
      <c r="C48" s="2" t="s">
        <v>7364</v>
      </c>
      <c r="D48" s="2"/>
      <c r="E48" s="23">
        <v>68</v>
      </c>
      <c r="F48" s="23">
        <f t="shared" si="0"/>
        <v>2</v>
      </c>
      <c r="G48" s="2"/>
    </row>
    <row r="49" spans="2:7" x14ac:dyDescent="0.25">
      <c r="B49" s="156">
        <v>46212</v>
      </c>
      <c r="C49" s="2" t="s">
        <v>7368</v>
      </c>
      <c r="D49" s="2"/>
      <c r="E49" s="23">
        <v>77</v>
      </c>
      <c r="F49" s="23">
        <f t="shared" si="0"/>
        <v>9</v>
      </c>
      <c r="G49" s="2"/>
    </row>
    <row r="50" spans="2:7" x14ac:dyDescent="0.25">
      <c r="B50" s="156">
        <v>46213</v>
      </c>
      <c r="C50" s="2" t="s">
        <v>7386</v>
      </c>
      <c r="D50" s="2"/>
      <c r="E50" s="23">
        <v>80</v>
      </c>
      <c r="F50" s="23">
        <f t="shared" si="0"/>
        <v>3</v>
      </c>
      <c r="G50" s="2"/>
    </row>
    <row r="51" spans="2:7" x14ac:dyDescent="0.25">
      <c r="B51" s="156">
        <v>46214</v>
      </c>
      <c r="C51" s="2" t="s">
        <v>7387</v>
      </c>
      <c r="D51" s="2"/>
      <c r="E51" s="23">
        <v>83</v>
      </c>
      <c r="F51" s="23">
        <f t="shared" si="0"/>
        <v>3</v>
      </c>
      <c r="G51" s="2"/>
    </row>
    <row r="52" spans="2:7" x14ac:dyDescent="0.25">
      <c r="B52" s="156">
        <v>46215</v>
      </c>
      <c r="C52" s="2" t="s">
        <v>7388</v>
      </c>
      <c r="D52" s="2" t="s">
        <v>7397</v>
      </c>
      <c r="E52" s="23">
        <v>87</v>
      </c>
      <c r="F52" s="23">
        <f t="shared" si="0"/>
        <v>4</v>
      </c>
      <c r="G52" s="2"/>
    </row>
    <row r="53" spans="2:7" x14ac:dyDescent="0.25">
      <c r="B53" s="156">
        <v>46216</v>
      </c>
      <c r="C53" s="2" t="s">
        <v>7398</v>
      </c>
      <c r="D53" s="2" t="s">
        <v>7399</v>
      </c>
      <c r="E53" s="23">
        <v>89</v>
      </c>
      <c r="F53" s="23">
        <f t="shared" si="0"/>
        <v>2</v>
      </c>
      <c r="G53" s="2"/>
    </row>
    <row r="54" spans="2:7" x14ac:dyDescent="0.25">
      <c r="B54" s="156">
        <v>46217</v>
      </c>
      <c r="C54" s="2" t="s">
        <v>7457</v>
      </c>
      <c r="D54" s="2"/>
      <c r="E54" s="23">
        <v>93</v>
      </c>
      <c r="F54" s="23">
        <f t="shared" si="0"/>
        <v>4</v>
      </c>
      <c r="G54" s="2"/>
    </row>
    <row r="55" spans="2:7" x14ac:dyDescent="0.25">
      <c r="B55" s="156">
        <v>46218</v>
      </c>
      <c r="C55" s="2" t="s">
        <v>7457</v>
      </c>
      <c r="D55" s="2" t="s">
        <v>7467</v>
      </c>
      <c r="E55" s="23">
        <v>93</v>
      </c>
      <c r="F55" s="23">
        <f t="shared" si="0"/>
        <v>0</v>
      </c>
      <c r="G55" s="2"/>
    </row>
    <row r="56" spans="2:7" x14ac:dyDescent="0.25">
      <c r="B56" s="156">
        <v>46219</v>
      </c>
      <c r="C56" s="2" t="s">
        <v>7502</v>
      </c>
      <c r="D56" s="2" t="s">
        <v>7467</v>
      </c>
      <c r="E56" s="23">
        <v>95</v>
      </c>
      <c r="F56" s="23">
        <f t="shared" si="0"/>
        <v>2</v>
      </c>
      <c r="G56" s="2"/>
    </row>
    <row r="57" spans="2:7" x14ac:dyDescent="0.25">
      <c r="B57" s="156">
        <v>46220</v>
      </c>
      <c r="C57" s="2" t="s">
        <v>7501</v>
      </c>
      <c r="D57" s="2"/>
      <c r="E57" s="23">
        <v>95</v>
      </c>
      <c r="F57" s="23">
        <f t="shared" si="0"/>
        <v>0</v>
      </c>
      <c r="G57" s="2"/>
    </row>
    <row r="58" spans="2:7" x14ac:dyDescent="0.25">
      <c r="B58" s="156">
        <v>46221</v>
      </c>
      <c r="C58" s="2" t="s">
        <v>7576</v>
      </c>
      <c r="D58" s="2"/>
      <c r="E58" s="23">
        <v>98</v>
      </c>
      <c r="F58" s="23">
        <f t="shared" si="0"/>
        <v>3</v>
      </c>
      <c r="G58" s="2"/>
    </row>
    <row r="59" spans="2:7" x14ac:dyDescent="0.25">
      <c r="B59" s="156">
        <v>46222</v>
      </c>
      <c r="C59" s="2" t="s">
        <v>7577</v>
      </c>
      <c r="D59" s="2" t="s">
        <v>7578</v>
      </c>
      <c r="E59" s="23">
        <v>100</v>
      </c>
      <c r="F59" s="23">
        <f t="shared" si="0"/>
        <v>2</v>
      </c>
      <c r="G59" s="2"/>
    </row>
    <row r="60" spans="2:7" x14ac:dyDescent="0.25">
      <c r="B60" s="156">
        <v>46223</v>
      </c>
      <c r="C60" s="2" t="s">
        <v>5481</v>
      </c>
      <c r="D60" s="2"/>
      <c r="E60" s="23"/>
      <c r="F60" s="23">
        <f t="shared" ref="F60:F71" si="1">E60-E59</f>
        <v>-100</v>
      </c>
      <c r="G60" s="2"/>
    </row>
    <row r="61" spans="2:7" x14ac:dyDescent="0.25">
      <c r="B61" s="156">
        <v>46224</v>
      </c>
      <c r="C61" s="2" t="s">
        <v>7603</v>
      </c>
      <c r="D61" s="2" t="s">
        <v>7604</v>
      </c>
      <c r="E61" s="23">
        <v>64</v>
      </c>
      <c r="F61" s="23">
        <f t="shared" si="1"/>
        <v>64</v>
      </c>
      <c r="G61" s="2"/>
    </row>
    <row r="62" spans="2:7" x14ac:dyDescent="0.25">
      <c r="B62" s="156">
        <v>46225</v>
      </c>
      <c r="C62" s="2" t="s">
        <v>2181</v>
      </c>
      <c r="D62" s="2" t="s">
        <v>5074</v>
      </c>
      <c r="E62" s="23"/>
      <c r="F62" s="23">
        <f t="shared" si="1"/>
        <v>-64</v>
      </c>
      <c r="G62" s="2"/>
    </row>
    <row r="63" spans="2:7" x14ac:dyDescent="0.25">
      <c r="B63" s="156">
        <v>46226</v>
      </c>
      <c r="C63" s="2" t="s">
        <v>1178</v>
      </c>
      <c r="D63" s="2"/>
      <c r="E63" s="23"/>
      <c r="F63" s="23">
        <f t="shared" si="1"/>
        <v>0</v>
      </c>
      <c r="G63" s="2"/>
    </row>
    <row r="64" spans="2:7" x14ac:dyDescent="0.25">
      <c r="B64" s="156">
        <v>46227</v>
      </c>
      <c r="C64" s="2" t="s">
        <v>7621</v>
      </c>
      <c r="D64" s="2" t="s">
        <v>7622</v>
      </c>
      <c r="E64" s="23"/>
      <c r="F64" s="23">
        <f t="shared" si="1"/>
        <v>0</v>
      </c>
      <c r="G64" s="2"/>
    </row>
    <row r="65" spans="2:7" x14ac:dyDescent="0.25">
      <c r="B65" s="156">
        <v>46228</v>
      </c>
      <c r="C65" s="2" t="s">
        <v>1166</v>
      </c>
      <c r="D65" s="2"/>
      <c r="E65" s="23"/>
      <c r="F65" s="23">
        <f t="shared" si="1"/>
        <v>0</v>
      </c>
      <c r="G65" s="2"/>
    </row>
    <row r="66" spans="2:7" x14ac:dyDescent="0.25">
      <c r="B66" s="156">
        <v>46229</v>
      </c>
      <c r="C66" s="2" t="s">
        <v>3862</v>
      </c>
      <c r="D66" s="2" t="s">
        <v>7634</v>
      </c>
      <c r="E66" s="23"/>
      <c r="F66" s="23">
        <f t="shared" si="1"/>
        <v>0</v>
      </c>
      <c r="G66" s="2"/>
    </row>
    <row r="67" spans="2:7" x14ac:dyDescent="0.25">
      <c r="B67" s="156">
        <v>46230</v>
      </c>
      <c r="C67" s="2"/>
      <c r="D67" s="2"/>
      <c r="E67" s="23"/>
      <c r="F67" s="23">
        <f t="shared" si="1"/>
        <v>0</v>
      </c>
      <c r="G67" s="2"/>
    </row>
    <row r="68" spans="2:7" x14ac:dyDescent="0.25">
      <c r="B68" s="156">
        <v>46231</v>
      </c>
      <c r="C68" s="2"/>
      <c r="D68" s="2"/>
      <c r="E68" s="23"/>
      <c r="F68" s="23">
        <f t="shared" si="1"/>
        <v>0</v>
      </c>
      <c r="G68" s="2"/>
    </row>
    <row r="69" spans="2:7" x14ac:dyDescent="0.25">
      <c r="B69" s="156">
        <v>46232</v>
      </c>
      <c r="C69" s="2"/>
      <c r="D69" s="2"/>
      <c r="E69" s="23"/>
      <c r="F69" s="23">
        <f t="shared" si="1"/>
        <v>0</v>
      </c>
      <c r="G69" s="2"/>
    </row>
    <row r="70" spans="2:7" x14ac:dyDescent="0.25">
      <c r="B70" s="156">
        <v>46233</v>
      </c>
      <c r="C70" s="2"/>
      <c r="D70" s="2"/>
      <c r="E70" s="23"/>
      <c r="F70" s="23">
        <f t="shared" si="1"/>
        <v>0</v>
      </c>
      <c r="G70" s="2"/>
    </row>
    <row r="71" spans="2:7" x14ac:dyDescent="0.25">
      <c r="B71" s="156">
        <v>46234</v>
      </c>
      <c r="C71" s="2"/>
      <c r="D71" s="2"/>
      <c r="E71" s="23"/>
      <c r="F71" s="23">
        <f t="shared" si="1"/>
        <v>0</v>
      </c>
      <c r="G71" s="2"/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B0B40-D48E-4B76-9CCE-6499BB32FA40}">
  <dimension ref="B2:G40"/>
  <sheetViews>
    <sheetView workbookViewId="0">
      <selection activeCell="C32" sqref="C32"/>
    </sheetView>
  </sheetViews>
  <sheetFormatPr defaultRowHeight="15" x14ac:dyDescent="0.25"/>
  <cols>
    <col min="2" max="2" width="16.28515625" bestFit="1" customWidth="1"/>
    <col min="3" max="3" width="72" bestFit="1" customWidth="1"/>
    <col min="4" max="4" width="42.140625" bestFit="1" customWidth="1"/>
    <col min="5" max="6" width="9.140625" style="24"/>
  </cols>
  <sheetData>
    <row r="2" spans="2:7" x14ac:dyDescent="0.25">
      <c r="B2" s="53" t="s">
        <v>3913</v>
      </c>
    </row>
    <row r="3" spans="2:7" ht="15.75" x14ac:dyDescent="0.25">
      <c r="B3" s="10" t="s">
        <v>0</v>
      </c>
      <c r="C3" s="11" t="s">
        <v>1</v>
      </c>
      <c r="D3" s="11" t="s">
        <v>2</v>
      </c>
      <c r="E3" s="11" t="s">
        <v>934</v>
      </c>
      <c r="F3" s="11" t="s">
        <v>1095</v>
      </c>
      <c r="G3" s="11" t="s">
        <v>1507</v>
      </c>
    </row>
    <row r="4" spans="2:7" x14ac:dyDescent="0.25">
      <c r="B4" s="156">
        <v>46175</v>
      </c>
      <c r="C4" s="2" t="s">
        <v>7158</v>
      </c>
      <c r="D4" s="2"/>
      <c r="E4" s="23"/>
      <c r="F4" s="23"/>
      <c r="G4" s="2"/>
    </row>
    <row r="5" spans="2:7" x14ac:dyDescent="0.25">
      <c r="B5" s="156">
        <v>46176</v>
      </c>
      <c r="C5" s="2" t="s">
        <v>1528</v>
      </c>
      <c r="D5" s="2"/>
      <c r="E5" s="23"/>
      <c r="F5" s="23"/>
      <c r="G5" s="2"/>
    </row>
    <row r="6" spans="2:7" x14ac:dyDescent="0.25">
      <c r="B6" s="156">
        <v>46177</v>
      </c>
      <c r="C6" s="2" t="s">
        <v>279</v>
      </c>
      <c r="D6" s="2"/>
      <c r="E6" s="23"/>
      <c r="F6" s="23"/>
      <c r="G6" s="2"/>
    </row>
    <row r="7" spans="2:7" x14ac:dyDescent="0.25">
      <c r="B7" s="156">
        <v>46178</v>
      </c>
      <c r="C7" s="2" t="s">
        <v>7178</v>
      </c>
      <c r="D7" s="2" t="s">
        <v>7182</v>
      </c>
      <c r="E7" s="23">
        <v>0</v>
      </c>
      <c r="F7" s="23"/>
      <c r="G7" s="2"/>
    </row>
    <row r="8" spans="2:7" x14ac:dyDescent="0.25">
      <c r="B8" s="156">
        <v>46179</v>
      </c>
      <c r="C8" s="2" t="s">
        <v>7189</v>
      </c>
      <c r="D8" s="2"/>
      <c r="E8" s="23">
        <v>0</v>
      </c>
      <c r="F8" s="23"/>
      <c r="G8" s="2"/>
    </row>
    <row r="9" spans="2:7" x14ac:dyDescent="0.25">
      <c r="B9" s="156">
        <v>46180</v>
      </c>
      <c r="C9" s="2" t="s">
        <v>7199</v>
      </c>
      <c r="D9" s="2" t="s">
        <v>7200</v>
      </c>
      <c r="E9" s="23">
        <v>3</v>
      </c>
      <c r="F9" s="23">
        <f>E9-E8</f>
        <v>3</v>
      </c>
      <c r="G9" s="2"/>
    </row>
    <row r="10" spans="2:7" x14ac:dyDescent="0.25">
      <c r="B10" s="156">
        <v>46181</v>
      </c>
      <c r="C10" s="2" t="s">
        <v>7204</v>
      </c>
      <c r="D10" s="2" t="s">
        <v>7220</v>
      </c>
      <c r="E10" s="23">
        <v>3</v>
      </c>
      <c r="F10" s="23">
        <f t="shared" ref="F10:F30" si="0">E10-E9</f>
        <v>0</v>
      </c>
      <c r="G10" s="2"/>
    </row>
    <row r="11" spans="2:7" x14ac:dyDescent="0.25">
      <c r="B11" s="156">
        <v>46182</v>
      </c>
      <c r="C11" s="2" t="s">
        <v>7198</v>
      </c>
      <c r="D11" s="2" t="s">
        <v>7221</v>
      </c>
      <c r="E11" s="23">
        <v>11</v>
      </c>
      <c r="F11" s="23">
        <f t="shared" si="0"/>
        <v>8</v>
      </c>
      <c r="G11" s="2"/>
    </row>
    <row r="12" spans="2:7" x14ac:dyDescent="0.25">
      <c r="B12" s="156">
        <v>46183</v>
      </c>
      <c r="C12" s="2" t="s">
        <v>7205</v>
      </c>
      <c r="D12" s="2"/>
      <c r="E12" s="23">
        <v>13</v>
      </c>
      <c r="F12" s="23">
        <f t="shared" si="0"/>
        <v>2</v>
      </c>
      <c r="G12" s="2"/>
    </row>
    <row r="13" spans="2:7" x14ac:dyDescent="0.25">
      <c r="B13" s="156">
        <v>46184</v>
      </c>
      <c r="C13" s="2" t="s">
        <v>7216</v>
      </c>
      <c r="D13" s="2"/>
      <c r="E13" s="23">
        <v>17</v>
      </c>
      <c r="F13" s="23">
        <f t="shared" si="0"/>
        <v>4</v>
      </c>
      <c r="G13" s="2"/>
    </row>
    <row r="14" spans="2:7" x14ac:dyDescent="0.25">
      <c r="B14" s="156">
        <v>46185</v>
      </c>
      <c r="C14" s="2" t="s">
        <v>7222</v>
      </c>
      <c r="D14" s="2"/>
      <c r="E14" s="23">
        <v>17</v>
      </c>
      <c r="F14" s="23">
        <f t="shared" si="0"/>
        <v>0</v>
      </c>
      <c r="G14" s="2"/>
    </row>
    <row r="15" spans="2:7" x14ac:dyDescent="0.25">
      <c r="B15" s="156">
        <v>46186</v>
      </c>
      <c r="C15" s="2" t="s">
        <v>7233</v>
      </c>
      <c r="D15" s="2"/>
      <c r="E15" s="23">
        <v>17</v>
      </c>
      <c r="F15" s="23">
        <f t="shared" si="0"/>
        <v>0</v>
      </c>
      <c r="G15" s="2"/>
    </row>
    <row r="16" spans="2:7" x14ac:dyDescent="0.25">
      <c r="B16" s="156">
        <v>46187</v>
      </c>
      <c r="C16" s="2" t="s">
        <v>7238</v>
      </c>
      <c r="D16" s="2"/>
      <c r="E16" s="23">
        <v>22</v>
      </c>
      <c r="F16" s="23">
        <f t="shared" si="0"/>
        <v>5</v>
      </c>
      <c r="G16" s="2"/>
    </row>
    <row r="17" spans="2:7" x14ac:dyDescent="0.25">
      <c r="B17" s="156">
        <v>46188</v>
      </c>
      <c r="C17" s="2" t="s">
        <v>7237</v>
      </c>
      <c r="D17" s="2"/>
      <c r="E17" s="23">
        <v>27</v>
      </c>
      <c r="F17" s="23">
        <f t="shared" si="0"/>
        <v>5</v>
      </c>
      <c r="G17" s="2"/>
    </row>
    <row r="18" spans="2:7" x14ac:dyDescent="0.25">
      <c r="B18" s="156">
        <v>46189</v>
      </c>
      <c r="C18" s="2" t="s">
        <v>7239</v>
      </c>
      <c r="D18" s="2" t="s">
        <v>7240</v>
      </c>
      <c r="E18" s="23">
        <v>39</v>
      </c>
      <c r="F18" s="23">
        <f t="shared" si="0"/>
        <v>12</v>
      </c>
      <c r="G18" s="2"/>
    </row>
    <row r="19" spans="2:7" x14ac:dyDescent="0.25">
      <c r="B19" s="156">
        <v>46190</v>
      </c>
      <c r="C19" s="2" t="s">
        <v>7252</v>
      </c>
      <c r="D19" s="2"/>
      <c r="E19" s="23">
        <v>50</v>
      </c>
      <c r="F19" s="23">
        <f t="shared" si="0"/>
        <v>11</v>
      </c>
      <c r="G19" s="2"/>
    </row>
    <row r="20" spans="2:7" x14ac:dyDescent="0.25">
      <c r="B20" s="156">
        <v>46191</v>
      </c>
      <c r="C20" s="2" t="s">
        <v>7258</v>
      </c>
      <c r="D20" s="2"/>
      <c r="E20" s="23">
        <v>55</v>
      </c>
      <c r="F20" s="23">
        <f t="shared" si="0"/>
        <v>5</v>
      </c>
      <c r="G20" s="2"/>
    </row>
    <row r="21" spans="2:7" x14ac:dyDescent="0.25">
      <c r="B21" s="156">
        <v>46192</v>
      </c>
      <c r="C21" s="2" t="s">
        <v>7263</v>
      </c>
      <c r="D21" s="2" t="s">
        <v>7264</v>
      </c>
      <c r="E21" s="23">
        <v>60</v>
      </c>
      <c r="F21" s="23">
        <f t="shared" si="0"/>
        <v>5</v>
      </c>
      <c r="G21" s="2"/>
    </row>
    <row r="22" spans="2:7" x14ac:dyDescent="0.25">
      <c r="B22" s="156">
        <v>46193</v>
      </c>
      <c r="C22" s="2" t="s">
        <v>7273</v>
      </c>
      <c r="D22" s="2"/>
      <c r="E22" s="23">
        <v>70</v>
      </c>
      <c r="F22" s="23">
        <f t="shared" si="0"/>
        <v>10</v>
      </c>
      <c r="G22" s="2"/>
    </row>
    <row r="23" spans="2:7" x14ac:dyDescent="0.25">
      <c r="B23" s="156">
        <v>46194</v>
      </c>
      <c r="C23" s="2" t="s">
        <v>7274</v>
      </c>
      <c r="D23" s="2"/>
      <c r="E23" s="23">
        <v>80</v>
      </c>
      <c r="F23" s="23">
        <f t="shared" si="0"/>
        <v>10</v>
      </c>
      <c r="G23" s="2"/>
    </row>
    <row r="24" spans="2:7" x14ac:dyDescent="0.25">
      <c r="B24" s="156">
        <v>46195</v>
      </c>
      <c r="C24" s="2" t="s">
        <v>7274</v>
      </c>
      <c r="D24" s="2" t="s">
        <v>7284</v>
      </c>
      <c r="E24" s="23">
        <v>80</v>
      </c>
      <c r="F24" s="23">
        <f t="shared" si="0"/>
        <v>0</v>
      </c>
      <c r="G24" s="2"/>
    </row>
    <row r="25" spans="2:7" s="157" customFormat="1" x14ac:dyDescent="0.25">
      <c r="B25" s="156">
        <v>46196</v>
      </c>
      <c r="C25" s="58" t="s">
        <v>7293</v>
      </c>
      <c r="D25" s="58"/>
      <c r="E25" s="59">
        <v>45</v>
      </c>
      <c r="F25" s="23">
        <f t="shared" si="0"/>
        <v>-35</v>
      </c>
      <c r="G25" s="58"/>
    </row>
    <row r="26" spans="2:7" s="157" customFormat="1" x14ac:dyDescent="0.25">
      <c r="B26" s="156">
        <v>46197</v>
      </c>
      <c r="C26" s="58" t="s">
        <v>7306</v>
      </c>
      <c r="D26" s="58"/>
      <c r="E26" s="59">
        <v>70</v>
      </c>
      <c r="F26" s="23">
        <f t="shared" si="0"/>
        <v>25</v>
      </c>
      <c r="G26" s="58"/>
    </row>
    <row r="27" spans="2:7" s="157" customFormat="1" x14ac:dyDescent="0.25">
      <c r="B27" s="156">
        <v>46198</v>
      </c>
      <c r="C27" s="58" t="s">
        <v>1178</v>
      </c>
      <c r="D27" s="58"/>
      <c r="E27" s="59">
        <v>80</v>
      </c>
      <c r="F27" s="23">
        <f t="shared" si="0"/>
        <v>10</v>
      </c>
      <c r="G27" s="58"/>
    </row>
    <row r="28" spans="2:7" s="157" customFormat="1" x14ac:dyDescent="0.25">
      <c r="B28" s="156">
        <v>46199</v>
      </c>
      <c r="C28" s="58" t="s">
        <v>7311</v>
      </c>
      <c r="D28" s="58" t="s">
        <v>7315</v>
      </c>
      <c r="E28" s="59"/>
      <c r="F28" s="23">
        <f t="shared" si="0"/>
        <v>-80</v>
      </c>
      <c r="G28" s="58"/>
    </row>
    <row r="29" spans="2:7" s="157" customFormat="1" x14ac:dyDescent="0.25">
      <c r="B29" s="156">
        <v>46200</v>
      </c>
      <c r="C29" s="58" t="s">
        <v>2355</v>
      </c>
      <c r="D29" s="58"/>
      <c r="E29" s="59"/>
      <c r="F29" s="23">
        <f t="shared" si="0"/>
        <v>0</v>
      </c>
      <c r="G29" s="58"/>
    </row>
    <row r="30" spans="2:7" s="157" customFormat="1" x14ac:dyDescent="0.25">
      <c r="B30" s="156">
        <v>46201</v>
      </c>
      <c r="C30" s="58" t="s">
        <v>5427</v>
      </c>
      <c r="D30" s="58"/>
      <c r="E30" s="59"/>
      <c r="F30" s="23">
        <f t="shared" si="0"/>
        <v>0</v>
      </c>
      <c r="G30" s="58"/>
    </row>
    <row r="31" spans="2:7" s="157" customFormat="1" x14ac:dyDescent="0.25">
      <c r="B31" s="156">
        <v>46202</v>
      </c>
      <c r="C31" s="58" t="s">
        <v>4597</v>
      </c>
      <c r="D31" s="58"/>
      <c r="E31" s="59"/>
      <c r="F31" s="59"/>
      <c r="G31" s="58"/>
    </row>
    <row r="32" spans="2:7" s="157" customFormat="1" x14ac:dyDescent="0.25">
      <c r="B32" s="156">
        <v>46203</v>
      </c>
      <c r="C32" s="58"/>
      <c r="D32" s="58"/>
      <c r="E32" s="59"/>
      <c r="F32" s="59"/>
      <c r="G32" s="58"/>
    </row>
    <row r="33" spans="2:7" s="157" customFormat="1" x14ac:dyDescent="0.25">
      <c r="B33" s="156">
        <v>46204</v>
      </c>
      <c r="C33" s="58"/>
      <c r="D33" s="58"/>
      <c r="E33" s="59"/>
      <c r="F33" s="59"/>
      <c r="G33" s="58"/>
    </row>
    <row r="34" spans="2:7" s="157" customFormat="1" x14ac:dyDescent="0.25">
      <c r="B34" s="156">
        <v>46205</v>
      </c>
      <c r="C34" s="58"/>
      <c r="D34" s="58"/>
      <c r="E34" s="59"/>
      <c r="F34" s="59"/>
      <c r="G34" s="58"/>
    </row>
    <row r="35" spans="2:7" s="157" customFormat="1" x14ac:dyDescent="0.25">
      <c r="B35" s="156">
        <v>46206</v>
      </c>
      <c r="C35" s="58"/>
      <c r="D35" s="58"/>
      <c r="E35" s="59"/>
      <c r="F35" s="59"/>
      <c r="G35" s="58"/>
    </row>
    <row r="36" spans="2:7" s="157" customFormat="1" x14ac:dyDescent="0.25">
      <c r="B36" s="156">
        <v>46207</v>
      </c>
      <c r="C36" s="58"/>
      <c r="D36" s="58"/>
      <c r="E36" s="59"/>
      <c r="F36" s="59"/>
      <c r="G36" s="58"/>
    </row>
    <row r="37" spans="2:7" s="157" customFormat="1" x14ac:dyDescent="0.25">
      <c r="B37" s="156">
        <v>46208</v>
      </c>
      <c r="C37" s="58"/>
      <c r="D37" s="58"/>
      <c r="E37" s="59"/>
      <c r="F37" s="59"/>
      <c r="G37" s="58"/>
    </row>
    <row r="38" spans="2:7" s="157" customFormat="1" x14ac:dyDescent="0.25">
      <c r="B38" s="156">
        <v>46209</v>
      </c>
      <c r="C38" s="58"/>
      <c r="D38" s="58"/>
      <c r="E38" s="59"/>
      <c r="F38" s="59"/>
      <c r="G38" s="58"/>
    </row>
    <row r="39" spans="2:7" s="157" customFormat="1" x14ac:dyDescent="0.25">
      <c r="B39" s="156">
        <v>46210</v>
      </c>
      <c r="C39" s="58"/>
      <c r="D39" s="58"/>
      <c r="E39" s="59"/>
      <c r="F39" s="59"/>
      <c r="G39" s="58"/>
    </row>
    <row r="40" spans="2:7" s="157" customFormat="1" x14ac:dyDescent="0.25">
      <c r="B40" s="156">
        <v>46211</v>
      </c>
      <c r="C40" s="58"/>
      <c r="D40" s="58"/>
      <c r="E40" s="59"/>
      <c r="F40" s="59"/>
      <c r="G40" s="58"/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18CB4-90C0-4E6A-B0EE-F0D92BD94041}">
  <dimension ref="B2:G87"/>
  <sheetViews>
    <sheetView topLeftCell="A70" workbookViewId="0">
      <selection activeCell="B23" sqref="B23"/>
    </sheetView>
  </sheetViews>
  <sheetFormatPr defaultRowHeight="15" x14ac:dyDescent="0.25"/>
  <cols>
    <col min="2" max="2" width="16.28515625" bestFit="1" customWidth="1"/>
    <col min="3" max="3" width="72" bestFit="1" customWidth="1"/>
    <col min="4" max="4" width="42.140625" bestFit="1" customWidth="1"/>
  </cols>
  <sheetData>
    <row r="2" spans="2:7" x14ac:dyDescent="0.25">
      <c r="B2" s="53" t="s">
        <v>7357</v>
      </c>
    </row>
    <row r="3" spans="2:7" ht="15.75" x14ac:dyDescent="0.25">
      <c r="B3" s="10" t="s">
        <v>0</v>
      </c>
      <c r="C3" s="11" t="s">
        <v>1</v>
      </c>
      <c r="D3" s="11" t="s">
        <v>2</v>
      </c>
      <c r="E3" s="11" t="s">
        <v>934</v>
      </c>
      <c r="F3" s="11" t="s">
        <v>1095</v>
      </c>
      <c r="G3" s="11" t="s">
        <v>1507</v>
      </c>
    </row>
    <row r="4" spans="2:7" x14ac:dyDescent="0.25">
      <c r="B4" s="156">
        <v>46175</v>
      </c>
      <c r="C4" s="2"/>
      <c r="D4" s="2"/>
      <c r="E4" s="2"/>
      <c r="F4" s="2"/>
      <c r="G4" s="2"/>
    </row>
    <row r="5" spans="2:7" x14ac:dyDescent="0.25">
      <c r="B5" s="156">
        <v>46176</v>
      </c>
      <c r="C5" s="2"/>
      <c r="D5" s="2" t="s">
        <v>7195</v>
      </c>
      <c r="E5" s="2"/>
      <c r="F5" s="2"/>
      <c r="G5" s="2"/>
    </row>
    <row r="6" spans="2:7" x14ac:dyDescent="0.25">
      <c r="B6" s="156">
        <v>46177</v>
      </c>
      <c r="C6" s="2"/>
      <c r="D6" s="2"/>
      <c r="E6" s="2"/>
      <c r="F6" s="2"/>
      <c r="G6" s="2"/>
    </row>
    <row r="7" spans="2:7" x14ac:dyDescent="0.25">
      <c r="B7" s="156">
        <v>46178</v>
      </c>
      <c r="C7" s="2"/>
      <c r="D7" s="2"/>
      <c r="E7" s="2"/>
      <c r="F7" s="2"/>
      <c r="G7" s="2"/>
    </row>
    <row r="8" spans="2:7" x14ac:dyDescent="0.25">
      <c r="B8" s="156">
        <v>46179</v>
      </c>
      <c r="C8" s="2" t="s">
        <v>7190</v>
      </c>
      <c r="D8" s="2"/>
      <c r="E8" s="2"/>
      <c r="F8" s="2"/>
      <c r="G8" s="2"/>
    </row>
    <row r="9" spans="2:7" x14ac:dyDescent="0.25">
      <c r="B9" s="156">
        <v>46180</v>
      </c>
      <c r="C9" s="2"/>
      <c r="D9" s="2"/>
      <c r="E9" s="2"/>
      <c r="F9" s="2"/>
      <c r="G9" s="2"/>
    </row>
    <row r="10" spans="2:7" x14ac:dyDescent="0.25">
      <c r="B10" s="156">
        <v>46181</v>
      </c>
      <c r="C10" s="2" t="s">
        <v>7190</v>
      </c>
      <c r="D10" s="2"/>
      <c r="E10" s="2"/>
      <c r="F10" s="2"/>
      <c r="G10" s="2"/>
    </row>
    <row r="11" spans="2:7" x14ac:dyDescent="0.25">
      <c r="B11" s="156">
        <v>46182</v>
      </c>
      <c r="C11" s="2"/>
      <c r="D11" s="2"/>
      <c r="E11" s="2"/>
      <c r="F11" s="2"/>
      <c r="G11" s="2"/>
    </row>
    <row r="12" spans="2:7" x14ac:dyDescent="0.25">
      <c r="B12" s="156">
        <v>46183</v>
      </c>
      <c r="C12" s="2"/>
      <c r="D12" s="2"/>
      <c r="E12" s="2"/>
      <c r="F12" s="2"/>
      <c r="G12" s="2"/>
    </row>
    <row r="13" spans="2:7" x14ac:dyDescent="0.25">
      <c r="B13" s="156">
        <v>46184</v>
      </c>
      <c r="C13" s="2"/>
      <c r="D13" s="2"/>
      <c r="E13" s="2"/>
      <c r="F13" s="2"/>
      <c r="G13" s="2"/>
    </row>
    <row r="14" spans="2:7" x14ac:dyDescent="0.25">
      <c r="B14" s="156">
        <v>46185</v>
      </c>
      <c r="C14" s="2"/>
      <c r="D14" s="2"/>
      <c r="E14" s="2"/>
      <c r="F14" s="2"/>
      <c r="G14" s="2"/>
    </row>
    <row r="15" spans="2:7" x14ac:dyDescent="0.25">
      <c r="B15" s="156">
        <v>46186</v>
      </c>
      <c r="C15" s="2"/>
      <c r="D15" s="2"/>
      <c r="E15" s="2"/>
      <c r="F15" s="2"/>
      <c r="G15" s="2"/>
    </row>
    <row r="16" spans="2:7" x14ac:dyDescent="0.25">
      <c r="B16" s="156">
        <v>46187</v>
      </c>
      <c r="C16" s="2"/>
      <c r="D16" s="2"/>
      <c r="E16" s="2"/>
      <c r="F16" s="2"/>
      <c r="G16" s="2"/>
    </row>
    <row r="17" spans="2:7" x14ac:dyDescent="0.25">
      <c r="B17" s="156">
        <v>46188</v>
      </c>
      <c r="C17" s="2"/>
      <c r="D17" s="2"/>
      <c r="E17" s="2"/>
      <c r="F17" s="2"/>
      <c r="G17" s="2"/>
    </row>
    <row r="18" spans="2:7" x14ac:dyDescent="0.25">
      <c r="B18" s="156">
        <v>46189</v>
      </c>
      <c r="C18" s="2"/>
      <c r="D18" s="2"/>
      <c r="E18" s="2"/>
      <c r="F18" s="2"/>
      <c r="G18" s="2"/>
    </row>
    <row r="19" spans="2:7" x14ac:dyDescent="0.25">
      <c r="B19" s="156">
        <v>46190</v>
      </c>
      <c r="C19" s="2" t="s">
        <v>7248</v>
      </c>
      <c r="D19" s="2"/>
      <c r="E19" s="2"/>
      <c r="F19" s="2"/>
      <c r="G19" s="2"/>
    </row>
    <row r="20" spans="2:7" x14ac:dyDescent="0.25">
      <c r="B20" s="156">
        <v>46191</v>
      </c>
      <c r="C20" s="2" t="s">
        <v>7248</v>
      </c>
      <c r="D20" s="2"/>
      <c r="E20" s="2"/>
      <c r="F20" s="2"/>
      <c r="G20" s="2"/>
    </row>
    <row r="21" spans="2:7" x14ac:dyDescent="0.25">
      <c r="B21" s="156">
        <v>46192</v>
      </c>
      <c r="C21" s="2" t="s">
        <v>7261</v>
      </c>
      <c r="D21" s="2"/>
      <c r="E21" s="2"/>
      <c r="F21" s="2"/>
      <c r="G21" s="2"/>
    </row>
    <row r="22" spans="2:7" x14ac:dyDescent="0.25">
      <c r="B22" s="156">
        <v>46193</v>
      </c>
      <c r="C22" s="2" t="s">
        <v>7265</v>
      </c>
      <c r="D22" s="2"/>
      <c r="E22" s="2"/>
      <c r="F22" s="2"/>
      <c r="G22" s="2"/>
    </row>
    <row r="23" spans="2:7" x14ac:dyDescent="0.25">
      <c r="B23" s="156">
        <v>46194</v>
      </c>
      <c r="C23" s="2" t="s">
        <v>7269</v>
      </c>
      <c r="D23" s="2" t="s">
        <v>7270</v>
      </c>
      <c r="E23" s="2">
        <v>2</v>
      </c>
      <c r="F23" s="2">
        <f>E23-E22</f>
        <v>2</v>
      </c>
      <c r="G23" s="2"/>
    </row>
    <row r="24" spans="2:7" x14ac:dyDescent="0.25">
      <c r="B24" s="156">
        <v>46195</v>
      </c>
      <c r="C24" s="2" t="s">
        <v>7285</v>
      </c>
      <c r="D24" s="2" t="s">
        <v>7296</v>
      </c>
      <c r="E24" s="2">
        <v>30</v>
      </c>
      <c r="F24" s="2">
        <f t="shared" ref="F24:F33" si="0">E24-E23</f>
        <v>28</v>
      </c>
      <c r="G24" s="2"/>
    </row>
    <row r="25" spans="2:7" s="157" customFormat="1" x14ac:dyDescent="0.25">
      <c r="B25" s="156">
        <v>46196</v>
      </c>
      <c r="C25" s="2" t="s">
        <v>7294</v>
      </c>
      <c r="D25" s="58"/>
      <c r="E25" s="58">
        <v>45</v>
      </c>
      <c r="F25" s="2">
        <f t="shared" si="0"/>
        <v>15</v>
      </c>
      <c r="G25" s="58"/>
    </row>
    <row r="26" spans="2:7" x14ac:dyDescent="0.25">
      <c r="B26" s="156">
        <v>46197</v>
      </c>
      <c r="C26" s="2" t="s">
        <v>7300</v>
      </c>
      <c r="D26" s="2"/>
      <c r="E26" s="2">
        <v>76</v>
      </c>
      <c r="F26" s="2">
        <f t="shared" si="0"/>
        <v>31</v>
      </c>
      <c r="G26" s="2"/>
    </row>
    <row r="27" spans="2:7" x14ac:dyDescent="0.25">
      <c r="B27" s="156">
        <v>46198</v>
      </c>
      <c r="C27" s="2" t="s">
        <v>7307</v>
      </c>
      <c r="D27" s="2"/>
      <c r="E27" s="2">
        <v>93</v>
      </c>
      <c r="F27" s="2">
        <f t="shared" si="0"/>
        <v>17</v>
      </c>
      <c r="G27" s="2"/>
    </row>
    <row r="28" spans="2:7" x14ac:dyDescent="0.25">
      <c r="B28" s="156">
        <v>46199</v>
      </c>
      <c r="C28" s="2" t="s">
        <v>7312</v>
      </c>
      <c r="D28" s="2"/>
      <c r="E28" s="2"/>
      <c r="F28" s="2">
        <f t="shared" si="0"/>
        <v>-93</v>
      </c>
      <c r="G28" s="2"/>
    </row>
    <row r="29" spans="2:7" x14ac:dyDescent="0.25">
      <c r="B29" s="156">
        <v>46200</v>
      </c>
      <c r="C29" s="2" t="s">
        <v>7323</v>
      </c>
      <c r="D29" s="2"/>
      <c r="E29" s="2"/>
      <c r="F29" s="2">
        <f t="shared" si="0"/>
        <v>0</v>
      </c>
      <c r="G29" s="2"/>
    </row>
    <row r="30" spans="2:7" x14ac:dyDescent="0.25">
      <c r="B30" s="156">
        <v>46201</v>
      </c>
      <c r="C30" s="2" t="s">
        <v>7324</v>
      </c>
      <c r="D30" s="2"/>
      <c r="E30" s="2"/>
      <c r="F30" s="2">
        <f t="shared" si="0"/>
        <v>0</v>
      </c>
      <c r="G30" s="2"/>
    </row>
    <row r="31" spans="2:7" x14ac:dyDescent="0.25">
      <c r="B31" s="156">
        <v>46202</v>
      </c>
      <c r="C31" s="2" t="s">
        <v>7334</v>
      </c>
      <c r="D31" s="2"/>
      <c r="E31" s="2">
        <v>6</v>
      </c>
      <c r="F31" s="2">
        <f t="shared" si="0"/>
        <v>6</v>
      </c>
      <c r="G31" s="2"/>
    </row>
    <row r="32" spans="2:7" x14ac:dyDescent="0.25">
      <c r="B32" s="156">
        <v>46203</v>
      </c>
      <c r="C32" s="2" t="s">
        <v>7335</v>
      </c>
      <c r="D32" s="2"/>
      <c r="E32" s="2">
        <v>49</v>
      </c>
      <c r="F32" s="2">
        <f t="shared" si="0"/>
        <v>43</v>
      </c>
      <c r="G32" s="2"/>
    </row>
    <row r="33" spans="2:7" x14ac:dyDescent="0.25">
      <c r="B33" s="156">
        <v>46204</v>
      </c>
      <c r="C33" s="2" t="s">
        <v>7339</v>
      </c>
      <c r="D33" s="2"/>
      <c r="E33" s="2">
        <v>84</v>
      </c>
      <c r="F33" s="2">
        <f t="shared" si="0"/>
        <v>35</v>
      </c>
      <c r="G33" s="2"/>
    </row>
    <row r="34" spans="2:7" ht="30" x14ac:dyDescent="0.25">
      <c r="B34" s="163">
        <v>46205</v>
      </c>
      <c r="C34" s="30" t="s">
        <v>7343</v>
      </c>
      <c r="D34" s="2"/>
      <c r="E34" s="2"/>
      <c r="F34" s="2"/>
      <c r="G34" s="2"/>
    </row>
    <row r="35" spans="2:7" x14ac:dyDescent="0.25">
      <c r="B35" s="156">
        <v>46206</v>
      </c>
      <c r="C35" s="2" t="s">
        <v>7350</v>
      </c>
      <c r="D35" s="2"/>
      <c r="E35" s="2"/>
      <c r="F35" s="2"/>
      <c r="G35" s="2"/>
    </row>
    <row r="36" spans="2:7" x14ac:dyDescent="0.25">
      <c r="B36" s="156">
        <v>46207</v>
      </c>
      <c r="C36" s="2" t="s">
        <v>3862</v>
      </c>
      <c r="D36" s="2"/>
      <c r="E36" s="2"/>
      <c r="F36" s="2"/>
      <c r="G36" s="2"/>
    </row>
    <row r="37" spans="2:7" x14ac:dyDescent="0.25">
      <c r="B37" s="156">
        <v>46208</v>
      </c>
      <c r="C37" s="2" t="s">
        <v>7469</v>
      </c>
      <c r="D37" s="2"/>
      <c r="E37" s="2"/>
      <c r="F37" s="2"/>
      <c r="G37" s="2"/>
    </row>
    <row r="38" spans="2:7" x14ac:dyDescent="0.25">
      <c r="B38" s="156">
        <v>46209</v>
      </c>
      <c r="C38" s="2" t="s">
        <v>7469</v>
      </c>
      <c r="D38" s="2"/>
      <c r="E38" s="2"/>
      <c r="F38" s="2"/>
      <c r="G38" s="2"/>
    </row>
    <row r="39" spans="2:7" x14ac:dyDescent="0.25">
      <c r="B39" s="156">
        <v>46210</v>
      </c>
      <c r="C39" s="2" t="s">
        <v>7469</v>
      </c>
      <c r="D39" s="2"/>
      <c r="E39" s="2"/>
      <c r="F39" s="2"/>
      <c r="G39" s="2"/>
    </row>
    <row r="40" spans="2:7" x14ac:dyDescent="0.25">
      <c r="B40" s="156">
        <v>46211</v>
      </c>
      <c r="C40" s="2" t="s">
        <v>7469</v>
      </c>
      <c r="D40" s="2"/>
      <c r="E40" s="2"/>
      <c r="F40" s="2"/>
      <c r="G40" s="2"/>
    </row>
    <row r="41" spans="2:7" x14ac:dyDescent="0.25">
      <c r="B41" s="156">
        <v>46212</v>
      </c>
      <c r="C41" s="2" t="s">
        <v>7469</v>
      </c>
      <c r="D41" s="2"/>
      <c r="E41" s="2"/>
      <c r="F41" s="2"/>
      <c r="G41" s="2"/>
    </row>
    <row r="42" spans="2:7" x14ac:dyDescent="0.25">
      <c r="B42" s="156">
        <v>46213</v>
      </c>
      <c r="C42" s="2" t="s">
        <v>7469</v>
      </c>
      <c r="D42" s="2"/>
      <c r="E42" s="2"/>
      <c r="F42" s="2"/>
      <c r="G42" s="2"/>
    </row>
    <row r="43" spans="2:7" x14ac:dyDescent="0.25">
      <c r="B43" s="156">
        <v>46214</v>
      </c>
      <c r="C43" s="2" t="s">
        <v>7469</v>
      </c>
      <c r="D43" s="2"/>
      <c r="E43" s="2"/>
      <c r="F43" s="2"/>
      <c r="G43" s="2"/>
    </row>
    <row r="44" spans="2:7" x14ac:dyDescent="0.25">
      <c r="B44" s="156">
        <v>46215</v>
      </c>
      <c r="C44" s="2" t="s">
        <v>7469</v>
      </c>
      <c r="D44" s="2"/>
      <c r="E44" s="2"/>
      <c r="F44" s="2"/>
      <c r="G44" s="2"/>
    </row>
    <row r="45" spans="2:7" x14ac:dyDescent="0.25">
      <c r="B45" s="156">
        <v>46216</v>
      </c>
      <c r="C45" s="2" t="s">
        <v>7469</v>
      </c>
      <c r="D45" s="2"/>
      <c r="E45" s="2"/>
      <c r="F45" s="2"/>
      <c r="G45" s="2"/>
    </row>
    <row r="46" spans="2:7" x14ac:dyDescent="0.25">
      <c r="B46" s="156">
        <v>46217</v>
      </c>
      <c r="C46" s="2" t="s">
        <v>7469</v>
      </c>
      <c r="D46" s="2"/>
      <c r="E46" s="2"/>
      <c r="F46" s="2"/>
      <c r="G46" s="2"/>
    </row>
    <row r="47" spans="2:7" x14ac:dyDescent="0.25">
      <c r="B47" s="156">
        <v>46218</v>
      </c>
      <c r="C47" s="2" t="s">
        <v>7469</v>
      </c>
      <c r="D47" s="2"/>
      <c r="E47" s="2"/>
      <c r="F47" s="2"/>
      <c r="G47" s="2"/>
    </row>
    <row r="48" spans="2:7" x14ac:dyDescent="0.25">
      <c r="B48" s="156">
        <v>46219</v>
      </c>
      <c r="C48" s="2" t="s">
        <v>7494</v>
      </c>
      <c r="D48" s="2" t="s">
        <v>7468</v>
      </c>
      <c r="E48" s="2"/>
      <c r="F48" s="2"/>
      <c r="G48" s="2"/>
    </row>
    <row r="49" spans="2:7" x14ac:dyDescent="0.25">
      <c r="B49" s="156">
        <v>46220</v>
      </c>
      <c r="C49" s="2" t="s">
        <v>7635</v>
      </c>
      <c r="D49" s="2"/>
      <c r="E49" s="2"/>
      <c r="F49" s="2"/>
      <c r="G49" s="2"/>
    </row>
    <row r="50" spans="2:7" x14ac:dyDescent="0.25">
      <c r="B50" s="156">
        <v>46221</v>
      </c>
      <c r="C50" s="2" t="s">
        <v>7635</v>
      </c>
      <c r="D50" s="2"/>
      <c r="E50" s="2"/>
      <c r="F50" s="2"/>
      <c r="G50" s="2"/>
    </row>
    <row r="51" spans="2:7" x14ac:dyDescent="0.25">
      <c r="B51" s="156">
        <v>46222</v>
      </c>
      <c r="C51" s="2" t="s">
        <v>7635</v>
      </c>
      <c r="D51" s="2"/>
      <c r="E51" s="2"/>
      <c r="F51" s="2"/>
      <c r="G51" s="2"/>
    </row>
    <row r="52" spans="2:7" x14ac:dyDescent="0.25">
      <c r="B52" s="156">
        <v>46223</v>
      </c>
      <c r="C52" s="2" t="s">
        <v>7635</v>
      </c>
      <c r="D52" s="2"/>
      <c r="E52" s="2"/>
      <c r="F52" s="2"/>
      <c r="G52" s="2"/>
    </row>
    <row r="53" spans="2:7" x14ac:dyDescent="0.25">
      <c r="B53" s="156">
        <v>46224</v>
      </c>
      <c r="C53" s="2" t="s">
        <v>7635</v>
      </c>
      <c r="D53" s="2"/>
      <c r="E53" s="2"/>
      <c r="F53" s="2"/>
      <c r="G53" s="2"/>
    </row>
    <row r="54" spans="2:7" x14ac:dyDescent="0.25">
      <c r="B54" s="156">
        <v>46225</v>
      </c>
      <c r="C54" s="2" t="s">
        <v>7635</v>
      </c>
      <c r="D54" s="2"/>
      <c r="E54" s="2"/>
      <c r="F54" s="2"/>
      <c r="G54" s="2"/>
    </row>
    <row r="55" spans="2:7" x14ac:dyDescent="0.25">
      <c r="B55" s="156">
        <v>46226</v>
      </c>
      <c r="C55" s="2" t="s">
        <v>7635</v>
      </c>
      <c r="D55" s="2"/>
      <c r="E55" s="2"/>
      <c r="F55" s="2"/>
      <c r="G55" s="2"/>
    </row>
    <row r="56" spans="2:7" x14ac:dyDescent="0.25">
      <c r="B56" s="156">
        <v>46227</v>
      </c>
      <c r="C56" s="2" t="s">
        <v>7635</v>
      </c>
      <c r="D56" s="2"/>
      <c r="E56" s="2"/>
      <c r="F56" s="2"/>
      <c r="G56" s="2"/>
    </row>
    <row r="57" spans="2:7" x14ac:dyDescent="0.25">
      <c r="B57" s="156">
        <v>46228</v>
      </c>
      <c r="C57" s="2" t="s">
        <v>7635</v>
      </c>
      <c r="D57" s="2"/>
      <c r="E57" s="2"/>
      <c r="F57" s="2"/>
      <c r="G57" s="2"/>
    </row>
    <row r="58" spans="2:7" x14ac:dyDescent="0.25">
      <c r="B58" s="156">
        <v>46229</v>
      </c>
      <c r="C58" s="2" t="s">
        <v>7635</v>
      </c>
      <c r="D58" s="2"/>
      <c r="E58" s="2"/>
      <c r="F58" s="2"/>
      <c r="G58" s="2"/>
    </row>
    <row r="59" spans="2:7" x14ac:dyDescent="0.25">
      <c r="B59" s="156">
        <v>46230</v>
      </c>
      <c r="C59" s="2" t="s">
        <v>7635</v>
      </c>
      <c r="D59" s="2"/>
      <c r="E59" s="2"/>
      <c r="F59" s="2"/>
      <c r="G59" s="2"/>
    </row>
    <row r="60" spans="2:7" x14ac:dyDescent="0.25">
      <c r="B60" s="156">
        <v>46231</v>
      </c>
      <c r="C60" s="2"/>
      <c r="D60" s="2"/>
      <c r="E60" s="2"/>
      <c r="F60" s="2"/>
      <c r="G60" s="2"/>
    </row>
    <row r="61" spans="2:7" x14ac:dyDescent="0.25">
      <c r="B61" s="156">
        <v>46232</v>
      </c>
      <c r="C61" s="2"/>
      <c r="D61" s="2"/>
      <c r="E61" s="2"/>
      <c r="F61" s="2"/>
      <c r="G61" s="2"/>
    </row>
    <row r="62" spans="2:7" x14ac:dyDescent="0.25">
      <c r="B62" s="156">
        <v>46233</v>
      </c>
      <c r="C62" s="2"/>
      <c r="D62" s="2"/>
      <c r="E62" s="2"/>
      <c r="F62" s="2"/>
      <c r="G62" s="2"/>
    </row>
    <row r="63" spans="2:7" x14ac:dyDescent="0.25">
      <c r="B63" s="156">
        <v>46234</v>
      </c>
      <c r="C63" s="2"/>
      <c r="D63" s="2"/>
      <c r="E63" s="2"/>
      <c r="F63" s="2"/>
      <c r="G63" s="2"/>
    </row>
    <row r="64" spans="2:7" x14ac:dyDescent="0.25">
      <c r="B64" s="156">
        <v>46235</v>
      </c>
      <c r="C64" s="2"/>
      <c r="D64" s="2"/>
      <c r="E64" s="2"/>
      <c r="F64" s="2"/>
      <c r="G64" s="2"/>
    </row>
    <row r="65" spans="2:7" x14ac:dyDescent="0.25">
      <c r="B65" s="156">
        <v>46236</v>
      </c>
      <c r="C65" s="2"/>
      <c r="D65" s="2"/>
      <c r="E65" s="2"/>
      <c r="F65" s="2"/>
      <c r="G65" s="2"/>
    </row>
    <row r="66" spans="2:7" x14ac:dyDescent="0.25">
      <c r="B66" s="156">
        <v>46237</v>
      </c>
      <c r="C66" s="2"/>
      <c r="D66" s="2"/>
      <c r="E66" s="2"/>
      <c r="F66" s="2"/>
      <c r="G66" s="2"/>
    </row>
    <row r="67" spans="2:7" x14ac:dyDescent="0.25">
      <c r="B67" s="156">
        <v>46238</v>
      </c>
      <c r="C67" s="2"/>
      <c r="D67" s="2"/>
      <c r="E67" s="2"/>
      <c r="F67" s="2"/>
      <c r="G67" s="2"/>
    </row>
    <row r="68" spans="2:7" x14ac:dyDescent="0.25">
      <c r="B68" s="156">
        <v>46239</v>
      </c>
      <c r="C68" s="2"/>
      <c r="D68" s="2"/>
      <c r="E68" s="2"/>
      <c r="F68" s="2"/>
      <c r="G68" s="2"/>
    </row>
    <row r="69" spans="2:7" x14ac:dyDescent="0.25">
      <c r="B69" s="156">
        <v>46240</v>
      </c>
      <c r="C69" s="2"/>
      <c r="D69" s="2"/>
      <c r="E69" s="2"/>
      <c r="F69" s="2"/>
      <c r="G69" s="2"/>
    </row>
    <row r="70" spans="2:7" x14ac:dyDescent="0.25">
      <c r="B70" s="156">
        <v>46241</v>
      </c>
      <c r="C70" s="2" t="s">
        <v>7671</v>
      </c>
      <c r="D70" s="2"/>
      <c r="E70" s="2"/>
      <c r="F70" s="2"/>
      <c r="G70" s="2"/>
    </row>
    <row r="71" spans="2:7" x14ac:dyDescent="0.25">
      <c r="B71" s="156">
        <v>46242</v>
      </c>
      <c r="C71" s="2" t="s">
        <v>1299</v>
      </c>
      <c r="D71" s="2" t="s">
        <v>7677</v>
      </c>
      <c r="E71" s="2"/>
      <c r="F71" s="2"/>
      <c r="G71" s="2"/>
    </row>
    <row r="72" spans="2:7" x14ac:dyDescent="0.25">
      <c r="B72" s="156">
        <v>46243</v>
      </c>
      <c r="C72" s="2"/>
      <c r="D72" s="2"/>
      <c r="E72" s="2"/>
      <c r="F72" s="2"/>
      <c r="G72" s="2"/>
    </row>
    <row r="73" spans="2:7" x14ac:dyDescent="0.25">
      <c r="B73" s="156">
        <v>46244</v>
      </c>
      <c r="C73" s="2"/>
      <c r="D73" s="2"/>
      <c r="E73" s="2"/>
      <c r="F73" s="2"/>
      <c r="G73" s="2"/>
    </row>
    <row r="74" spans="2:7" x14ac:dyDescent="0.25">
      <c r="B74" s="156">
        <v>46245</v>
      </c>
      <c r="C74" s="2"/>
      <c r="D74" s="2"/>
      <c r="E74" s="2"/>
      <c r="F74" s="2"/>
      <c r="G74" s="2"/>
    </row>
    <row r="75" spans="2:7" x14ac:dyDescent="0.25">
      <c r="B75" s="156">
        <v>46246</v>
      </c>
      <c r="C75" s="2"/>
      <c r="D75" s="2"/>
      <c r="E75" s="2"/>
      <c r="F75" s="2"/>
      <c r="G75" s="2"/>
    </row>
    <row r="76" spans="2:7" x14ac:dyDescent="0.25">
      <c r="B76" s="156">
        <v>46247</v>
      </c>
      <c r="C76" s="2"/>
      <c r="D76" s="2"/>
      <c r="E76" s="2"/>
      <c r="F76" s="2"/>
      <c r="G76" s="2"/>
    </row>
    <row r="77" spans="2:7" x14ac:dyDescent="0.25">
      <c r="B77" s="156">
        <v>46248</v>
      </c>
      <c r="C77" s="2"/>
      <c r="D77" s="2"/>
      <c r="E77" s="2"/>
      <c r="F77" s="2"/>
      <c r="G77" s="2"/>
    </row>
    <row r="78" spans="2:7" x14ac:dyDescent="0.25">
      <c r="B78" s="156">
        <v>46249</v>
      </c>
      <c r="C78" s="2"/>
      <c r="D78" s="2"/>
      <c r="E78" s="2"/>
      <c r="F78" s="2"/>
      <c r="G78" s="2"/>
    </row>
    <row r="79" spans="2:7" x14ac:dyDescent="0.25">
      <c r="B79" s="156">
        <v>46250</v>
      </c>
      <c r="C79" s="2"/>
      <c r="D79" s="2"/>
      <c r="E79" s="2"/>
      <c r="F79" s="2"/>
      <c r="G79" s="2"/>
    </row>
    <row r="80" spans="2:7" x14ac:dyDescent="0.25">
      <c r="B80" s="156">
        <v>46251</v>
      </c>
      <c r="C80" s="2"/>
      <c r="D80" s="2"/>
      <c r="E80" s="2"/>
      <c r="F80" s="2"/>
      <c r="G80" s="2"/>
    </row>
    <row r="81" spans="2:7" x14ac:dyDescent="0.25">
      <c r="B81" s="156">
        <v>46252</v>
      </c>
      <c r="C81" s="2"/>
      <c r="D81" s="2"/>
      <c r="E81" s="2"/>
      <c r="F81" s="2"/>
      <c r="G81" s="2"/>
    </row>
    <row r="82" spans="2:7" x14ac:dyDescent="0.25">
      <c r="B82" s="156">
        <v>46253</v>
      </c>
      <c r="C82" s="2"/>
      <c r="D82" s="2"/>
      <c r="E82" s="2"/>
      <c r="F82" s="2"/>
      <c r="G82" s="2"/>
    </row>
    <row r="83" spans="2:7" x14ac:dyDescent="0.25">
      <c r="B83" s="156">
        <v>46254</v>
      </c>
      <c r="C83" s="2"/>
      <c r="D83" s="2"/>
      <c r="E83" s="2"/>
      <c r="F83" s="2"/>
      <c r="G83" s="2"/>
    </row>
    <row r="84" spans="2:7" x14ac:dyDescent="0.25">
      <c r="B84" s="156">
        <v>46255</v>
      </c>
      <c r="C84" s="2"/>
      <c r="D84" s="2"/>
      <c r="E84" s="2"/>
      <c r="F84" s="2"/>
      <c r="G84" s="2"/>
    </row>
    <row r="85" spans="2:7" x14ac:dyDescent="0.25">
      <c r="B85" s="156">
        <v>46256</v>
      </c>
      <c r="C85" s="2"/>
      <c r="D85" s="2"/>
      <c r="E85" s="2"/>
      <c r="F85" s="2"/>
      <c r="G85" s="2"/>
    </row>
    <row r="86" spans="2:7" x14ac:dyDescent="0.25">
      <c r="B86" s="156">
        <v>46257</v>
      </c>
      <c r="C86" s="2"/>
      <c r="D86" s="2"/>
      <c r="E86" s="2"/>
      <c r="F86" s="2"/>
      <c r="G86" s="2"/>
    </row>
    <row r="87" spans="2:7" x14ac:dyDescent="0.25">
      <c r="B87" s="156">
        <v>46258</v>
      </c>
      <c r="C87" s="2"/>
      <c r="D87" s="2"/>
      <c r="E87" s="2"/>
      <c r="F87" s="2"/>
      <c r="G87" s="2"/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5DB3A-11A8-4C6F-861D-19E885802656}">
  <dimension ref="B2:G75"/>
  <sheetViews>
    <sheetView topLeftCell="A76" workbookViewId="0">
      <selection activeCell="C69" sqref="C69"/>
    </sheetView>
  </sheetViews>
  <sheetFormatPr defaultRowHeight="15" x14ac:dyDescent="0.25"/>
  <cols>
    <col min="2" max="2" width="20.7109375" bestFit="1" customWidth="1"/>
    <col min="3" max="3" width="72" bestFit="1" customWidth="1"/>
    <col min="4" max="4" width="42.140625" bestFit="1" customWidth="1"/>
  </cols>
  <sheetData>
    <row r="2" spans="2:7" x14ac:dyDescent="0.25">
      <c r="B2" s="53" t="s">
        <v>7756</v>
      </c>
    </row>
    <row r="3" spans="2:7" ht="15.75" x14ac:dyDescent="0.25">
      <c r="B3" s="10" t="s">
        <v>0</v>
      </c>
      <c r="C3" s="11" t="s">
        <v>1</v>
      </c>
      <c r="D3" s="11" t="s">
        <v>2</v>
      </c>
      <c r="E3" s="11" t="s">
        <v>934</v>
      </c>
      <c r="F3" s="11" t="s">
        <v>1095</v>
      </c>
      <c r="G3" s="11" t="s">
        <v>1507</v>
      </c>
    </row>
    <row r="4" spans="2:7" x14ac:dyDescent="0.25">
      <c r="B4" s="156">
        <v>46206</v>
      </c>
      <c r="C4" s="2" t="s">
        <v>7358</v>
      </c>
      <c r="D4" s="2"/>
      <c r="E4" s="2"/>
      <c r="F4" s="2">
        <v>0</v>
      </c>
      <c r="G4" s="2"/>
    </row>
    <row r="5" spans="2:7" x14ac:dyDescent="0.25">
      <c r="B5" s="156">
        <v>46207</v>
      </c>
      <c r="C5" s="2" t="s">
        <v>7359</v>
      </c>
      <c r="D5" s="2"/>
      <c r="E5" s="2"/>
      <c r="F5" s="2">
        <f t="shared" ref="F5:F41" si="0">E5-E4</f>
        <v>0</v>
      </c>
      <c r="G5" s="2"/>
    </row>
    <row r="6" spans="2:7" x14ac:dyDescent="0.25">
      <c r="B6" s="156">
        <v>46208</v>
      </c>
      <c r="C6" s="2" t="s">
        <v>7359</v>
      </c>
      <c r="D6" s="2"/>
      <c r="E6" s="2"/>
      <c r="F6" s="2">
        <f t="shared" si="0"/>
        <v>0</v>
      </c>
      <c r="G6" s="2"/>
    </row>
    <row r="7" spans="2:7" x14ac:dyDescent="0.25">
      <c r="B7" s="156">
        <v>46209</v>
      </c>
      <c r="C7" s="2" t="s">
        <v>7359</v>
      </c>
      <c r="D7" s="2"/>
      <c r="E7" s="2"/>
      <c r="F7" s="2">
        <f t="shared" si="0"/>
        <v>0</v>
      </c>
      <c r="G7" s="2"/>
    </row>
    <row r="8" spans="2:7" x14ac:dyDescent="0.25">
      <c r="B8" s="156">
        <v>46210</v>
      </c>
      <c r="C8" s="2" t="s">
        <v>7360</v>
      </c>
      <c r="D8" s="2"/>
      <c r="E8" s="2"/>
      <c r="F8" s="2">
        <f t="shared" si="0"/>
        <v>0</v>
      </c>
      <c r="G8" s="2"/>
    </row>
    <row r="9" spans="2:7" x14ac:dyDescent="0.25">
      <c r="B9" s="156">
        <v>46211</v>
      </c>
      <c r="C9" s="2" t="s">
        <v>7361</v>
      </c>
      <c r="D9" s="2"/>
      <c r="E9" s="2"/>
      <c r="F9" s="2">
        <f t="shared" si="0"/>
        <v>0</v>
      </c>
      <c r="G9" s="2"/>
    </row>
    <row r="10" spans="2:7" x14ac:dyDescent="0.25">
      <c r="B10" s="156">
        <v>46212</v>
      </c>
      <c r="C10" s="2" t="s">
        <v>7369</v>
      </c>
      <c r="D10" s="2" t="s">
        <v>7375</v>
      </c>
      <c r="E10" s="2">
        <v>40</v>
      </c>
      <c r="F10" s="2">
        <f t="shared" si="0"/>
        <v>40</v>
      </c>
      <c r="G10" s="2"/>
    </row>
    <row r="11" spans="2:7" x14ac:dyDescent="0.25">
      <c r="B11" s="156">
        <v>46213</v>
      </c>
      <c r="C11" s="2" t="s">
        <v>7392</v>
      </c>
      <c r="D11" s="2"/>
      <c r="E11" s="2">
        <v>50</v>
      </c>
      <c r="F11" s="2">
        <f t="shared" si="0"/>
        <v>10</v>
      </c>
      <c r="G11" s="2"/>
    </row>
    <row r="12" spans="2:7" x14ac:dyDescent="0.25">
      <c r="B12" s="156">
        <v>46214</v>
      </c>
      <c r="C12" s="2" t="s">
        <v>7393</v>
      </c>
      <c r="D12" s="2"/>
      <c r="E12" s="2">
        <v>75</v>
      </c>
      <c r="F12" s="2">
        <f t="shared" si="0"/>
        <v>25</v>
      </c>
      <c r="G12" s="2"/>
    </row>
    <row r="13" spans="2:7" x14ac:dyDescent="0.25">
      <c r="B13" s="156">
        <v>46215</v>
      </c>
      <c r="C13" s="2" t="s">
        <v>7393</v>
      </c>
      <c r="D13" s="2" t="s">
        <v>7400</v>
      </c>
      <c r="E13" s="2">
        <v>75</v>
      </c>
      <c r="F13" s="2">
        <f t="shared" si="0"/>
        <v>0</v>
      </c>
      <c r="G13" s="2"/>
    </row>
    <row r="14" spans="2:7" x14ac:dyDescent="0.25">
      <c r="B14" s="156">
        <v>46216</v>
      </c>
      <c r="C14" s="2" t="s">
        <v>7401</v>
      </c>
      <c r="D14" s="2" t="s">
        <v>7402</v>
      </c>
      <c r="E14" s="2">
        <v>81</v>
      </c>
      <c r="F14" s="2">
        <f t="shared" si="0"/>
        <v>6</v>
      </c>
      <c r="G14" s="2"/>
    </row>
    <row r="15" spans="2:7" x14ac:dyDescent="0.25">
      <c r="B15" s="156">
        <v>46217</v>
      </c>
      <c r="C15" s="2" t="s">
        <v>7407</v>
      </c>
      <c r="D15" s="2" t="s">
        <v>7408</v>
      </c>
      <c r="E15" s="2">
        <v>81</v>
      </c>
      <c r="F15" s="2">
        <f t="shared" si="0"/>
        <v>0</v>
      </c>
      <c r="G15" s="2"/>
    </row>
    <row r="16" spans="2:7" ht="30" x14ac:dyDescent="0.25">
      <c r="B16" s="163">
        <v>46218</v>
      </c>
      <c r="C16" s="30" t="s">
        <v>7459</v>
      </c>
      <c r="D16" s="30" t="s">
        <v>7458</v>
      </c>
      <c r="E16" s="35">
        <v>81</v>
      </c>
      <c r="F16" s="35">
        <f t="shared" si="0"/>
        <v>0</v>
      </c>
      <c r="G16" s="2" t="s">
        <v>7581</v>
      </c>
    </row>
    <row r="17" spans="2:7" x14ac:dyDescent="0.25">
      <c r="B17" s="156">
        <v>46219</v>
      </c>
      <c r="C17" s="2" t="s">
        <v>7498</v>
      </c>
      <c r="D17" s="2"/>
      <c r="E17" s="2">
        <v>90</v>
      </c>
      <c r="F17" s="2">
        <f t="shared" si="0"/>
        <v>9</v>
      </c>
      <c r="G17" s="2" t="s">
        <v>7581</v>
      </c>
    </row>
    <row r="18" spans="2:7" x14ac:dyDescent="0.25">
      <c r="B18" s="156">
        <v>46220</v>
      </c>
      <c r="C18" s="2" t="s">
        <v>7499</v>
      </c>
      <c r="D18" s="2" t="s">
        <v>7500</v>
      </c>
      <c r="E18" s="2">
        <v>93</v>
      </c>
      <c r="F18" s="2">
        <f t="shared" si="0"/>
        <v>3</v>
      </c>
      <c r="G18" s="2" t="s">
        <v>7581</v>
      </c>
    </row>
    <row r="19" spans="2:7" x14ac:dyDescent="0.25">
      <c r="B19" s="156">
        <v>46221</v>
      </c>
      <c r="C19" s="2" t="s">
        <v>7579</v>
      </c>
      <c r="D19" s="2" t="s">
        <v>7582</v>
      </c>
      <c r="E19" s="2">
        <v>95</v>
      </c>
      <c r="F19" s="2">
        <f t="shared" si="0"/>
        <v>2</v>
      </c>
      <c r="G19" s="2" t="s">
        <v>7581</v>
      </c>
    </row>
    <row r="20" spans="2:7" x14ac:dyDescent="0.25">
      <c r="B20" s="156">
        <v>46222</v>
      </c>
      <c r="C20" s="2" t="s">
        <v>7580</v>
      </c>
      <c r="D20" s="2" t="s">
        <v>7582</v>
      </c>
      <c r="E20" s="2">
        <v>102</v>
      </c>
      <c r="F20" s="2">
        <f t="shared" si="0"/>
        <v>7</v>
      </c>
      <c r="G20" s="2" t="s">
        <v>7581</v>
      </c>
    </row>
    <row r="21" spans="2:7" x14ac:dyDescent="0.25">
      <c r="B21" s="156">
        <v>46223</v>
      </c>
      <c r="C21" s="2" t="s">
        <v>7598</v>
      </c>
      <c r="D21" s="2" t="s">
        <v>7599</v>
      </c>
      <c r="E21" s="2">
        <v>110</v>
      </c>
      <c r="F21" s="2">
        <f t="shared" si="0"/>
        <v>8</v>
      </c>
      <c r="G21" s="2"/>
    </row>
    <row r="22" spans="2:7" x14ac:dyDescent="0.25">
      <c r="B22" s="156">
        <v>46224</v>
      </c>
      <c r="C22" s="2" t="s">
        <v>7605</v>
      </c>
      <c r="D22" s="2" t="s">
        <v>7599</v>
      </c>
      <c r="E22" s="2">
        <v>115</v>
      </c>
      <c r="F22" s="2">
        <f t="shared" si="0"/>
        <v>5</v>
      </c>
      <c r="G22" s="2"/>
    </row>
    <row r="23" spans="2:7" x14ac:dyDescent="0.25">
      <c r="B23" s="156">
        <v>46225</v>
      </c>
      <c r="C23" s="2" t="s">
        <v>7608</v>
      </c>
      <c r="D23" s="2" t="s">
        <v>7609</v>
      </c>
      <c r="E23" s="2">
        <v>121</v>
      </c>
      <c r="F23" s="2">
        <f t="shared" si="0"/>
        <v>6</v>
      </c>
      <c r="G23" s="2"/>
    </row>
    <row r="24" spans="2:7" x14ac:dyDescent="0.25">
      <c r="B24" s="156">
        <v>46226</v>
      </c>
      <c r="C24" s="2" t="s">
        <v>7617</v>
      </c>
      <c r="D24" s="2" t="s">
        <v>7609</v>
      </c>
      <c r="E24" s="2">
        <v>128</v>
      </c>
      <c r="F24" s="2">
        <f t="shared" si="0"/>
        <v>7</v>
      </c>
      <c r="G24" s="2"/>
    </row>
    <row r="25" spans="2:7" x14ac:dyDescent="0.25">
      <c r="B25" s="156">
        <v>46227</v>
      </c>
      <c r="C25" s="2" t="s">
        <v>7623</v>
      </c>
      <c r="D25" s="2" t="s">
        <v>7624</v>
      </c>
      <c r="E25" s="2">
        <v>134</v>
      </c>
      <c r="F25" s="2">
        <f t="shared" si="0"/>
        <v>6</v>
      </c>
      <c r="G25" s="2"/>
    </row>
    <row r="26" spans="2:7" x14ac:dyDescent="0.25">
      <c r="B26" s="156">
        <v>46228</v>
      </c>
      <c r="C26" s="2" t="s">
        <v>7636</v>
      </c>
      <c r="D26" s="2" t="s">
        <v>7637</v>
      </c>
      <c r="E26" s="2">
        <v>140</v>
      </c>
      <c r="F26" s="2">
        <f t="shared" si="0"/>
        <v>6</v>
      </c>
      <c r="G26" s="2"/>
    </row>
    <row r="27" spans="2:7" x14ac:dyDescent="0.25">
      <c r="B27" s="156">
        <v>46229</v>
      </c>
      <c r="C27" s="2" t="s">
        <v>480</v>
      </c>
      <c r="D27" s="2"/>
      <c r="E27" s="2"/>
      <c r="F27" s="2">
        <f t="shared" si="0"/>
        <v>-140</v>
      </c>
      <c r="G27" s="2"/>
    </row>
    <row r="28" spans="2:7" x14ac:dyDescent="0.25">
      <c r="B28" s="156">
        <v>46230</v>
      </c>
      <c r="C28" s="2" t="s">
        <v>7638</v>
      </c>
      <c r="D28" s="2" t="s">
        <v>7624</v>
      </c>
      <c r="E28" s="2">
        <v>83</v>
      </c>
      <c r="F28" s="2">
        <f t="shared" si="0"/>
        <v>83</v>
      </c>
      <c r="G28" s="2"/>
    </row>
    <row r="29" spans="2:7" x14ac:dyDescent="0.25">
      <c r="B29" s="156">
        <v>46231</v>
      </c>
      <c r="C29" s="2" t="s">
        <v>7646</v>
      </c>
      <c r="D29" s="2" t="s">
        <v>7645</v>
      </c>
      <c r="E29" s="2"/>
      <c r="F29" s="2">
        <f t="shared" si="0"/>
        <v>-83</v>
      </c>
      <c r="G29" s="2"/>
    </row>
    <row r="30" spans="2:7" x14ac:dyDescent="0.25">
      <c r="B30" s="156">
        <v>46232</v>
      </c>
      <c r="C30" s="2" t="s">
        <v>7256</v>
      </c>
      <c r="D30" s="2"/>
      <c r="E30" s="2"/>
      <c r="F30" s="2">
        <f t="shared" si="0"/>
        <v>0</v>
      </c>
      <c r="G30" s="2"/>
    </row>
    <row r="31" spans="2:7" x14ac:dyDescent="0.25">
      <c r="B31" s="156">
        <v>46233</v>
      </c>
      <c r="C31" s="2" t="s">
        <v>7647</v>
      </c>
      <c r="D31" s="2"/>
      <c r="E31" s="2"/>
      <c r="F31" s="2">
        <f t="shared" si="0"/>
        <v>0</v>
      </c>
      <c r="G31" s="2"/>
    </row>
    <row r="32" spans="2:7" x14ac:dyDescent="0.25">
      <c r="B32" s="156">
        <v>46234</v>
      </c>
      <c r="C32" s="2" t="s">
        <v>1166</v>
      </c>
      <c r="D32" s="2"/>
      <c r="E32" s="2"/>
      <c r="F32" s="2">
        <f t="shared" si="0"/>
        <v>0</v>
      </c>
      <c r="G32" s="2"/>
    </row>
    <row r="33" spans="2:7" x14ac:dyDescent="0.25">
      <c r="B33" s="156">
        <v>46235</v>
      </c>
      <c r="C33" s="2" t="s">
        <v>7664</v>
      </c>
      <c r="D33" s="2"/>
      <c r="E33" s="2"/>
      <c r="F33" s="2">
        <f t="shared" si="0"/>
        <v>0</v>
      </c>
      <c r="G33" s="2"/>
    </row>
    <row r="34" spans="2:7" x14ac:dyDescent="0.25">
      <c r="B34" s="156">
        <v>46236</v>
      </c>
      <c r="C34" s="2" t="s">
        <v>7665</v>
      </c>
      <c r="D34" s="2"/>
      <c r="E34" s="2"/>
      <c r="F34" s="2">
        <f t="shared" si="0"/>
        <v>0</v>
      </c>
      <c r="G34" s="2"/>
    </row>
    <row r="35" spans="2:7" x14ac:dyDescent="0.25">
      <c r="B35" s="156">
        <v>46237</v>
      </c>
      <c r="C35" s="2" t="s">
        <v>7667</v>
      </c>
      <c r="D35" s="2"/>
      <c r="E35" s="2"/>
      <c r="F35" s="2">
        <f t="shared" si="0"/>
        <v>0</v>
      </c>
      <c r="G35" s="2"/>
    </row>
    <row r="36" spans="2:7" x14ac:dyDescent="0.25">
      <c r="B36" s="156">
        <v>46238</v>
      </c>
      <c r="C36" s="2" t="s">
        <v>7668</v>
      </c>
      <c r="D36" s="2"/>
      <c r="E36" s="2"/>
      <c r="F36" s="2">
        <f t="shared" si="0"/>
        <v>0</v>
      </c>
      <c r="G36" s="2"/>
    </row>
    <row r="37" spans="2:7" x14ac:dyDescent="0.25">
      <c r="B37" s="156">
        <v>46239</v>
      </c>
      <c r="C37" s="2" t="s">
        <v>7666</v>
      </c>
      <c r="D37" s="2"/>
      <c r="E37" s="2"/>
      <c r="F37" s="2">
        <f t="shared" si="0"/>
        <v>0</v>
      </c>
      <c r="G37" s="2"/>
    </row>
    <row r="38" spans="2:7" x14ac:dyDescent="0.25">
      <c r="B38" s="156">
        <v>46240</v>
      </c>
      <c r="C38" s="2"/>
      <c r="D38" s="2"/>
      <c r="E38" s="2"/>
      <c r="F38" s="2">
        <f t="shared" si="0"/>
        <v>0</v>
      </c>
      <c r="G38" s="2"/>
    </row>
    <row r="39" spans="2:7" x14ac:dyDescent="0.25">
      <c r="B39" s="156">
        <v>46241</v>
      </c>
      <c r="C39" s="2" t="s">
        <v>7673</v>
      </c>
      <c r="D39" s="2"/>
      <c r="E39" s="2"/>
      <c r="F39" s="2">
        <f t="shared" si="0"/>
        <v>0</v>
      </c>
      <c r="G39" s="2"/>
    </row>
    <row r="40" spans="2:7" x14ac:dyDescent="0.25">
      <c r="B40" s="156">
        <v>46242</v>
      </c>
      <c r="C40" s="2"/>
      <c r="D40" s="2"/>
      <c r="E40" s="2"/>
      <c r="F40" s="2">
        <f t="shared" si="0"/>
        <v>0</v>
      </c>
      <c r="G40" s="2"/>
    </row>
    <row r="41" spans="2:7" x14ac:dyDescent="0.25">
      <c r="B41" s="156">
        <v>46243</v>
      </c>
      <c r="C41" s="2" t="s">
        <v>7684</v>
      </c>
      <c r="D41" s="2"/>
      <c r="E41" s="2"/>
      <c r="F41" s="2">
        <f t="shared" si="0"/>
        <v>0</v>
      </c>
      <c r="G41" s="2"/>
    </row>
    <row r="42" spans="2:7" x14ac:dyDescent="0.25">
      <c r="B42" s="156">
        <v>46244</v>
      </c>
      <c r="C42" s="2" t="s">
        <v>7685</v>
      </c>
      <c r="D42" s="2"/>
      <c r="E42" s="2"/>
      <c r="F42" s="2"/>
      <c r="G42" s="2"/>
    </row>
    <row r="43" spans="2:7" x14ac:dyDescent="0.25">
      <c r="B43" s="156">
        <v>46245</v>
      </c>
      <c r="C43" s="2"/>
      <c r="D43" s="2"/>
      <c r="E43" s="2"/>
      <c r="F43" s="2"/>
      <c r="G43" s="2"/>
    </row>
    <row r="44" spans="2:7" x14ac:dyDescent="0.25">
      <c r="B44" s="156">
        <v>46246</v>
      </c>
      <c r="C44" s="2" t="s">
        <v>7691</v>
      </c>
      <c r="D44" s="2"/>
      <c r="E44" s="2"/>
      <c r="F44" s="2"/>
      <c r="G44" s="2"/>
    </row>
    <row r="45" spans="2:7" x14ac:dyDescent="0.25">
      <c r="B45" s="156">
        <v>46247</v>
      </c>
      <c r="C45" s="2"/>
      <c r="D45" s="2"/>
      <c r="E45" s="2"/>
      <c r="F45" s="2"/>
      <c r="G45" s="2"/>
    </row>
    <row r="46" spans="2:7" x14ac:dyDescent="0.25">
      <c r="B46" s="156">
        <v>46248</v>
      </c>
      <c r="C46" s="2"/>
      <c r="D46" s="2"/>
      <c r="E46" s="2"/>
      <c r="F46" s="2"/>
      <c r="G46" s="2"/>
    </row>
    <row r="47" spans="2:7" x14ac:dyDescent="0.25">
      <c r="B47" s="156">
        <v>46249</v>
      </c>
      <c r="C47" s="2"/>
      <c r="D47" s="2"/>
      <c r="E47" s="2"/>
      <c r="F47" s="2"/>
      <c r="G47" s="2"/>
    </row>
    <row r="48" spans="2:7" x14ac:dyDescent="0.25">
      <c r="B48" s="156">
        <v>46250</v>
      </c>
      <c r="C48" s="2"/>
      <c r="D48" s="2"/>
      <c r="E48" s="2"/>
      <c r="F48" s="2"/>
      <c r="G48" s="2"/>
    </row>
    <row r="49" spans="2:7" x14ac:dyDescent="0.25">
      <c r="B49" s="156">
        <v>46251</v>
      </c>
      <c r="C49" s="2"/>
      <c r="D49" s="2"/>
      <c r="E49" s="2"/>
      <c r="F49" s="2"/>
      <c r="G49" s="2"/>
    </row>
    <row r="50" spans="2:7" x14ac:dyDescent="0.25">
      <c r="B50" s="156">
        <v>46252</v>
      </c>
      <c r="C50" s="2"/>
      <c r="D50" s="2"/>
      <c r="E50" s="2"/>
      <c r="F50" s="2"/>
      <c r="G50" s="2"/>
    </row>
    <row r="51" spans="2:7" x14ac:dyDescent="0.25">
      <c r="B51" s="156">
        <v>46253</v>
      </c>
      <c r="C51" s="2"/>
      <c r="D51" s="2"/>
      <c r="E51" s="2"/>
      <c r="F51" s="2"/>
      <c r="G51" s="2"/>
    </row>
    <row r="52" spans="2:7" x14ac:dyDescent="0.25">
      <c r="B52" s="156">
        <v>46254</v>
      </c>
      <c r="C52" s="2"/>
      <c r="D52" s="2"/>
      <c r="E52" s="2"/>
      <c r="F52" s="2"/>
      <c r="G52" s="2"/>
    </row>
    <row r="53" spans="2:7" x14ac:dyDescent="0.25">
      <c r="B53" s="156">
        <v>46255</v>
      </c>
      <c r="C53" s="2"/>
      <c r="D53" s="2"/>
      <c r="E53" s="2"/>
      <c r="F53" s="2"/>
      <c r="G53" s="2"/>
    </row>
    <row r="54" spans="2:7" x14ac:dyDescent="0.25">
      <c r="B54" s="156">
        <v>46256</v>
      </c>
      <c r="C54" s="2" t="s">
        <v>7722</v>
      </c>
      <c r="D54" s="2"/>
      <c r="E54" s="2"/>
      <c r="F54" s="2"/>
      <c r="G54" s="2"/>
    </row>
    <row r="55" spans="2:7" x14ac:dyDescent="0.25">
      <c r="B55" s="156">
        <v>46257</v>
      </c>
      <c r="C55" s="2" t="s">
        <v>7730</v>
      </c>
      <c r="D55" s="2" t="s">
        <v>7731</v>
      </c>
      <c r="E55" s="2"/>
      <c r="F55" s="2"/>
      <c r="G55" s="2"/>
    </row>
    <row r="56" spans="2:7" x14ac:dyDescent="0.25">
      <c r="B56" s="156">
        <v>46258</v>
      </c>
      <c r="C56" s="2" t="s">
        <v>7733</v>
      </c>
      <c r="D56" s="2"/>
      <c r="E56" s="2"/>
      <c r="F56" s="2"/>
      <c r="G56" s="2"/>
    </row>
    <row r="57" spans="2:7" x14ac:dyDescent="0.25">
      <c r="B57" s="156">
        <v>46259</v>
      </c>
      <c r="C57" s="2"/>
      <c r="D57" s="2"/>
      <c r="E57" s="2"/>
      <c r="F57" s="2"/>
      <c r="G57" s="2"/>
    </row>
    <row r="58" spans="2:7" x14ac:dyDescent="0.25">
      <c r="B58" s="156">
        <v>46260</v>
      </c>
      <c r="C58" s="2" t="s">
        <v>7757</v>
      </c>
      <c r="D58" s="2"/>
      <c r="E58" s="2"/>
      <c r="F58" s="2"/>
      <c r="G58" s="2"/>
    </row>
    <row r="59" spans="2:7" x14ac:dyDescent="0.25">
      <c r="B59" s="156">
        <v>46261</v>
      </c>
      <c r="C59" s="2" t="s">
        <v>480</v>
      </c>
      <c r="D59" s="2"/>
      <c r="E59" s="2"/>
      <c r="F59" s="2"/>
      <c r="G59" s="2"/>
    </row>
    <row r="60" spans="2:7" x14ac:dyDescent="0.25">
      <c r="B60" s="156">
        <v>46262</v>
      </c>
      <c r="C60" s="2" t="s">
        <v>480</v>
      </c>
      <c r="D60" s="2"/>
      <c r="E60" s="2"/>
      <c r="F60" s="2"/>
      <c r="G60" s="2"/>
    </row>
    <row r="61" spans="2:7" x14ac:dyDescent="0.25">
      <c r="B61" s="156">
        <v>46263</v>
      </c>
      <c r="C61" s="2" t="s">
        <v>480</v>
      </c>
      <c r="D61" s="2"/>
      <c r="E61" s="2"/>
      <c r="F61" s="2"/>
      <c r="G61" s="2"/>
    </row>
    <row r="62" spans="2:7" x14ac:dyDescent="0.25">
      <c r="B62" s="156">
        <v>46264</v>
      </c>
      <c r="C62" s="2" t="s">
        <v>7758</v>
      </c>
      <c r="D62" s="2"/>
      <c r="E62" s="2"/>
      <c r="F62" s="2"/>
      <c r="G62" s="2"/>
    </row>
    <row r="63" spans="2:7" x14ac:dyDescent="0.25">
      <c r="B63" s="156">
        <v>46265</v>
      </c>
      <c r="C63" s="2" t="s">
        <v>7759</v>
      </c>
      <c r="D63" s="2"/>
      <c r="E63" s="2"/>
      <c r="F63" s="2"/>
      <c r="G63" s="2"/>
    </row>
    <row r="64" spans="2:7" x14ac:dyDescent="0.25">
      <c r="B64" s="156">
        <v>46266</v>
      </c>
      <c r="C64" s="2" t="s">
        <v>135</v>
      </c>
      <c r="D64" s="2"/>
      <c r="E64" s="2"/>
      <c r="F64" s="2"/>
      <c r="G64" s="2"/>
    </row>
    <row r="65" spans="2:7" x14ac:dyDescent="0.25">
      <c r="B65" s="156">
        <v>46267</v>
      </c>
      <c r="C65" s="2" t="s">
        <v>7767</v>
      </c>
      <c r="D65" s="2"/>
      <c r="E65" s="2"/>
      <c r="F65" s="2"/>
      <c r="G65" s="2"/>
    </row>
    <row r="66" spans="2:7" x14ac:dyDescent="0.25">
      <c r="B66" s="156">
        <v>46268</v>
      </c>
      <c r="C66" s="2" t="s">
        <v>7775</v>
      </c>
      <c r="D66" s="2"/>
      <c r="E66" s="2"/>
      <c r="F66" s="2"/>
      <c r="G66" s="2"/>
    </row>
    <row r="67" spans="2:7" x14ac:dyDescent="0.25">
      <c r="B67" s="156">
        <v>46269</v>
      </c>
      <c r="C67" s="2" t="s">
        <v>7774</v>
      </c>
      <c r="D67" s="2"/>
      <c r="E67" s="2"/>
      <c r="F67" s="2"/>
      <c r="G67" s="2"/>
    </row>
    <row r="68" spans="2:7" x14ac:dyDescent="0.25">
      <c r="B68" s="156">
        <v>46270</v>
      </c>
      <c r="C68" s="2" t="s">
        <v>7785</v>
      </c>
      <c r="D68" s="2"/>
      <c r="E68" s="2"/>
      <c r="F68" s="2"/>
      <c r="G68" s="2"/>
    </row>
    <row r="69" spans="2:7" x14ac:dyDescent="0.25">
      <c r="B69" s="156">
        <v>46271</v>
      </c>
      <c r="C69" s="2" t="s">
        <v>7784</v>
      </c>
      <c r="D69" s="2"/>
      <c r="E69" s="2"/>
      <c r="F69" s="2"/>
      <c r="G69" s="2"/>
    </row>
    <row r="70" spans="2:7" x14ac:dyDescent="0.25">
      <c r="B70" s="156">
        <v>46272</v>
      </c>
      <c r="C70" s="2"/>
      <c r="D70" s="2"/>
      <c r="E70" s="2"/>
      <c r="F70" s="2"/>
      <c r="G70" s="2"/>
    </row>
    <row r="71" spans="2:7" x14ac:dyDescent="0.25">
      <c r="B71" s="156">
        <v>46273</v>
      </c>
      <c r="C71" s="2"/>
      <c r="D71" s="2"/>
      <c r="E71" s="2"/>
      <c r="F71" s="2"/>
      <c r="G71" s="2"/>
    </row>
    <row r="72" spans="2:7" x14ac:dyDescent="0.25">
      <c r="B72" s="156">
        <v>46274</v>
      </c>
      <c r="C72" s="2"/>
      <c r="D72" s="2"/>
      <c r="E72" s="2"/>
      <c r="F72" s="2"/>
      <c r="G72" s="2"/>
    </row>
    <row r="73" spans="2:7" x14ac:dyDescent="0.25">
      <c r="B73" s="156">
        <v>46275</v>
      </c>
      <c r="C73" s="2"/>
      <c r="D73" s="2"/>
      <c r="E73" s="2"/>
      <c r="F73" s="2"/>
      <c r="G73" s="2"/>
    </row>
    <row r="74" spans="2:7" x14ac:dyDescent="0.25">
      <c r="B74" s="156">
        <v>46276</v>
      </c>
      <c r="C74" s="2"/>
      <c r="D74" s="2"/>
      <c r="E74" s="2"/>
      <c r="F74" s="2"/>
      <c r="G74" s="2"/>
    </row>
    <row r="75" spans="2:7" x14ac:dyDescent="0.25">
      <c r="B75" s="156">
        <v>46277</v>
      </c>
      <c r="C75" s="2"/>
      <c r="D75" s="2"/>
      <c r="E75" s="2"/>
      <c r="F75" s="2"/>
      <c r="G75" s="2"/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8D551-A741-4AFF-B475-FC5FA9CE98ED}">
  <dimension ref="B2:G95"/>
  <sheetViews>
    <sheetView topLeftCell="A90" workbookViewId="0">
      <selection activeCell="C82" sqref="C82"/>
    </sheetView>
  </sheetViews>
  <sheetFormatPr defaultRowHeight="15" x14ac:dyDescent="0.25"/>
  <cols>
    <col min="2" max="2" width="18" bestFit="1" customWidth="1"/>
    <col min="3" max="3" width="72" bestFit="1" customWidth="1"/>
    <col min="4" max="4" width="42.140625" bestFit="1" customWidth="1"/>
  </cols>
  <sheetData>
    <row r="2" spans="2:7" x14ac:dyDescent="0.25">
      <c r="B2" s="53" t="s">
        <v>8081</v>
      </c>
    </row>
    <row r="3" spans="2:7" ht="15.75" x14ac:dyDescent="0.25">
      <c r="B3" s="10" t="s">
        <v>0</v>
      </c>
      <c r="C3" s="11" t="s">
        <v>1</v>
      </c>
      <c r="D3" s="11" t="s">
        <v>2</v>
      </c>
      <c r="E3" s="11" t="s">
        <v>934</v>
      </c>
      <c r="F3" s="11" t="s">
        <v>1095</v>
      </c>
      <c r="G3" s="11" t="s">
        <v>1507</v>
      </c>
    </row>
    <row r="4" spans="2:7" x14ac:dyDescent="0.25">
      <c r="B4" s="156">
        <v>46206</v>
      </c>
      <c r="C4" s="2" t="s">
        <v>7358</v>
      </c>
      <c r="D4" s="2"/>
      <c r="E4" s="2"/>
      <c r="F4" s="2">
        <v>0</v>
      </c>
      <c r="G4" s="2"/>
    </row>
    <row r="5" spans="2:7" x14ac:dyDescent="0.25">
      <c r="B5" s="156">
        <v>46207</v>
      </c>
      <c r="C5" s="2" t="s">
        <v>7359</v>
      </c>
      <c r="D5" s="2"/>
      <c r="E5" s="2"/>
      <c r="F5" s="2">
        <f t="shared" ref="F5:F67" si="0">E5-E4</f>
        <v>0</v>
      </c>
      <c r="G5" s="2"/>
    </row>
    <row r="6" spans="2:7" x14ac:dyDescent="0.25">
      <c r="B6" s="156">
        <v>46208</v>
      </c>
      <c r="C6" s="2" t="s">
        <v>7359</v>
      </c>
      <c r="D6" s="2"/>
      <c r="E6" s="2"/>
      <c r="F6" s="2">
        <f t="shared" si="0"/>
        <v>0</v>
      </c>
      <c r="G6" s="2"/>
    </row>
    <row r="7" spans="2:7" x14ac:dyDescent="0.25">
      <c r="B7" s="156">
        <v>46209</v>
      </c>
      <c r="C7" s="2" t="s">
        <v>7359</v>
      </c>
      <c r="D7" s="2"/>
      <c r="E7" s="2"/>
      <c r="F7" s="2">
        <f t="shared" si="0"/>
        <v>0</v>
      </c>
      <c r="G7" s="2"/>
    </row>
    <row r="8" spans="2:7" x14ac:dyDescent="0.25">
      <c r="B8" s="156">
        <v>46210</v>
      </c>
      <c r="C8" s="2" t="s">
        <v>7360</v>
      </c>
      <c r="D8" s="2"/>
      <c r="E8" s="2"/>
      <c r="F8" s="2">
        <f t="shared" si="0"/>
        <v>0</v>
      </c>
      <c r="G8" s="2"/>
    </row>
    <row r="9" spans="2:7" x14ac:dyDescent="0.25">
      <c r="B9" s="156">
        <v>46211</v>
      </c>
      <c r="C9" s="2" t="s">
        <v>7361</v>
      </c>
      <c r="D9" s="2"/>
      <c r="E9" s="2"/>
      <c r="F9" s="2">
        <f t="shared" si="0"/>
        <v>0</v>
      </c>
      <c r="G9" s="2"/>
    </row>
    <row r="10" spans="2:7" x14ac:dyDescent="0.25">
      <c r="B10" s="156">
        <v>46212</v>
      </c>
      <c r="C10" s="2" t="s">
        <v>7495</v>
      </c>
      <c r="D10" s="2"/>
      <c r="E10" s="2"/>
      <c r="F10" s="2">
        <f t="shared" si="0"/>
        <v>0</v>
      </c>
      <c r="G10" s="2"/>
    </row>
    <row r="11" spans="2:7" x14ac:dyDescent="0.25">
      <c r="B11" s="156">
        <v>46213</v>
      </c>
      <c r="C11" s="2" t="s">
        <v>7495</v>
      </c>
      <c r="D11" s="2"/>
      <c r="E11" s="2"/>
      <c r="F11" s="2">
        <f t="shared" si="0"/>
        <v>0</v>
      </c>
      <c r="G11" s="2"/>
    </row>
    <row r="12" spans="2:7" x14ac:dyDescent="0.25">
      <c r="B12" s="156">
        <v>46214</v>
      </c>
      <c r="C12" s="2" t="s">
        <v>7495</v>
      </c>
      <c r="D12" s="2"/>
      <c r="E12" s="2"/>
      <c r="F12" s="2">
        <f t="shared" si="0"/>
        <v>0</v>
      </c>
      <c r="G12" s="2"/>
    </row>
    <row r="13" spans="2:7" x14ac:dyDescent="0.25">
      <c r="B13" s="156">
        <v>46215</v>
      </c>
      <c r="C13" s="2" t="s">
        <v>7495</v>
      </c>
      <c r="D13" s="2"/>
      <c r="E13" s="2"/>
      <c r="F13" s="2">
        <f t="shared" si="0"/>
        <v>0</v>
      </c>
      <c r="G13" s="2"/>
    </row>
    <row r="14" spans="2:7" x14ac:dyDescent="0.25">
      <c r="B14" s="156">
        <v>46216</v>
      </c>
      <c r="C14" s="2" t="s">
        <v>7495</v>
      </c>
      <c r="D14" s="2"/>
      <c r="E14" s="2"/>
      <c r="F14" s="2">
        <f t="shared" si="0"/>
        <v>0</v>
      </c>
      <c r="G14" s="2"/>
    </row>
    <row r="15" spans="2:7" x14ac:dyDescent="0.25">
      <c r="B15" s="156">
        <v>46217</v>
      </c>
      <c r="C15" s="2" t="s">
        <v>7495</v>
      </c>
      <c r="D15" s="2"/>
      <c r="E15" s="2"/>
      <c r="F15" s="2">
        <f t="shared" si="0"/>
        <v>0</v>
      </c>
      <c r="G15" s="2"/>
    </row>
    <row r="16" spans="2:7" x14ac:dyDescent="0.25">
      <c r="B16" s="156">
        <v>46218</v>
      </c>
      <c r="C16" s="2" t="s">
        <v>7495</v>
      </c>
      <c r="D16" s="2" t="s">
        <v>7471</v>
      </c>
      <c r="E16" s="2"/>
      <c r="F16" s="2">
        <f t="shared" si="0"/>
        <v>0</v>
      </c>
      <c r="G16" s="2"/>
    </row>
    <row r="17" spans="2:7" x14ac:dyDescent="0.25">
      <c r="B17" s="156">
        <v>46219</v>
      </c>
      <c r="C17" s="2" t="s">
        <v>7495</v>
      </c>
      <c r="D17" s="2"/>
      <c r="E17" s="2"/>
      <c r="F17" s="2">
        <f t="shared" si="0"/>
        <v>0</v>
      </c>
      <c r="G17" s="2"/>
    </row>
    <row r="18" spans="2:7" x14ac:dyDescent="0.25">
      <c r="B18" s="156">
        <v>46220</v>
      </c>
      <c r="C18" s="2" t="s">
        <v>7495</v>
      </c>
      <c r="D18" s="2"/>
      <c r="E18" s="2"/>
      <c r="F18" s="2">
        <f t="shared" si="0"/>
        <v>0</v>
      </c>
      <c r="G18" s="2"/>
    </row>
    <row r="19" spans="2:7" x14ac:dyDescent="0.25">
      <c r="B19" s="156">
        <v>46221</v>
      </c>
      <c r="C19" s="2" t="s">
        <v>7495</v>
      </c>
      <c r="D19" s="2"/>
      <c r="E19" s="2"/>
      <c r="F19" s="2">
        <f t="shared" si="0"/>
        <v>0</v>
      </c>
      <c r="G19" s="2"/>
    </row>
    <row r="20" spans="2:7" x14ac:dyDescent="0.25">
      <c r="B20" s="156">
        <v>46222</v>
      </c>
      <c r="C20" s="2" t="s">
        <v>7495</v>
      </c>
      <c r="D20" s="2"/>
      <c r="E20" s="2"/>
      <c r="F20" s="2">
        <f t="shared" si="0"/>
        <v>0</v>
      </c>
      <c r="G20" s="2"/>
    </row>
    <row r="21" spans="2:7" x14ac:dyDescent="0.25">
      <c r="B21" s="156">
        <v>46223</v>
      </c>
      <c r="C21" s="2" t="s">
        <v>7495</v>
      </c>
      <c r="D21" s="2"/>
      <c r="E21" s="2"/>
      <c r="F21" s="2">
        <f t="shared" si="0"/>
        <v>0</v>
      </c>
      <c r="G21" s="2"/>
    </row>
    <row r="22" spans="2:7" x14ac:dyDescent="0.25">
      <c r="B22" s="156">
        <v>46224</v>
      </c>
      <c r="C22" s="2" t="s">
        <v>7495</v>
      </c>
      <c r="D22" s="2"/>
      <c r="E22" s="2"/>
      <c r="F22" s="2">
        <f t="shared" si="0"/>
        <v>0</v>
      </c>
      <c r="G22" s="2"/>
    </row>
    <row r="23" spans="2:7" x14ac:dyDescent="0.25">
      <c r="B23" s="156">
        <v>46225</v>
      </c>
      <c r="C23" s="2" t="s">
        <v>7495</v>
      </c>
      <c r="D23" s="2"/>
      <c r="E23" s="2"/>
      <c r="F23" s="2">
        <f t="shared" si="0"/>
        <v>0</v>
      </c>
      <c r="G23" s="2"/>
    </row>
    <row r="24" spans="2:7" x14ac:dyDescent="0.25">
      <c r="B24" s="156">
        <v>46226</v>
      </c>
      <c r="C24" s="2" t="s">
        <v>7470</v>
      </c>
      <c r="D24" s="2" t="s">
        <v>524</v>
      </c>
      <c r="E24" s="2"/>
      <c r="F24" s="2">
        <f t="shared" si="0"/>
        <v>0</v>
      </c>
      <c r="G24" s="2"/>
    </row>
    <row r="25" spans="2:7" x14ac:dyDescent="0.25">
      <c r="B25" s="156">
        <v>46227</v>
      </c>
      <c r="C25" s="2" t="s">
        <v>7470</v>
      </c>
      <c r="D25" s="2"/>
      <c r="E25" s="2"/>
      <c r="F25" s="2">
        <f t="shared" si="0"/>
        <v>0</v>
      </c>
      <c r="G25" s="2"/>
    </row>
    <row r="26" spans="2:7" x14ac:dyDescent="0.25">
      <c r="B26" s="156">
        <v>46228</v>
      </c>
      <c r="C26" s="2" t="s">
        <v>7470</v>
      </c>
      <c r="D26" s="2"/>
      <c r="E26" s="2"/>
      <c r="F26" s="2">
        <f t="shared" si="0"/>
        <v>0</v>
      </c>
      <c r="G26" s="2"/>
    </row>
    <row r="27" spans="2:7" x14ac:dyDescent="0.25">
      <c r="B27" s="156">
        <v>46229</v>
      </c>
      <c r="C27" s="2" t="s">
        <v>7470</v>
      </c>
      <c r="D27" s="2"/>
      <c r="E27" s="2"/>
      <c r="F27" s="2">
        <f t="shared" si="0"/>
        <v>0</v>
      </c>
      <c r="G27" s="2"/>
    </row>
    <row r="28" spans="2:7" x14ac:dyDescent="0.25">
      <c r="B28" s="156">
        <v>46230</v>
      </c>
      <c r="C28" s="2" t="s">
        <v>7470</v>
      </c>
      <c r="D28" s="2"/>
      <c r="E28" s="2"/>
      <c r="F28" s="2">
        <f t="shared" si="0"/>
        <v>0</v>
      </c>
      <c r="G28" s="2"/>
    </row>
    <row r="29" spans="2:7" x14ac:dyDescent="0.25">
      <c r="B29" s="156">
        <v>46231</v>
      </c>
      <c r="C29" s="2" t="s">
        <v>7656</v>
      </c>
      <c r="D29" s="2"/>
      <c r="E29" s="2"/>
      <c r="F29" s="2">
        <f t="shared" si="0"/>
        <v>0</v>
      </c>
      <c r="G29" s="2"/>
    </row>
    <row r="30" spans="2:7" x14ac:dyDescent="0.25">
      <c r="B30" s="156">
        <v>46232</v>
      </c>
      <c r="C30" s="2" t="s">
        <v>7656</v>
      </c>
      <c r="D30" s="2"/>
      <c r="E30" s="2"/>
      <c r="F30" s="2">
        <f t="shared" si="0"/>
        <v>0</v>
      </c>
      <c r="G30" s="2"/>
    </row>
    <row r="31" spans="2:7" x14ac:dyDescent="0.25">
      <c r="B31" s="156">
        <v>46233</v>
      </c>
      <c r="C31" s="2" t="s">
        <v>7656</v>
      </c>
      <c r="D31" s="2"/>
      <c r="E31" s="2"/>
      <c r="F31" s="2">
        <f t="shared" si="0"/>
        <v>0</v>
      </c>
      <c r="G31" s="2"/>
    </row>
    <row r="32" spans="2:7" x14ac:dyDescent="0.25">
      <c r="B32" s="156">
        <v>46234</v>
      </c>
      <c r="C32" s="2" t="s">
        <v>7656</v>
      </c>
      <c r="D32" s="2"/>
      <c r="E32" s="2"/>
      <c r="F32" s="2">
        <f t="shared" si="0"/>
        <v>0</v>
      </c>
      <c r="G32" s="2"/>
    </row>
    <row r="33" spans="2:7" x14ac:dyDescent="0.25">
      <c r="B33" s="156">
        <v>46235</v>
      </c>
      <c r="C33" s="2" t="s">
        <v>7656</v>
      </c>
      <c r="D33" s="2"/>
      <c r="E33" s="2"/>
      <c r="F33" s="2">
        <f t="shared" si="0"/>
        <v>0</v>
      </c>
      <c r="G33" s="2"/>
    </row>
    <row r="34" spans="2:7" x14ac:dyDescent="0.25">
      <c r="B34" s="156">
        <v>46236</v>
      </c>
      <c r="C34" s="2" t="s">
        <v>7656</v>
      </c>
      <c r="D34" s="2"/>
      <c r="E34" s="2"/>
      <c r="F34" s="2">
        <f t="shared" si="0"/>
        <v>0</v>
      </c>
      <c r="G34" s="2"/>
    </row>
    <row r="35" spans="2:7" x14ac:dyDescent="0.25">
      <c r="B35" s="156">
        <v>46237</v>
      </c>
      <c r="C35" s="2" t="s">
        <v>7656</v>
      </c>
      <c r="D35" s="2"/>
      <c r="E35" s="2"/>
      <c r="F35" s="2">
        <f t="shared" si="0"/>
        <v>0</v>
      </c>
      <c r="G35" s="2"/>
    </row>
    <row r="36" spans="2:7" x14ac:dyDescent="0.25">
      <c r="B36" s="156">
        <v>46238</v>
      </c>
      <c r="C36" s="2" t="s">
        <v>7656</v>
      </c>
      <c r="D36" s="2"/>
      <c r="E36" s="2"/>
      <c r="F36" s="2">
        <f t="shared" si="0"/>
        <v>0</v>
      </c>
      <c r="G36" s="2"/>
    </row>
    <row r="37" spans="2:7" x14ac:dyDescent="0.25">
      <c r="B37" s="156">
        <v>46239</v>
      </c>
      <c r="C37" s="2" t="s">
        <v>7656</v>
      </c>
      <c r="D37" s="2"/>
      <c r="E37" s="2"/>
      <c r="F37" s="2">
        <f t="shared" si="0"/>
        <v>0</v>
      </c>
      <c r="G37" s="2"/>
    </row>
    <row r="38" spans="2:7" x14ac:dyDescent="0.25">
      <c r="B38" s="156">
        <v>46240</v>
      </c>
      <c r="C38" s="2" t="s">
        <v>7656</v>
      </c>
      <c r="D38" s="2"/>
      <c r="E38" s="2"/>
      <c r="F38" s="2">
        <f t="shared" si="0"/>
        <v>0</v>
      </c>
      <c r="G38" s="2"/>
    </row>
    <row r="39" spans="2:7" x14ac:dyDescent="0.25">
      <c r="B39" s="156">
        <v>46241</v>
      </c>
      <c r="C39" s="2" t="s">
        <v>7358</v>
      </c>
      <c r="D39" s="2"/>
      <c r="E39" s="2"/>
      <c r="F39" s="2">
        <f t="shared" si="0"/>
        <v>0</v>
      </c>
      <c r="G39" s="2"/>
    </row>
    <row r="40" spans="2:7" x14ac:dyDescent="0.25">
      <c r="B40" s="156">
        <v>46242</v>
      </c>
      <c r="C40" s="2" t="s">
        <v>7674</v>
      </c>
      <c r="D40" s="2"/>
      <c r="E40" s="2"/>
      <c r="F40" s="2">
        <f t="shared" si="0"/>
        <v>0</v>
      </c>
      <c r="G40" s="2"/>
    </row>
    <row r="41" spans="2:7" x14ac:dyDescent="0.25">
      <c r="B41" s="156">
        <v>46243</v>
      </c>
      <c r="C41" s="2" t="s">
        <v>7675</v>
      </c>
      <c r="D41" s="2" t="s">
        <v>7676</v>
      </c>
      <c r="E41" s="2"/>
      <c r="F41" s="2">
        <f t="shared" si="0"/>
        <v>0</v>
      </c>
      <c r="G41" s="2"/>
    </row>
    <row r="42" spans="2:7" x14ac:dyDescent="0.25">
      <c r="B42" s="156">
        <v>46244</v>
      </c>
      <c r="C42" s="2" t="s">
        <v>7686</v>
      </c>
      <c r="D42" s="2"/>
      <c r="E42" s="2"/>
      <c r="F42" s="2">
        <f t="shared" si="0"/>
        <v>0</v>
      </c>
      <c r="G42" s="2"/>
    </row>
    <row r="43" spans="2:7" x14ac:dyDescent="0.25">
      <c r="B43" s="156">
        <v>46245</v>
      </c>
      <c r="C43" s="2" t="s">
        <v>7692</v>
      </c>
      <c r="D43" s="2"/>
      <c r="E43" s="2"/>
      <c r="F43" s="2">
        <f t="shared" si="0"/>
        <v>0</v>
      </c>
      <c r="G43" s="2"/>
    </row>
    <row r="44" spans="2:7" x14ac:dyDescent="0.25">
      <c r="B44" s="156">
        <v>46246</v>
      </c>
      <c r="C44" s="2" t="s">
        <v>7693</v>
      </c>
      <c r="D44" s="2"/>
      <c r="E44" s="2">
        <v>15</v>
      </c>
      <c r="F44" s="2">
        <f t="shared" si="0"/>
        <v>15</v>
      </c>
      <c r="G44" s="2"/>
    </row>
    <row r="45" spans="2:7" x14ac:dyDescent="0.25">
      <c r="B45" s="156">
        <v>46247</v>
      </c>
      <c r="C45" s="2" t="s">
        <v>7695</v>
      </c>
      <c r="D45" s="2"/>
      <c r="E45" s="2">
        <v>31</v>
      </c>
      <c r="F45" s="2">
        <f t="shared" si="0"/>
        <v>16</v>
      </c>
      <c r="G45" s="2"/>
    </row>
    <row r="46" spans="2:7" x14ac:dyDescent="0.25">
      <c r="B46" s="156">
        <v>46248</v>
      </c>
      <c r="C46" s="2" t="s">
        <v>7695</v>
      </c>
      <c r="D46" s="2" t="s">
        <v>7696</v>
      </c>
      <c r="E46" s="2">
        <v>31</v>
      </c>
      <c r="F46" s="2">
        <f t="shared" si="0"/>
        <v>0</v>
      </c>
      <c r="G46" s="2"/>
    </row>
    <row r="47" spans="2:7" x14ac:dyDescent="0.25">
      <c r="B47" s="156">
        <v>46249</v>
      </c>
      <c r="C47" s="2" t="s">
        <v>7699</v>
      </c>
      <c r="D47" s="2"/>
      <c r="E47" s="2">
        <v>31</v>
      </c>
      <c r="F47" s="2">
        <f t="shared" si="0"/>
        <v>0</v>
      </c>
      <c r="G47" s="2"/>
    </row>
    <row r="48" spans="2:7" x14ac:dyDescent="0.25">
      <c r="B48" s="156">
        <v>46250</v>
      </c>
      <c r="C48" s="2" t="s">
        <v>7698</v>
      </c>
      <c r="D48" s="2"/>
      <c r="E48" s="2">
        <v>52</v>
      </c>
      <c r="F48" s="2">
        <f t="shared" si="0"/>
        <v>21</v>
      </c>
      <c r="G48" s="2"/>
    </row>
    <row r="49" spans="2:7" x14ac:dyDescent="0.25">
      <c r="B49" s="156">
        <v>46251</v>
      </c>
      <c r="C49" s="2" t="s">
        <v>7697</v>
      </c>
      <c r="D49" s="2"/>
      <c r="E49" s="2">
        <v>62</v>
      </c>
      <c r="F49" s="2">
        <f t="shared" si="0"/>
        <v>10</v>
      </c>
      <c r="G49" s="2"/>
    </row>
    <row r="50" spans="2:7" x14ac:dyDescent="0.25">
      <c r="B50" s="156">
        <v>46252</v>
      </c>
      <c r="C50" s="2" t="s">
        <v>7702</v>
      </c>
      <c r="D50" s="2"/>
      <c r="E50" s="2">
        <v>96</v>
      </c>
      <c r="F50" s="2">
        <f t="shared" si="0"/>
        <v>34</v>
      </c>
      <c r="G50" s="2"/>
    </row>
    <row r="51" spans="2:7" x14ac:dyDescent="0.25">
      <c r="B51" s="156">
        <v>46253</v>
      </c>
      <c r="C51" s="2" t="s">
        <v>7706</v>
      </c>
      <c r="D51" s="2" t="s">
        <v>7707</v>
      </c>
      <c r="E51" s="2">
        <v>113</v>
      </c>
      <c r="F51" s="2">
        <f t="shared" si="0"/>
        <v>17</v>
      </c>
      <c r="G51" s="2"/>
    </row>
    <row r="52" spans="2:7" x14ac:dyDescent="0.25">
      <c r="B52" s="156">
        <v>46254</v>
      </c>
      <c r="C52" s="2" t="s">
        <v>7708</v>
      </c>
      <c r="D52" s="2" t="s">
        <v>7709</v>
      </c>
      <c r="E52" s="2">
        <v>120</v>
      </c>
      <c r="F52" s="2">
        <f t="shared" si="0"/>
        <v>7</v>
      </c>
      <c r="G52" s="2"/>
    </row>
    <row r="53" spans="2:7" x14ac:dyDescent="0.25">
      <c r="B53" s="156">
        <v>46255</v>
      </c>
      <c r="C53" s="2" t="s">
        <v>7712</v>
      </c>
      <c r="D53" s="2"/>
      <c r="E53" s="2"/>
      <c r="F53" s="2">
        <f t="shared" si="0"/>
        <v>-120</v>
      </c>
      <c r="G53" s="2"/>
    </row>
    <row r="54" spans="2:7" x14ac:dyDescent="0.25">
      <c r="B54" s="156">
        <v>46256</v>
      </c>
      <c r="C54" s="2" t="s">
        <v>7719</v>
      </c>
      <c r="D54" s="2" t="s">
        <v>6090</v>
      </c>
      <c r="E54" s="2"/>
      <c r="F54" s="2">
        <f t="shared" si="0"/>
        <v>0</v>
      </c>
      <c r="G54" s="2"/>
    </row>
    <row r="55" spans="2:7" x14ac:dyDescent="0.25">
      <c r="B55" s="156">
        <v>46257</v>
      </c>
      <c r="C55" s="2" t="s">
        <v>7720</v>
      </c>
      <c r="D55" s="2" t="s">
        <v>7721</v>
      </c>
      <c r="E55" s="2"/>
      <c r="F55" s="2">
        <f t="shared" si="0"/>
        <v>0</v>
      </c>
      <c r="G55" s="2"/>
    </row>
    <row r="56" spans="2:7" x14ac:dyDescent="0.25">
      <c r="B56" s="156">
        <v>46258</v>
      </c>
      <c r="C56" s="2" t="s">
        <v>7726</v>
      </c>
      <c r="D56" s="2" t="s">
        <v>7732</v>
      </c>
      <c r="E56" s="2"/>
      <c r="F56" s="2">
        <f t="shared" si="0"/>
        <v>0</v>
      </c>
      <c r="G56" s="2"/>
    </row>
    <row r="57" spans="2:7" x14ac:dyDescent="0.25">
      <c r="B57" s="156">
        <v>46259</v>
      </c>
      <c r="C57" s="2" t="s">
        <v>7739</v>
      </c>
      <c r="D57" s="2"/>
      <c r="E57" s="2"/>
      <c r="F57" s="2">
        <f t="shared" si="0"/>
        <v>0</v>
      </c>
      <c r="G57" s="2"/>
    </row>
    <row r="58" spans="2:7" x14ac:dyDescent="0.25">
      <c r="B58" s="156">
        <v>46260</v>
      </c>
      <c r="C58" s="2" t="s">
        <v>7740</v>
      </c>
      <c r="D58" s="2"/>
      <c r="E58" s="2"/>
      <c r="F58" s="2">
        <f t="shared" si="0"/>
        <v>0</v>
      </c>
      <c r="G58" s="2"/>
    </row>
    <row r="59" spans="2:7" x14ac:dyDescent="0.25">
      <c r="B59" s="156">
        <v>46261</v>
      </c>
      <c r="C59" s="2" t="s">
        <v>7206</v>
      </c>
      <c r="D59" s="2"/>
      <c r="E59" s="2"/>
      <c r="F59" s="2">
        <f t="shared" si="0"/>
        <v>0</v>
      </c>
      <c r="G59" s="2"/>
    </row>
    <row r="60" spans="2:7" x14ac:dyDescent="0.25">
      <c r="B60" s="184" t="s">
        <v>7975</v>
      </c>
      <c r="C60" s="185"/>
      <c r="D60" s="2"/>
      <c r="E60" s="2"/>
      <c r="F60" s="2">
        <f t="shared" si="0"/>
        <v>0</v>
      </c>
      <c r="G60" s="2"/>
    </row>
    <row r="61" spans="2:7" x14ac:dyDescent="0.25">
      <c r="B61" s="156">
        <v>46278</v>
      </c>
      <c r="C61" s="2" t="s">
        <v>7973</v>
      </c>
      <c r="D61" s="2"/>
      <c r="E61" s="2"/>
      <c r="F61" s="2">
        <f t="shared" si="0"/>
        <v>0</v>
      </c>
      <c r="G61" s="2"/>
    </row>
    <row r="62" spans="2:7" x14ac:dyDescent="0.25">
      <c r="B62" s="156">
        <v>46279</v>
      </c>
      <c r="C62" s="2" t="s">
        <v>7974</v>
      </c>
      <c r="D62" s="2"/>
      <c r="E62" s="2"/>
      <c r="F62" s="2">
        <f t="shared" si="0"/>
        <v>0</v>
      </c>
      <c r="G62" s="2"/>
    </row>
    <row r="63" spans="2:7" x14ac:dyDescent="0.25">
      <c r="B63" s="156">
        <v>46280</v>
      </c>
      <c r="C63" s="2"/>
      <c r="D63" s="2"/>
      <c r="E63" s="2"/>
      <c r="F63" s="2">
        <f t="shared" si="0"/>
        <v>0</v>
      </c>
      <c r="G63" s="2"/>
    </row>
    <row r="64" spans="2:7" x14ac:dyDescent="0.25">
      <c r="B64" s="156">
        <v>46281</v>
      </c>
      <c r="C64" s="2"/>
      <c r="D64" s="2"/>
      <c r="E64" s="2"/>
      <c r="F64" s="2">
        <f t="shared" si="0"/>
        <v>0</v>
      </c>
      <c r="G64" s="2"/>
    </row>
    <row r="65" spans="2:7" x14ac:dyDescent="0.25">
      <c r="B65" s="156">
        <v>46282</v>
      </c>
      <c r="C65" s="2"/>
      <c r="D65" s="2"/>
      <c r="E65" s="2"/>
      <c r="F65" s="2">
        <f t="shared" si="0"/>
        <v>0</v>
      </c>
      <c r="G65" s="2"/>
    </row>
    <row r="66" spans="2:7" x14ac:dyDescent="0.25">
      <c r="B66" s="156">
        <v>46283</v>
      </c>
      <c r="C66" s="2"/>
      <c r="D66" s="2"/>
      <c r="E66" s="2"/>
      <c r="F66" s="2">
        <f t="shared" si="0"/>
        <v>0</v>
      </c>
      <c r="G66" s="2"/>
    </row>
    <row r="67" spans="2:7" x14ac:dyDescent="0.25">
      <c r="B67" s="156">
        <v>46284</v>
      </c>
      <c r="C67" s="2"/>
      <c r="D67" s="2"/>
      <c r="E67" s="2"/>
      <c r="F67" s="2">
        <f t="shared" si="0"/>
        <v>0</v>
      </c>
      <c r="G67" s="2"/>
    </row>
    <row r="68" spans="2:7" x14ac:dyDescent="0.25">
      <c r="B68" s="156">
        <v>46285</v>
      </c>
      <c r="C68" s="2"/>
      <c r="D68" s="2"/>
      <c r="E68" s="2"/>
      <c r="F68" s="2"/>
      <c r="G68" s="2"/>
    </row>
    <row r="69" spans="2:7" x14ac:dyDescent="0.25">
      <c r="B69" s="156">
        <v>46286</v>
      </c>
      <c r="C69" s="2"/>
      <c r="D69" s="2"/>
      <c r="E69" s="2"/>
      <c r="F69" s="2"/>
      <c r="G69" s="2"/>
    </row>
    <row r="70" spans="2:7" x14ac:dyDescent="0.25">
      <c r="B70" s="156">
        <v>46287</v>
      </c>
      <c r="C70" s="2"/>
      <c r="D70" s="2"/>
      <c r="E70" s="2"/>
      <c r="F70" s="2"/>
      <c r="G70" s="2"/>
    </row>
    <row r="71" spans="2:7" ht="30" x14ac:dyDescent="0.25">
      <c r="B71" s="163">
        <v>46288</v>
      </c>
      <c r="C71" s="30" t="s">
        <v>7980</v>
      </c>
      <c r="D71" s="2"/>
      <c r="E71" s="2"/>
      <c r="F71" s="2"/>
      <c r="G71" s="2"/>
    </row>
    <row r="72" spans="2:7" x14ac:dyDescent="0.25">
      <c r="B72" s="173">
        <v>46289</v>
      </c>
      <c r="C72" s="18" t="s">
        <v>7999</v>
      </c>
      <c r="D72" s="18"/>
      <c r="E72" s="18"/>
      <c r="F72" s="18"/>
      <c r="G72" s="18"/>
    </row>
    <row r="73" spans="2:7" x14ac:dyDescent="0.25">
      <c r="B73" s="156">
        <v>46290</v>
      </c>
      <c r="C73" s="2" t="s">
        <v>8011</v>
      </c>
      <c r="D73" s="2"/>
      <c r="E73" s="2"/>
      <c r="F73" s="2"/>
      <c r="G73" s="2"/>
    </row>
    <row r="74" spans="2:7" x14ac:dyDescent="0.25">
      <c r="B74" s="156">
        <v>46291</v>
      </c>
      <c r="C74" s="2"/>
      <c r="D74" s="2"/>
      <c r="E74" s="2"/>
      <c r="F74" s="2"/>
      <c r="G74" s="2"/>
    </row>
    <row r="75" spans="2:7" x14ac:dyDescent="0.25">
      <c r="B75" s="156">
        <v>46292</v>
      </c>
      <c r="C75" s="2"/>
      <c r="D75" s="2"/>
      <c r="E75" s="2"/>
      <c r="F75" s="2"/>
      <c r="G75" s="2"/>
    </row>
    <row r="76" spans="2:7" x14ac:dyDescent="0.25">
      <c r="B76" s="156">
        <v>46293</v>
      </c>
      <c r="C76" s="2" t="s">
        <v>8022</v>
      </c>
      <c r="D76" s="2"/>
      <c r="E76" s="2"/>
      <c r="F76" s="2"/>
      <c r="G76" s="2"/>
    </row>
    <row r="77" spans="2:7" x14ac:dyDescent="0.25">
      <c r="B77" s="156">
        <v>46294</v>
      </c>
      <c r="C77" s="2" t="s">
        <v>8023</v>
      </c>
      <c r="D77" s="2"/>
      <c r="E77" s="2"/>
      <c r="F77" s="2"/>
      <c r="G77" s="2"/>
    </row>
    <row r="78" spans="2:7" x14ac:dyDescent="0.25">
      <c r="B78" s="156">
        <v>46295</v>
      </c>
      <c r="C78" s="2" t="s">
        <v>8024</v>
      </c>
      <c r="D78" s="2"/>
      <c r="E78" s="2"/>
      <c r="F78" s="2"/>
      <c r="G78" s="2"/>
    </row>
    <row r="79" spans="2:7" x14ac:dyDescent="0.25">
      <c r="B79" s="156">
        <v>46296</v>
      </c>
      <c r="C79" s="2" t="s">
        <v>8082</v>
      </c>
      <c r="D79" s="2" t="s">
        <v>8083</v>
      </c>
      <c r="E79" s="2"/>
      <c r="F79" s="2"/>
      <c r="G79" s="2"/>
    </row>
    <row r="80" spans="2:7" x14ac:dyDescent="0.25">
      <c r="B80" s="156">
        <v>46297</v>
      </c>
      <c r="C80" s="2"/>
      <c r="D80" s="2"/>
      <c r="E80" s="2"/>
      <c r="F80" s="2"/>
      <c r="G80" s="2"/>
    </row>
    <row r="81" spans="2:7" x14ac:dyDescent="0.25">
      <c r="B81" s="156">
        <v>46298</v>
      </c>
      <c r="C81" s="2"/>
      <c r="D81" s="2"/>
      <c r="E81" s="2"/>
      <c r="F81" s="2"/>
      <c r="G81" s="2"/>
    </row>
    <row r="82" spans="2:7" x14ac:dyDescent="0.25">
      <c r="B82" s="156">
        <v>46299</v>
      </c>
      <c r="C82" s="2"/>
      <c r="D82" s="2"/>
      <c r="E82" s="2"/>
      <c r="F82" s="2"/>
      <c r="G82" s="2"/>
    </row>
    <row r="83" spans="2:7" x14ac:dyDescent="0.25">
      <c r="B83" s="156">
        <v>46300</v>
      </c>
      <c r="C83" s="2"/>
      <c r="D83" s="2"/>
      <c r="E83" s="2"/>
      <c r="F83" s="2"/>
      <c r="G83" s="2"/>
    </row>
    <row r="84" spans="2:7" x14ac:dyDescent="0.25">
      <c r="B84" s="2"/>
      <c r="C84" s="2"/>
      <c r="D84" s="2"/>
      <c r="E84" s="2"/>
      <c r="F84" s="2"/>
      <c r="G84" s="2"/>
    </row>
    <row r="85" spans="2:7" x14ac:dyDescent="0.25">
      <c r="B85" s="2"/>
      <c r="C85" s="2"/>
      <c r="D85" s="2"/>
      <c r="E85" s="2"/>
      <c r="F85" s="2"/>
      <c r="G85" s="2"/>
    </row>
    <row r="86" spans="2:7" x14ac:dyDescent="0.25">
      <c r="B86" s="2"/>
      <c r="C86" s="2"/>
      <c r="D86" s="2"/>
      <c r="E86" s="2"/>
      <c r="F86" s="2"/>
      <c r="G86" s="2"/>
    </row>
    <row r="87" spans="2:7" x14ac:dyDescent="0.25">
      <c r="B87" s="2"/>
      <c r="C87" s="2"/>
      <c r="D87" s="2"/>
      <c r="E87" s="2"/>
      <c r="F87" s="2"/>
      <c r="G87" s="2"/>
    </row>
    <row r="88" spans="2:7" x14ac:dyDescent="0.25">
      <c r="B88" s="2"/>
      <c r="C88" s="2"/>
      <c r="D88" s="2"/>
      <c r="E88" s="2"/>
      <c r="F88" s="2"/>
      <c r="G88" s="2"/>
    </row>
    <row r="89" spans="2:7" x14ac:dyDescent="0.25">
      <c r="B89" s="2"/>
      <c r="C89" s="2"/>
      <c r="D89" s="2"/>
      <c r="E89" s="2"/>
      <c r="F89" s="2"/>
      <c r="G89" s="2"/>
    </row>
    <row r="90" spans="2:7" x14ac:dyDescent="0.25">
      <c r="B90" s="2"/>
      <c r="C90" s="2"/>
      <c r="D90" s="2"/>
      <c r="E90" s="2"/>
      <c r="F90" s="2"/>
      <c r="G90" s="2"/>
    </row>
    <row r="91" spans="2:7" x14ac:dyDescent="0.25">
      <c r="B91" s="2"/>
      <c r="C91" s="2"/>
      <c r="D91" s="2"/>
      <c r="E91" s="2"/>
      <c r="F91" s="2"/>
      <c r="G91" s="2"/>
    </row>
    <row r="92" spans="2:7" x14ac:dyDescent="0.25">
      <c r="B92" s="2"/>
      <c r="C92" s="2"/>
      <c r="D92" s="2"/>
      <c r="E92" s="2"/>
      <c r="F92" s="2"/>
      <c r="G92" s="2"/>
    </row>
    <row r="93" spans="2:7" x14ac:dyDescent="0.25">
      <c r="B93" s="2"/>
      <c r="C93" s="2"/>
      <c r="D93" s="2"/>
      <c r="E93" s="2"/>
      <c r="F93" s="2"/>
      <c r="G93" s="2"/>
    </row>
    <row r="94" spans="2:7" x14ac:dyDescent="0.25">
      <c r="B94" s="2"/>
      <c r="C94" s="2"/>
      <c r="D94" s="2"/>
      <c r="E94" s="2"/>
      <c r="F94" s="2"/>
      <c r="G94" s="2"/>
    </row>
    <row r="95" spans="2:7" x14ac:dyDescent="0.25">
      <c r="B95" s="2"/>
      <c r="C95" s="2"/>
      <c r="D95" s="2"/>
      <c r="E95" s="2"/>
      <c r="F95" s="2"/>
      <c r="G95" s="2"/>
    </row>
  </sheetData>
  <mergeCells count="1">
    <mergeCell ref="B60:C60"/>
  </mergeCells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2543B-6C04-4CDF-A6C5-A9D022CEAAE5}">
  <dimension ref="B2:G66"/>
  <sheetViews>
    <sheetView topLeftCell="A52" workbookViewId="0">
      <selection activeCell="D58" sqref="D58"/>
    </sheetView>
  </sheetViews>
  <sheetFormatPr defaultRowHeight="15" x14ac:dyDescent="0.25"/>
  <cols>
    <col min="2" max="2" width="18" bestFit="1" customWidth="1"/>
    <col min="3" max="3" width="74.28515625" bestFit="1" customWidth="1"/>
    <col min="4" max="4" width="42.140625" bestFit="1" customWidth="1"/>
  </cols>
  <sheetData>
    <row r="2" spans="2:7" x14ac:dyDescent="0.25">
      <c r="B2" s="53" t="s">
        <v>7357</v>
      </c>
    </row>
    <row r="3" spans="2:7" ht="15.75" x14ac:dyDescent="0.25">
      <c r="B3" s="10" t="s">
        <v>0</v>
      </c>
      <c r="C3" s="11" t="s">
        <v>1</v>
      </c>
      <c r="D3" s="11" t="s">
        <v>2</v>
      </c>
      <c r="E3" s="11" t="s">
        <v>934</v>
      </c>
      <c r="F3" s="11" t="s">
        <v>1095</v>
      </c>
      <c r="G3" s="11" t="s">
        <v>1507</v>
      </c>
    </row>
    <row r="4" spans="2:7" x14ac:dyDescent="0.25">
      <c r="B4" s="156">
        <v>46211</v>
      </c>
      <c r="C4" s="2" t="s">
        <v>7367</v>
      </c>
      <c r="D4" s="2"/>
      <c r="E4" s="2"/>
      <c r="F4" s="2"/>
      <c r="G4" s="2"/>
    </row>
    <row r="5" spans="2:7" x14ac:dyDescent="0.25">
      <c r="B5" s="156">
        <v>46212</v>
      </c>
      <c r="C5" s="2" t="s">
        <v>7382</v>
      </c>
      <c r="D5" s="2"/>
      <c r="E5" s="2"/>
      <c r="F5" s="2">
        <v>0</v>
      </c>
      <c r="G5" s="2"/>
    </row>
    <row r="6" spans="2:7" x14ac:dyDescent="0.25">
      <c r="B6" s="156">
        <v>46213</v>
      </c>
      <c r="C6" s="2" t="s">
        <v>7385</v>
      </c>
      <c r="D6" s="2"/>
      <c r="E6" s="2"/>
      <c r="F6" s="2">
        <f t="shared" ref="F6:F36" si="0">E6-E5</f>
        <v>0</v>
      </c>
      <c r="G6" s="2"/>
    </row>
    <row r="7" spans="2:7" x14ac:dyDescent="0.25">
      <c r="B7" s="156">
        <v>46214</v>
      </c>
      <c r="C7" s="2" t="s">
        <v>7394</v>
      </c>
      <c r="D7" s="2"/>
      <c r="E7" s="2">
        <v>12</v>
      </c>
      <c r="F7" s="2">
        <f t="shared" si="0"/>
        <v>12</v>
      </c>
      <c r="G7" s="2"/>
    </row>
    <row r="8" spans="2:7" x14ac:dyDescent="0.25">
      <c r="B8" s="156">
        <v>46215</v>
      </c>
      <c r="C8" s="2" t="s">
        <v>7395</v>
      </c>
      <c r="D8" s="2" t="s">
        <v>7396</v>
      </c>
      <c r="E8" s="2">
        <v>30</v>
      </c>
      <c r="F8" s="2">
        <f t="shared" si="0"/>
        <v>18</v>
      </c>
      <c r="G8" s="2"/>
    </row>
    <row r="9" spans="2:7" x14ac:dyDescent="0.25">
      <c r="B9" s="156">
        <v>46216</v>
      </c>
      <c r="C9" s="2" t="s">
        <v>7404</v>
      </c>
      <c r="D9" s="2"/>
      <c r="E9" s="2">
        <v>66</v>
      </c>
      <c r="F9" s="2">
        <f t="shared" si="0"/>
        <v>36</v>
      </c>
      <c r="G9" s="2"/>
    </row>
    <row r="10" spans="2:7" x14ac:dyDescent="0.25">
      <c r="B10" s="156">
        <v>46217</v>
      </c>
      <c r="C10" s="2" t="s">
        <v>7409</v>
      </c>
      <c r="D10" s="2" t="s">
        <v>7410</v>
      </c>
      <c r="E10" s="2">
        <v>82</v>
      </c>
      <c r="F10" s="2">
        <f t="shared" si="0"/>
        <v>16</v>
      </c>
      <c r="G10" s="2"/>
    </row>
    <row r="11" spans="2:7" x14ac:dyDescent="0.25">
      <c r="B11" s="156">
        <v>46218</v>
      </c>
      <c r="C11" s="2" t="s">
        <v>7503</v>
      </c>
      <c r="D11" s="2"/>
      <c r="E11" s="2">
        <v>82</v>
      </c>
      <c r="F11" s="2">
        <f t="shared" si="0"/>
        <v>0</v>
      </c>
      <c r="G11" s="2"/>
    </row>
    <row r="12" spans="2:7" x14ac:dyDescent="0.25">
      <c r="B12" s="156">
        <v>46219</v>
      </c>
      <c r="C12" s="2" t="s">
        <v>7472</v>
      </c>
      <c r="D12" s="2"/>
      <c r="E12" s="2">
        <v>82</v>
      </c>
      <c r="F12" s="2">
        <f t="shared" si="0"/>
        <v>0</v>
      </c>
      <c r="G12" s="2"/>
    </row>
    <row r="13" spans="2:7" x14ac:dyDescent="0.25">
      <c r="B13" s="156">
        <v>46220</v>
      </c>
      <c r="C13" s="2" t="s">
        <v>7504</v>
      </c>
      <c r="D13" s="2"/>
      <c r="E13" s="2">
        <v>106</v>
      </c>
      <c r="F13" s="2">
        <f t="shared" si="0"/>
        <v>24</v>
      </c>
      <c r="G13" s="2"/>
    </row>
    <row r="14" spans="2:7" x14ac:dyDescent="0.25">
      <c r="B14" s="156">
        <v>46221</v>
      </c>
      <c r="C14" s="2" t="s">
        <v>7583</v>
      </c>
      <c r="D14" s="2" t="s">
        <v>7584</v>
      </c>
      <c r="E14" s="2">
        <v>118</v>
      </c>
      <c r="F14" s="2">
        <f t="shared" si="0"/>
        <v>12</v>
      </c>
      <c r="G14" s="2"/>
    </row>
    <row r="15" spans="2:7" x14ac:dyDescent="0.25">
      <c r="B15" s="156">
        <v>46222</v>
      </c>
      <c r="C15" s="2" t="s">
        <v>7585</v>
      </c>
      <c r="D15" s="2" t="s">
        <v>7586</v>
      </c>
      <c r="E15" s="2">
        <v>130</v>
      </c>
      <c r="F15" s="2">
        <f t="shared" si="0"/>
        <v>12</v>
      </c>
      <c r="G15" s="2"/>
    </row>
    <row r="16" spans="2:7" x14ac:dyDescent="0.25">
      <c r="B16" s="156">
        <v>46223</v>
      </c>
      <c r="C16" s="2" t="s">
        <v>7600</v>
      </c>
      <c r="D16" s="2" t="s">
        <v>7601</v>
      </c>
      <c r="E16" s="2">
        <v>18.2</v>
      </c>
      <c r="F16" s="2">
        <f t="shared" si="0"/>
        <v>-111.8</v>
      </c>
      <c r="G16" s="2"/>
    </row>
    <row r="17" spans="2:7" x14ac:dyDescent="0.25">
      <c r="B17" s="156">
        <v>46224</v>
      </c>
      <c r="C17" s="2" t="s">
        <v>7606</v>
      </c>
      <c r="D17" s="2"/>
      <c r="E17" s="2">
        <v>30</v>
      </c>
      <c r="F17" s="2">
        <f t="shared" si="0"/>
        <v>11.8</v>
      </c>
      <c r="G17" s="2"/>
    </row>
    <row r="18" spans="2:7" x14ac:dyDescent="0.25">
      <c r="B18" s="156">
        <v>46225</v>
      </c>
      <c r="C18" s="2" t="s">
        <v>7607</v>
      </c>
      <c r="D18" s="2"/>
      <c r="E18" s="2">
        <v>75</v>
      </c>
      <c r="F18" s="2">
        <f t="shared" si="0"/>
        <v>45</v>
      </c>
      <c r="G18" s="2"/>
    </row>
    <row r="19" spans="2:7" x14ac:dyDescent="0.25">
      <c r="B19" s="156">
        <v>46226</v>
      </c>
      <c r="C19" s="2" t="s">
        <v>7618</v>
      </c>
      <c r="D19" s="2"/>
      <c r="E19" s="2">
        <v>106</v>
      </c>
      <c r="F19" s="2">
        <f t="shared" si="0"/>
        <v>31</v>
      </c>
      <c r="G19" s="2"/>
    </row>
    <row r="20" spans="2:7" x14ac:dyDescent="0.25">
      <c r="B20" s="156">
        <v>46227</v>
      </c>
      <c r="C20" s="2" t="s">
        <v>7625</v>
      </c>
      <c r="D20" s="2" t="s">
        <v>6090</v>
      </c>
      <c r="E20" s="2">
        <v>120</v>
      </c>
      <c r="F20" s="2">
        <f t="shared" si="0"/>
        <v>14</v>
      </c>
      <c r="G20" s="2"/>
    </row>
    <row r="21" spans="2:7" x14ac:dyDescent="0.25">
      <c r="B21" s="156">
        <v>46228</v>
      </c>
      <c r="C21" s="2" t="s">
        <v>7256</v>
      </c>
      <c r="D21" s="2" t="s">
        <v>7639</v>
      </c>
      <c r="E21" s="2"/>
      <c r="F21" s="2">
        <f t="shared" si="0"/>
        <v>-120</v>
      </c>
      <c r="G21" s="2"/>
    </row>
    <row r="22" spans="2:7" x14ac:dyDescent="0.25">
      <c r="B22" s="156">
        <v>46229</v>
      </c>
      <c r="C22" s="2" t="s">
        <v>4616</v>
      </c>
      <c r="D22" s="2"/>
      <c r="E22" s="2"/>
      <c r="F22" s="2">
        <f t="shared" si="0"/>
        <v>0</v>
      </c>
      <c r="G22" s="2"/>
    </row>
    <row r="23" spans="2:7" x14ac:dyDescent="0.25">
      <c r="B23" s="156">
        <v>46230</v>
      </c>
      <c r="C23" s="2" t="s">
        <v>3862</v>
      </c>
      <c r="D23" s="2"/>
      <c r="E23" s="2"/>
      <c r="F23" s="2">
        <f t="shared" si="0"/>
        <v>0</v>
      </c>
      <c r="G23" s="2"/>
    </row>
    <row r="24" spans="2:7" x14ac:dyDescent="0.25">
      <c r="B24" s="156">
        <v>46231</v>
      </c>
      <c r="C24" s="2" t="s">
        <v>7651</v>
      </c>
      <c r="D24" s="2"/>
      <c r="E24" s="2"/>
      <c r="F24" s="2">
        <f t="shared" si="0"/>
        <v>0</v>
      </c>
      <c r="G24" s="2"/>
    </row>
    <row r="25" spans="2:7" x14ac:dyDescent="0.25">
      <c r="B25" s="156">
        <v>46232</v>
      </c>
      <c r="C25" s="2"/>
      <c r="D25" s="2"/>
      <c r="E25" s="2"/>
      <c r="F25" s="2">
        <f t="shared" si="0"/>
        <v>0</v>
      </c>
      <c r="G25" s="2"/>
    </row>
    <row r="26" spans="2:7" x14ac:dyDescent="0.25">
      <c r="B26" s="156">
        <v>46233</v>
      </c>
      <c r="C26" s="2"/>
      <c r="D26" s="2"/>
      <c r="E26" s="2"/>
      <c r="F26" s="2">
        <f t="shared" si="0"/>
        <v>0</v>
      </c>
      <c r="G26" s="2"/>
    </row>
    <row r="27" spans="2:7" x14ac:dyDescent="0.25">
      <c r="B27" s="156">
        <v>46234</v>
      </c>
      <c r="C27" s="2"/>
      <c r="D27" s="2"/>
      <c r="E27" s="2"/>
      <c r="F27" s="2">
        <f t="shared" si="0"/>
        <v>0</v>
      </c>
      <c r="G27" s="2"/>
    </row>
    <row r="28" spans="2:7" x14ac:dyDescent="0.25">
      <c r="B28" s="156">
        <v>46235</v>
      </c>
      <c r="C28" s="2"/>
      <c r="D28" s="2"/>
      <c r="E28" s="2"/>
      <c r="F28" s="2">
        <f t="shared" si="0"/>
        <v>0</v>
      </c>
      <c r="G28" s="2"/>
    </row>
    <row r="29" spans="2:7" x14ac:dyDescent="0.25">
      <c r="B29" s="156">
        <v>46236</v>
      </c>
      <c r="C29" s="2"/>
      <c r="D29" s="2"/>
      <c r="E29" s="2"/>
      <c r="F29" s="2">
        <f t="shared" si="0"/>
        <v>0</v>
      </c>
      <c r="G29" s="2"/>
    </row>
    <row r="30" spans="2:7" x14ac:dyDescent="0.25">
      <c r="B30" s="156">
        <v>46237</v>
      </c>
      <c r="C30" s="2"/>
      <c r="D30" s="2"/>
      <c r="E30" s="2"/>
      <c r="F30" s="2">
        <f t="shared" si="0"/>
        <v>0</v>
      </c>
      <c r="G30" s="2"/>
    </row>
    <row r="31" spans="2:7" x14ac:dyDescent="0.25">
      <c r="B31" s="156">
        <v>46238</v>
      </c>
      <c r="C31" s="2"/>
      <c r="D31" s="2"/>
      <c r="E31" s="2"/>
      <c r="F31" s="2">
        <f t="shared" si="0"/>
        <v>0</v>
      </c>
      <c r="G31" s="2"/>
    </row>
    <row r="32" spans="2:7" x14ac:dyDescent="0.25">
      <c r="B32" s="156">
        <v>46239</v>
      </c>
      <c r="C32" s="2" t="s">
        <v>7663</v>
      </c>
      <c r="D32" s="2"/>
      <c r="E32" s="2"/>
      <c r="F32" s="2">
        <f t="shared" si="0"/>
        <v>0</v>
      </c>
      <c r="G32" s="2"/>
    </row>
    <row r="33" spans="2:7" x14ac:dyDescent="0.25">
      <c r="B33" s="156">
        <v>46240</v>
      </c>
      <c r="C33" s="2"/>
      <c r="D33" s="2"/>
      <c r="E33" s="2"/>
      <c r="F33" s="2">
        <f t="shared" si="0"/>
        <v>0</v>
      </c>
      <c r="G33" s="2"/>
    </row>
    <row r="34" spans="2:7" x14ac:dyDescent="0.25">
      <c r="B34" s="156">
        <v>46241</v>
      </c>
      <c r="C34" s="2"/>
      <c r="D34" s="2"/>
      <c r="E34" s="2"/>
      <c r="F34" s="2">
        <f t="shared" si="0"/>
        <v>0</v>
      </c>
      <c r="G34" s="2"/>
    </row>
    <row r="35" spans="2:7" x14ac:dyDescent="0.25">
      <c r="B35" s="156">
        <v>46242</v>
      </c>
      <c r="C35" s="2"/>
      <c r="D35" s="2"/>
      <c r="E35" s="2"/>
      <c r="F35" s="2">
        <f t="shared" si="0"/>
        <v>0</v>
      </c>
      <c r="G35" s="2"/>
    </row>
    <row r="36" spans="2:7" x14ac:dyDescent="0.25">
      <c r="B36" s="156">
        <v>46243</v>
      </c>
      <c r="C36" s="2"/>
      <c r="D36" s="2"/>
      <c r="E36" s="2"/>
      <c r="F36" s="2">
        <f t="shared" si="0"/>
        <v>0</v>
      </c>
      <c r="G36" s="2"/>
    </row>
    <row r="37" spans="2:7" x14ac:dyDescent="0.25">
      <c r="B37" s="156">
        <v>46244</v>
      </c>
      <c r="C37" s="2"/>
      <c r="D37" s="2"/>
      <c r="E37" s="2"/>
      <c r="F37" s="2"/>
      <c r="G37" s="2"/>
    </row>
    <row r="38" spans="2:7" x14ac:dyDescent="0.25">
      <c r="B38" s="156">
        <v>46245</v>
      </c>
      <c r="C38" s="2"/>
      <c r="D38" s="2"/>
      <c r="E38" s="2"/>
      <c r="F38" s="2"/>
      <c r="G38" s="2"/>
    </row>
    <row r="39" spans="2:7" x14ac:dyDescent="0.25">
      <c r="B39" s="156">
        <v>46246</v>
      </c>
      <c r="C39" s="2"/>
      <c r="D39" s="2"/>
      <c r="E39" s="2"/>
      <c r="F39" s="2"/>
      <c r="G39" s="2"/>
    </row>
    <row r="40" spans="2:7" x14ac:dyDescent="0.25">
      <c r="B40" s="156">
        <v>46247</v>
      </c>
      <c r="C40" s="2"/>
      <c r="D40" s="2"/>
      <c r="E40" s="2"/>
      <c r="F40" s="2"/>
      <c r="G40" s="2"/>
    </row>
    <row r="41" spans="2:7" x14ac:dyDescent="0.25">
      <c r="B41" s="156">
        <v>46248</v>
      </c>
      <c r="C41" s="2"/>
      <c r="D41" s="2"/>
      <c r="E41" s="2"/>
      <c r="F41" s="2"/>
      <c r="G41" s="2"/>
    </row>
    <row r="42" spans="2:7" x14ac:dyDescent="0.25">
      <c r="B42" s="156">
        <v>46249</v>
      </c>
      <c r="C42" s="2"/>
      <c r="D42" s="2"/>
      <c r="E42" s="2"/>
      <c r="F42" s="2"/>
      <c r="G42" s="2"/>
    </row>
    <row r="43" spans="2:7" x14ac:dyDescent="0.25">
      <c r="B43" s="156">
        <v>46250</v>
      </c>
      <c r="C43" s="2"/>
      <c r="D43" s="2"/>
      <c r="E43" s="2"/>
      <c r="F43" s="2"/>
      <c r="G43" s="2"/>
    </row>
    <row r="44" spans="2:7" x14ac:dyDescent="0.25">
      <c r="B44" s="156">
        <v>46251</v>
      </c>
      <c r="C44" s="2"/>
      <c r="D44" s="2"/>
      <c r="E44" s="2"/>
      <c r="F44" s="2"/>
      <c r="G44" s="2"/>
    </row>
    <row r="45" spans="2:7" x14ac:dyDescent="0.25">
      <c r="B45" s="156">
        <v>46252</v>
      </c>
      <c r="C45" s="2"/>
      <c r="D45" s="2"/>
      <c r="E45" s="2"/>
      <c r="F45" s="2"/>
      <c r="G45" s="2"/>
    </row>
    <row r="46" spans="2:7" x14ac:dyDescent="0.25">
      <c r="B46" s="156">
        <v>46253</v>
      </c>
      <c r="C46" s="2"/>
      <c r="D46" s="2"/>
      <c r="E46" s="2"/>
      <c r="F46" s="2"/>
      <c r="G46" s="2"/>
    </row>
    <row r="47" spans="2:7" x14ac:dyDescent="0.25">
      <c r="B47" s="156">
        <v>46254</v>
      </c>
      <c r="C47" s="2"/>
      <c r="D47" s="2"/>
      <c r="E47" s="2"/>
      <c r="F47" s="2"/>
      <c r="G47" s="2"/>
    </row>
    <row r="48" spans="2:7" x14ac:dyDescent="0.25">
      <c r="B48" s="156">
        <v>46255</v>
      </c>
      <c r="C48" s="2"/>
      <c r="D48" s="2"/>
      <c r="E48" s="2"/>
      <c r="F48" s="2"/>
      <c r="G48" s="2"/>
    </row>
    <row r="49" spans="2:7" x14ac:dyDescent="0.25">
      <c r="B49" s="156">
        <v>46256</v>
      </c>
      <c r="C49" s="2"/>
      <c r="D49" s="2"/>
      <c r="E49" s="2"/>
      <c r="F49" s="2"/>
      <c r="G49" s="2"/>
    </row>
    <row r="50" spans="2:7" x14ac:dyDescent="0.25">
      <c r="B50" s="156">
        <v>46257</v>
      </c>
      <c r="C50" s="2"/>
      <c r="D50" s="2"/>
      <c r="E50" s="2"/>
      <c r="F50" s="2"/>
      <c r="G50" s="2"/>
    </row>
    <row r="51" spans="2:7" x14ac:dyDescent="0.25">
      <c r="B51" s="156">
        <v>46258</v>
      </c>
      <c r="C51" s="2" t="s">
        <v>4616</v>
      </c>
      <c r="D51" s="2"/>
      <c r="E51" s="2"/>
      <c r="F51" s="2"/>
      <c r="G51" s="2"/>
    </row>
    <row r="52" spans="2:7" x14ac:dyDescent="0.25">
      <c r="B52" s="156">
        <v>46259</v>
      </c>
      <c r="C52" s="2" t="s">
        <v>7727</v>
      </c>
      <c r="D52" s="2" t="s">
        <v>7728</v>
      </c>
      <c r="E52" s="2"/>
      <c r="F52" s="2"/>
      <c r="G52" s="2"/>
    </row>
    <row r="53" spans="2:7" x14ac:dyDescent="0.25">
      <c r="B53" s="156">
        <v>46260</v>
      </c>
      <c r="C53" s="2"/>
      <c r="D53" s="2"/>
      <c r="E53" s="2"/>
      <c r="F53" s="2"/>
      <c r="G53" s="2"/>
    </row>
    <row r="54" spans="2:7" x14ac:dyDescent="0.25">
      <c r="B54" s="156">
        <v>46261</v>
      </c>
      <c r="C54" s="2"/>
      <c r="D54" s="2"/>
      <c r="E54" s="2"/>
      <c r="F54" s="2"/>
      <c r="G54" s="2"/>
    </row>
    <row r="55" spans="2:7" x14ac:dyDescent="0.25">
      <c r="B55" s="156">
        <v>46262</v>
      </c>
      <c r="C55" s="2"/>
      <c r="D55" s="2"/>
      <c r="E55" s="2"/>
      <c r="F55" s="2"/>
      <c r="G55" s="2"/>
    </row>
    <row r="56" spans="2:7" x14ac:dyDescent="0.25">
      <c r="B56" s="156">
        <v>46263</v>
      </c>
      <c r="C56" s="2" t="s">
        <v>5900</v>
      </c>
      <c r="D56" s="2"/>
      <c r="E56" s="2"/>
      <c r="F56" s="2"/>
      <c r="G56" s="2"/>
    </row>
    <row r="57" spans="2:7" x14ac:dyDescent="0.25">
      <c r="B57" s="156">
        <v>46264</v>
      </c>
      <c r="C57" s="2" t="s">
        <v>7741</v>
      </c>
      <c r="D57" s="2" t="s">
        <v>7760</v>
      </c>
      <c r="E57" s="2"/>
      <c r="F57" s="2"/>
      <c r="G57" s="2"/>
    </row>
    <row r="58" spans="2:7" x14ac:dyDescent="0.25">
      <c r="B58" s="156">
        <v>46265</v>
      </c>
      <c r="C58" s="2"/>
      <c r="D58" s="2"/>
      <c r="E58" s="2"/>
      <c r="F58" s="2"/>
      <c r="G58" s="2"/>
    </row>
    <row r="59" spans="2:7" x14ac:dyDescent="0.25">
      <c r="B59" s="156">
        <v>46266</v>
      </c>
      <c r="C59" s="2"/>
      <c r="D59" s="2"/>
      <c r="E59" s="2"/>
      <c r="F59" s="2"/>
      <c r="G59" s="2"/>
    </row>
    <row r="60" spans="2:7" x14ac:dyDescent="0.25">
      <c r="B60" s="156">
        <v>46267</v>
      </c>
      <c r="C60" s="2"/>
      <c r="D60" s="2"/>
      <c r="E60" s="2"/>
      <c r="F60" s="2"/>
      <c r="G60" s="2"/>
    </row>
    <row r="61" spans="2:7" x14ac:dyDescent="0.25">
      <c r="B61" s="156">
        <v>46268</v>
      </c>
      <c r="C61" s="2"/>
      <c r="D61" s="2"/>
      <c r="E61" s="2"/>
      <c r="F61" s="2"/>
      <c r="G61" s="2"/>
    </row>
    <row r="62" spans="2:7" x14ac:dyDescent="0.25">
      <c r="B62" s="156">
        <v>46269</v>
      </c>
      <c r="C62" s="2"/>
      <c r="D62" s="2"/>
      <c r="E62" s="2"/>
      <c r="F62" s="2"/>
      <c r="G62" s="2"/>
    </row>
    <row r="63" spans="2:7" x14ac:dyDescent="0.25">
      <c r="B63" s="156">
        <v>46270</v>
      </c>
      <c r="C63" s="2"/>
      <c r="D63" s="2"/>
      <c r="E63" s="2"/>
      <c r="F63" s="2"/>
      <c r="G63" s="2"/>
    </row>
    <row r="64" spans="2:7" x14ac:dyDescent="0.25">
      <c r="B64" s="156">
        <v>46271</v>
      </c>
      <c r="C64" s="2"/>
      <c r="D64" s="2"/>
      <c r="E64" s="2"/>
      <c r="F64" s="2"/>
      <c r="G64" s="2"/>
    </row>
    <row r="65" spans="2:7" x14ac:dyDescent="0.25">
      <c r="B65" s="156">
        <v>46272</v>
      </c>
      <c r="C65" s="2"/>
      <c r="D65" s="2"/>
      <c r="E65" s="2"/>
      <c r="F65" s="2"/>
      <c r="G65" s="2"/>
    </row>
    <row r="66" spans="2:7" x14ac:dyDescent="0.25">
      <c r="B66" s="156">
        <v>46273</v>
      </c>
      <c r="C66" s="2"/>
      <c r="D66" s="2"/>
      <c r="E66" s="2"/>
      <c r="F66" s="2"/>
      <c r="G66" s="2"/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3DBC8-A2BE-44C0-99E6-736CEEA0F6D8}">
  <dimension ref="B2:H68"/>
  <sheetViews>
    <sheetView topLeftCell="A48" workbookViewId="0">
      <selection activeCell="F51" sqref="F51:F68"/>
    </sheetView>
  </sheetViews>
  <sheetFormatPr defaultRowHeight="15" x14ac:dyDescent="0.25"/>
  <cols>
    <col min="2" max="2" width="18" bestFit="1" customWidth="1"/>
    <col min="3" max="3" width="74.28515625" bestFit="1" customWidth="1"/>
    <col min="4" max="4" width="42.140625" bestFit="1" customWidth="1"/>
    <col min="7" max="7" width="11" bestFit="1" customWidth="1"/>
  </cols>
  <sheetData>
    <row r="2" spans="2:7" x14ac:dyDescent="0.25">
      <c r="B2" s="53" t="s">
        <v>3913</v>
      </c>
      <c r="D2" s="123" t="s">
        <v>1324</v>
      </c>
      <c r="E2" s="24">
        <v>200</v>
      </c>
      <c r="F2" s="24"/>
    </row>
    <row r="3" spans="2:7" ht="15.75" x14ac:dyDescent="0.25">
      <c r="B3" s="10" t="s">
        <v>0</v>
      </c>
      <c r="C3" s="11" t="s">
        <v>1</v>
      </c>
      <c r="D3" s="11" t="s">
        <v>2</v>
      </c>
      <c r="E3" s="11" t="s">
        <v>934</v>
      </c>
      <c r="F3" s="11" t="s">
        <v>1095</v>
      </c>
      <c r="G3" s="11" t="s">
        <v>1507</v>
      </c>
    </row>
    <row r="4" spans="2:7" x14ac:dyDescent="0.25">
      <c r="B4" s="156">
        <v>46249</v>
      </c>
      <c r="C4" s="2" t="s">
        <v>7700</v>
      </c>
      <c r="D4" s="2"/>
      <c r="E4" s="2"/>
      <c r="F4" s="2"/>
      <c r="G4" s="2"/>
    </row>
    <row r="5" spans="2:7" x14ac:dyDescent="0.25">
      <c r="B5" s="156">
        <v>46250</v>
      </c>
      <c r="C5" s="2" t="s">
        <v>7701</v>
      </c>
      <c r="D5" s="2"/>
      <c r="E5" s="2"/>
      <c r="F5" s="2">
        <v>0</v>
      </c>
      <c r="G5" s="2"/>
    </row>
    <row r="6" spans="2:7" x14ac:dyDescent="0.25">
      <c r="B6" s="156">
        <v>46251</v>
      </c>
      <c r="C6" s="2" t="s">
        <v>279</v>
      </c>
      <c r="D6" s="2"/>
      <c r="E6" s="2"/>
      <c r="F6" s="2">
        <f t="shared" ref="F6:F68" si="0">E6-E5</f>
        <v>0</v>
      </c>
      <c r="G6" s="2"/>
    </row>
    <row r="7" spans="2:7" x14ac:dyDescent="0.25">
      <c r="B7" s="156">
        <v>46252</v>
      </c>
      <c r="C7" s="2" t="s">
        <v>7703</v>
      </c>
      <c r="D7" s="2"/>
      <c r="E7" s="2"/>
      <c r="F7" s="2">
        <f t="shared" si="0"/>
        <v>0</v>
      </c>
      <c r="G7" s="2"/>
    </row>
    <row r="8" spans="2:7" x14ac:dyDescent="0.25">
      <c r="B8" s="156">
        <v>46253</v>
      </c>
      <c r="C8" s="2" t="s">
        <v>7704</v>
      </c>
      <c r="D8" s="2" t="s">
        <v>7705</v>
      </c>
      <c r="E8" s="2"/>
      <c r="F8" s="2">
        <f t="shared" si="0"/>
        <v>0</v>
      </c>
      <c r="G8" s="2"/>
    </row>
    <row r="9" spans="2:7" x14ac:dyDescent="0.25">
      <c r="B9" s="156">
        <v>46254</v>
      </c>
      <c r="C9" s="2" t="s">
        <v>7714</v>
      </c>
      <c r="D9" s="2"/>
      <c r="E9" s="2">
        <v>12</v>
      </c>
      <c r="F9" s="2">
        <f t="shared" si="0"/>
        <v>12</v>
      </c>
      <c r="G9" s="2"/>
    </row>
    <row r="10" spans="2:7" x14ac:dyDescent="0.25">
      <c r="B10" s="156">
        <v>46255</v>
      </c>
      <c r="C10" s="2" t="s">
        <v>7715</v>
      </c>
      <c r="D10" s="2" t="s">
        <v>7713</v>
      </c>
      <c r="E10" s="2">
        <v>22</v>
      </c>
      <c r="F10" s="2">
        <f t="shared" si="0"/>
        <v>10</v>
      </c>
      <c r="G10" s="2"/>
    </row>
    <row r="11" spans="2:7" x14ac:dyDescent="0.25">
      <c r="B11" s="156">
        <v>46256</v>
      </c>
      <c r="C11" s="2" t="s">
        <v>7716</v>
      </c>
      <c r="D11" s="2"/>
      <c r="E11" s="2">
        <v>24</v>
      </c>
      <c r="F11" s="2">
        <f t="shared" si="0"/>
        <v>2</v>
      </c>
      <c r="G11" s="2"/>
    </row>
    <row r="12" spans="2:7" x14ac:dyDescent="0.25">
      <c r="B12" s="156">
        <v>46257</v>
      </c>
      <c r="C12" s="2" t="s">
        <v>7717</v>
      </c>
      <c r="D12" s="2" t="s">
        <v>7718</v>
      </c>
      <c r="E12" s="2">
        <v>25</v>
      </c>
      <c r="F12" s="2">
        <f t="shared" si="0"/>
        <v>1</v>
      </c>
      <c r="G12" s="2"/>
    </row>
    <row r="13" spans="2:7" x14ac:dyDescent="0.25">
      <c r="B13" s="156">
        <v>46258</v>
      </c>
      <c r="C13" s="2" t="s">
        <v>7723</v>
      </c>
      <c r="D13" s="2" t="s">
        <v>7724</v>
      </c>
      <c r="E13" s="2">
        <v>25</v>
      </c>
      <c r="F13" s="2">
        <f t="shared" si="0"/>
        <v>0</v>
      </c>
      <c r="G13" s="2"/>
    </row>
    <row r="14" spans="2:7" x14ac:dyDescent="0.25">
      <c r="B14" s="156">
        <v>46259</v>
      </c>
      <c r="C14" s="2" t="s">
        <v>7725</v>
      </c>
      <c r="D14" s="2"/>
      <c r="E14" s="2">
        <v>25</v>
      </c>
      <c r="F14" s="2">
        <f t="shared" si="0"/>
        <v>0</v>
      </c>
      <c r="G14" s="2"/>
    </row>
    <row r="15" spans="2:7" x14ac:dyDescent="0.25">
      <c r="B15" s="156">
        <v>46260</v>
      </c>
      <c r="C15" s="2" t="s">
        <v>7738</v>
      </c>
      <c r="D15" s="2"/>
      <c r="E15" s="2">
        <v>38</v>
      </c>
      <c r="F15" s="2">
        <f t="shared" si="0"/>
        <v>13</v>
      </c>
      <c r="G15" s="2"/>
    </row>
    <row r="16" spans="2:7" x14ac:dyDescent="0.25">
      <c r="B16" s="156">
        <v>46261</v>
      </c>
      <c r="C16" s="2" t="s">
        <v>7742</v>
      </c>
      <c r="D16" s="2"/>
      <c r="E16" s="2">
        <v>40</v>
      </c>
      <c r="F16" s="2">
        <f t="shared" si="0"/>
        <v>2</v>
      </c>
      <c r="G16" s="2"/>
    </row>
    <row r="17" spans="2:7" x14ac:dyDescent="0.25">
      <c r="B17" s="156">
        <v>46262</v>
      </c>
      <c r="C17" s="2" t="s">
        <v>7743</v>
      </c>
      <c r="D17" s="2"/>
      <c r="E17" s="2">
        <v>50</v>
      </c>
      <c r="F17" s="2">
        <f t="shared" si="0"/>
        <v>10</v>
      </c>
      <c r="G17" s="2"/>
    </row>
    <row r="18" spans="2:7" x14ac:dyDescent="0.25">
      <c r="B18" s="156">
        <v>46263</v>
      </c>
      <c r="C18" s="2" t="s">
        <v>7761</v>
      </c>
      <c r="D18" s="2" t="s">
        <v>7762</v>
      </c>
      <c r="E18" s="2">
        <v>60</v>
      </c>
      <c r="F18" s="2">
        <f t="shared" si="0"/>
        <v>10</v>
      </c>
      <c r="G18" s="2"/>
    </row>
    <row r="19" spans="2:7" x14ac:dyDescent="0.25">
      <c r="B19" s="156">
        <v>46264</v>
      </c>
      <c r="C19" s="2" t="s">
        <v>7765</v>
      </c>
      <c r="D19" s="2" t="s">
        <v>7766</v>
      </c>
      <c r="E19" s="2">
        <v>62</v>
      </c>
      <c r="F19" s="2">
        <f t="shared" si="0"/>
        <v>2</v>
      </c>
      <c r="G19" s="2"/>
    </row>
    <row r="20" spans="2:7" x14ac:dyDescent="0.25">
      <c r="B20" s="156">
        <v>46265</v>
      </c>
      <c r="C20" s="2" t="s">
        <v>7768</v>
      </c>
      <c r="D20" s="2" t="s">
        <v>7762</v>
      </c>
      <c r="E20" s="2">
        <v>69.7</v>
      </c>
      <c r="F20" s="2">
        <f t="shared" si="0"/>
        <v>7.7000000000000028</v>
      </c>
      <c r="G20" s="2"/>
    </row>
    <row r="21" spans="2:7" x14ac:dyDescent="0.25">
      <c r="B21" s="156">
        <v>46266</v>
      </c>
      <c r="C21" s="2" t="s">
        <v>7773</v>
      </c>
      <c r="D21" s="2" t="s">
        <v>7762</v>
      </c>
      <c r="E21" s="2">
        <v>72</v>
      </c>
      <c r="F21" s="2">
        <f t="shared" si="0"/>
        <v>2.2999999999999972</v>
      </c>
      <c r="G21" s="2"/>
    </row>
    <row r="22" spans="2:7" x14ac:dyDescent="0.25">
      <c r="B22" s="156">
        <v>46267</v>
      </c>
      <c r="C22" s="2" t="s">
        <v>7776</v>
      </c>
      <c r="D22" s="2" t="s">
        <v>7762</v>
      </c>
      <c r="E22" s="2">
        <v>72.5</v>
      </c>
      <c r="F22" s="2">
        <f t="shared" si="0"/>
        <v>0.5</v>
      </c>
      <c r="G22" s="2"/>
    </row>
    <row r="23" spans="2:7" x14ac:dyDescent="0.25">
      <c r="B23" s="156">
        <v>46268</v>
      </c>
      <c r="C23" s="2" t="s">
        <v>7776</v>
      </c>
      <c r="D23" s="2" t="s">
        <v>7783</v>
      </c>
      <c r="E23" s="2">
        <v>72.5</v>
      </c>
      <c r="F23" s="2">
        <f t="shared" si="0"/>
        <v>0</v>
      </c>
      <c r="G23" s="2"/>
    </row>
    <row r="24" spans="2:7" x14ac:dyDescent="0.25">
      <c r="B24" s="156">
        <v>46269</v>
      </c>
      <c r="C24" s="2" t="s">
        <v>7776</v>
      </c>
      <c r="D24" s="2" t="s">
        <v>7782</v>
      </c>
      <c r="E24" s="2">
        <v>72.5</v>
      </c>
      <c r="F24" s="2">
        <f t="shared" si="0"/>
        <v>0</v>
      </c>
      <c r="G24" s="2"/>
    </row>
    <row r="25" spans="2:7" x14ac:dyDescent="0.25">
      <c r="B25" s="156">
        <v>46270</v>
      </c>
      <c r="C25" s="2" t="s">
        <v>7780</v>
      </c>
      <c r="D25" s="2"/>
      <c r="E25" s="2">
        <v>73</v>
      </c>
      <c r="F25" s="2">
        <f t="shared" si="0"/>
        <v>0.5</v>
      </c>
      <c r="G25" s="2"/>
    </row>
    <row r="26" spans="2:7" x14ac:dyDescent="0.25">
      <c r="B26" s="156">
        <v>46271</v>
      </c>
      <c r="C26" s="2" t="s">
        <v>7781</v>
      </c>
      <c r="D26" s="2"/>
      <c r="E26" s="2">
        <v>73.2</v>
      </c>
      <c r="F26" s="2">
        <f t="shared" si="0"/>
        <v>0.20000000000000284</v>
      </c>
      <c r="G26" s="2"/>
    </row>
    <row r="27" spans="2:7" x14ac:dyDescent="0.25">
      <c r="B27" s="156">
        <v>46272</v>
      </c>
      <c r="C27" s="2" t="s">
        <v>480</v>
      </c>
      <c r="D27" s="2"/>
      <c r="E27" s="2">
        <v>73.2</v>
      </c>
      <c r="F27" s="2">
        <f t="shared" si="0"/>
        <v>0</v>
      </c>
      <c r="G27" s="2"/>
    </row>
    <row r="28" spans="2:7" x14ac:dyDescent="0.25">
      <c r="B28" s="156">
        <v>46273</v>
      </c>
      <c r="C28" s="2" t="s">
        <v>480</v>
      </c>
      <c r="D28" s="2"/>
      <c r="E28" s="2">
        <v>73.2</v>
      </c>
      <c r="F28" s="2">
        <f t="shared" si="0"/>
        <v>0</v>
      </c>
      <c r="G28" s="2"/>
    </row>
    <row r="29" spans="2:7" x14ac:dyDescent="0.25">
      <c r="B29" s="156">
        <v>46274</v>
      </c>
      <c r="C29" s="2" t="s">
        <v>7789</v>
      </c>
      <c r="D29" s="2"/>
      <c r="E29" s="2">
        <v>73.2</v>
      </c>
      <c r="F29" s="2">
        <f t="shared" si="0"/>
        <v>0</v>
      </c>
      <c r="G29" s="2"/>
    </row>
    <row r="30" spans="2:7" x14ac:dyDescent="0.25">
      <c r="B30" s="156">
        <v>46275</v>
      </c>
      <c r="C30" s="2" t="s">
        <v>480</v>
      </c>
      <c r="D30" s="2"/>
      <c r="E30" s="2">
        <v>73.2</v>
      </c>
      <c r="F30" s="2">
        <f t="shared" si="0"/>
        <v>0</v>
      </c>
      <c r="G30" s="2"/>
    </row>
    <row r="31" spans="2:7" x14ac:dyDescent="0.25">
      <c r="B31" s="156">
        <v>46276</v>
      </c>
      <c r="C31" s="2" t="s">
        <v>1695</v>
      </c>
      <c r="D31" s="2"/>
      <c r="E31" s="2">
        <v>73.2</v>
      </c>
      <c r="F31" s="2">
        <f t="shared" si="0"/>
        <v>0</v>
      </c>
      <c r="G31" s="2"/>
    </row>
    <row r="32" spans="2:7" x14ac:dyDescent="0.25">
      <c r="B32" s="156">
        <v>46277</v>
      </c>
      <c r="C32" s="2" t="s">
        <v>7796</v>
      </c>
      <c r="D32" s="2"/>
      <c r="E32" s="2">
        <v>73.2</v>
      </c>
      <c r="F32" s="2">
        <f t="shared" si="0"/>
        <v>0</v>
      </c>
      <c r="G32" s="2"/>
    </row>
    <row r="33" spans="2:8" x14ac:dyDescent="0.25">
      <c r="B33" s="156">
        <v>46278</v>
      </c>
      <c r="C33" s="2" t="s">
        <v>7797</v>
      </c>
      <c r="D33" s="2"/>
      <c r="E33" s="2">
        <v>74.5</v>
      </c>
      <c r="F33" s="2">
        <f t="shared" si="0"/>
        <v>1.2999999999999972</v>
      </c>
      <c r="G33" s="2"/>
    </row>
    <row r="34" spans="2:8" x14ac:dyDescent="0.25">
      <c r="B34" s="156">
        <v>46279</v>
      </c>
      <c r="C34" s="2" t="s">
        <v>7806</v>
      </c>
      <c r="D34" s="2"/>
      <c r="E34" s="2">
        <v>76.5</v>
      </c>
      <c r="F34" s="2">
        <f t="shared" si="0"/>
        <v>2</v>
      </c>
      <c r="G34" s="2"/>
    </row>
    <row r="35" spans="2:8" x14ac:dyDescent="0.25">
      <c r="B35" s="156">
        <v>46280</v>
      </c>
      <c r="C35" s="2" t="s">
        <v>7813</v>
      </c>
      <c r="D35" s="2"/>
      <c r="E35" s="2">
        <v>80</v>
      </c>
      <c r="F35" s="2">
        <f t="shared" si="0"/>
        <v>3.5</v>
      </c>
      <c r="G35" s="2"/>
    </row>
    <row r="36" spans="2:8" x14ac:dyDescent="0.25">
      <c r="B36" s="156">
        <v>46281</v>
      </c>
      <c r="C36" s="2" t="s">
        <v>7931</v>
      </c>
      <c r="D36" s="2" t="s">
        <v>7762</v>
      </c>
      <c r="E36" s="2">
        <v>83</v>
      </c>
      <c r="F36" s="2">
        <f t="shared" si="0"/>
        <v>3</v>
      </c>
      <c r="G36" s="2"/>
    </row>
    <row r="37" spans="2:8" x14ac:dyDescent="0.25">
      <c r="B37" s="156">
        <v>46282</v>
      </c>
      <c r="C37" s="2" t="s">
        <v>7936</v>
      </c>
      <c r="D37" s="2"/>
      <c r="E37" s="2">
        <v>85</v>
      </c>
      <c r="F37" s="2">
        <f t="shared" si="0"/>
        <v>2</v>
      </c>
      <c r="G37" s="2"/>
    </row>
    <row r="38" spans="2:8" x14ac:dyDescent="0.25">
      <c r="B38" s="156">
        <v>46283</v>
      </c>
      <c r="C38" s="2" t="s">
        <v>7936</v>
      </c>
      <c r="D38" s="2"/>
      <c r="E38" s="2">
        <v>85</v>
      </c>
      <c r="F38" s="2">
        <f t="shared" si="0"/>
        <v>0</v>
      </c>
      <c r="G38" s="2"/>
    </row>
    <row r="39" spans="2:8" x14ac:dyDescent="0.25">
      <c r="B39" s="156">
        <v>46284</v>
      </c>
      <c r="C39" s="2" t="s">
        <v>7960</v>
      </c>
      <c r="D39" s="2"/>
      <c r="E39" s="2">
        <v>90</v>
      </c>
      <c r="F39" s="2">
        <f t="shared" si="0"/>
        <v>5</v>
      </c>
      <c r="G39" s="2"/>
    </row>
    <row r="40" spans="2:8" x14ac:dyDescent="0.25">
      <c r="B40" s="156">
        <v>46285</v>
      </c>
      <c r="C40" s="2" t="s">
        <v>7960</v>
      </c>
      <c r="D40" s="2" t="s">
        <v>7961</v>
      </c>
      <c r="E40" s="2">
        <v>90</v>
      </c>
      <c r="F40" s="2">
        <f t="shared" si="0"/>
        <v>0</v>
      </c>
      <c r="G40" s="2"/>
    </row>
    <row r="41" spans="2:8" x14ac:dyDescent="0.25">
      <c r="B41" s="156">
        <v>46286</v>
      </c>
      <c r="C41" s="2" t="s">
        <v>7977</v>
      </c>
      <c r="D41" s="2"/>
      <c r="E41" s="2">
        <v>91</v>
      </c>
      <c r="F41" s="2">
        <f t="shared" si="0"/>
        <v>1</v>
      </c>
      <c r="G41" s="2"/>
    </row>
    <row r="42" spans="2:8" x14ac:dyDescent="0.25">
      <c r="B42" s="156">
        <v>46287</v>
      </c>
      <c r="C42" s="2" t="s">
        <v>7976</v>
      </c>
      <c r="D42" s="2"/>
      <c r="E42" s="2">
        <v>92</v>
      </c>
      <c r="F42" s="2">
        <f t="shared" si="0"/>
        <v>1</v>
      </c>
      <c r="G42" s="2"/>
    </row>
    <row r="43" spans="2:8" x14ac:dyDescent="0.25">
      <c r="B43" s="156">
        <v>46288</v>
      </c>
      <c r="C43" s="2" t="s">
        <v>7976</v>
      </c>
      <c r="D43" s="2" t="s">
        <v>8003</v>
      </c>
      <c r="E43" s="2">
        <v>92</v>
      </c>
      <c r="F43" s="2">
        <f t="shared" si="0"/>
        <v>0</v>
      </c>
      <c r="G43" s="2"/>
      <c r="H43" t="s">
        <v>7998</v>
      </c>
    </row>
    <row r="44" spans="2:8" x14ac:dyDescent="0.25">
      <c r="B44" s="156">
        <v>46289</v>
      </c>
      <c r="C44" s="2" t="s">
        <v>8004</v>
      </c>
      <c r="D44" s="2"/>
      <c r="E44" s="2">
        <v>92</v>
      </c>
      <c r="F44" s="2">
        <f t="shared" si="0"/>
        <v>0</v>
      </c>
      <c r="G44" s="2"/>
    </row>
    <row r="45" spans="2:8" x14ac:dyDescent="0.25">
      <c r="B45" s="156">
        <v>46290</v>
      </c>
      <c r="C45" s="2" t="s">
        <v>6053</v>
      </c>
      <c r="D45" s="2" t="s">
        <v>8012</v>
      </c>
      <c r="E45" s="2">
        <v>92</v>
      </c>
      <c r="F45" s="2">
        <f t="shared" si="0"/>
        <v>0</v>
      </c>
      <c r="G45" s="2"/>
    </row>
    <row r="46" spans="2:8" x14ac:dyDescent="0.25">
      <c r="B46" s="156">
        <v>46291</v>
      </c>
      <c r="C46" s="2" t="s">
        <v>5054</v>
      </c>
      <c r="D46" s="2"/>
      <c r="E46" s="2">
        <v>92</v>
      </c>
      <c r="F46" s="2">
        <f t="shared" si="0"/>
        <v>0</v>
      </c>
      <c r="G46" s="2"/>
    </row>
    <row r="47" spans="2:8" x14ac:dyDescent="0.25">
      <c r="B47" s="156">
        <v>46292</v>
      </c>
      <c r="C47" s="2" t="s">
        <v>5054</v>
      </c>
      <c r="D47" s="2"/>
      <c r="E47" s="2">
        <v>92</v>
      </c>
      <c r="F47" s="2">
        <f t="shared" si="0"/>
        <v>0</v>
      </c>
      <c r="G47" s="2"/>
    </row>
    <row r="48" spans="2:8" x14ac:dyDescent="0.25">
      <c r="B48" s="156">
        <v>46293</v>
      </c>
      <c r="C48" s="2" t="s">
        <v>8025</v>
      </c>
      <c r="D48" s="2"/>
      <c r="E48" s="2">
        <v>92</v>
      </c>
      <c r="F48" s="2">
        <f t="shared" si="0"/>
        <v>0</v>
      </c>
      <c r="G48" s="2"/>
    </row>
    <row r="49" spans="2:7" x14ac:dyDescent="0.25">
      <c r="B49" s="156">
        <v>46294</v>
      </c>
      <c r="C49" s="2" t="s">
        <v>8026</v>
      </c>
      <c r="D49" s="2"/>
      <c r="E49" s="2">
        <v>92</v>
      </c>
      <c r="F49" s="2">
        <f t="shared" si="0"/>
        <v>0</v>
      </c>
      <c r="G49" s="2"/>
    </row>
    <row r="50" spans="2:7" x14ac:dyDescent="0.25">
      <c r="B50" s="173">
        <v>46295</v>
      </c>
      <c r="C50" s="2" t="s">
        <v>8067</v>
      </c>
      <c r="D50" s="18"/>
      <c r="E50" s="18">
        <v>93</v>
      </c>
      <c r="F50" s="18">
        <f t="shared" si="0"/>
        <v>1</v>
      </c>
      <c r="G50" s="18"/>
    </row>
    <row r="51" spans="2:7" x14ac:dyDescent="0.25">
      <c r="B51" s="156">
        <v>46296</v>
      </c>
      <c r="C51" s="2" t="s">
        <v>8085</v>
      </c>
      <c r="D51" s="2"/>
      <c r="E51" s="2">
        <v>30</v>
      </c>
      <c r="F51" s="2">
        <f t="shared" si="0"/>
        <v>-63</v>
      </c>
      <c r="G51" s="2"/>
    </row>
    <row r="52" spans="2:7" x14ac:dyDescent="0.25">
      <c r="B52" s="156">
        <v>46297</v>
      </c>
      <c r="C52" s="2" t="s">
        <v>8105</v>
      </c>
      <c r="D52" s="2" t="s">
        <v>8106</v>
      </c>
      <c r="E52" s="2">
        <v>35</v>
      </c>
      <c r="F52" s="2">
        <f t="shared" si="0"/>
        <v>5</v>
      </c>
      <c r="G52" s="2"/>
    </row>
    <row r="53" spans="2:7" x14ac:dyDescent="0.25">
      <c r="B53" s="156">
        <v>46298</v>
      </c>
      <c r="C53" s="2"/>
      <c r="D53" s="2"/>
      <c r="E53" s="2"/>
      <c r="F53" s="2">
        <f t="shared" si="0"/>
        <v>-35</v>
      </c>
      <c r="G53" s="2"/>
    </row>
    <row r="54" spans="2:7" x14ac:dyDescent="0.25">
      <c r="B54" s="156">
        <v>46299</v>
      </c>
      <c r="C54" s="2"/>
      <c r="D54" s="2"/>
      <c r="E54" s="2"/>
      <c r="F54" s="2">
        <f t="shared" si="0"/>
        <v>0</v>
      </c>
      <c r="G54" s="2"/>
    </row>
    <row r="55" spans="2:7" x14ac:dyDescent="0.25">
      <c r="B55" s="156">
        <v>46300</v>
      </c>
      <c r="C55" s="2"/>
      <c r="D55" s="2"/>
      <c r="E55" s="2"/>
      <c r="F55" s="2">
        <f t="shared" si="0"/>
        <v>0</v>
      </c>
      <c r="G55" s="2"/>
    </row>
    <row r="56" spans="2:7" x14ac:dyDescent="0.25">
      <c r="B56" s="156">
        <v>46301</v>
      </c>
      <c r="C56" s="2"/>
      <c r="D56" s="2"/>
      <c r="E56" s="2"/>
      <c r="F56" s="2">
        <f t="shared" si="0"/>
        <v>0</v>
      </c>
      <c r="G56" s="2"/>
    </row>
    <row r="57" spans="2:7" x14ac:dyDescent="0.25">
      <c r="B57" s="156">
        <v>46302</v>
      </c>
      <c r="C57" s="2"/>
      <c r="D57" s="2"/>
      <c r="E57" s="2"/>
      <c r="F57" s="2">
        <f t="shared" si="0"/>
        <v>0</v>
      </c>
      <c r="G57" s="2"/>
    </row>
    <row r="58" spans="2:7" x14ac:dyDescent="0.25">
      <c r="B58" s="156">
        <v>46303</v>
      </c>
      <c r="C58" s="2"/>
      <c r="D58" s="2"/>
      <c r="E58" s="2"/>
      <c r="F58" s="2">
        <f t="shared" si="0"/>
        <v>0</v>
      </c>
      <c r="G58" s="2"/>
    </row>
    <row r="59" spans="2:7" x14ac:dyDescent="0.25">
      <c r="B59" s="156">
        <v>46304</v>
      </c>
      <c r="C59" s="2"/>
      <c r="D59" s="2"/>
      <c r="E59" s="2"/>
      <c r="F59" s="2">
        <f t="shared" si="0"/>
        <v>0</v>
      </c>
      <c r="G59" s="2"/>
    </row>
    <row r="60" spans="2:7" x14ac:dyDescent="0.25">
      <c r="B60" s="156">
        <v>46305</v>
      </c>
      <c r="C60" s="2"/>
      <c r="D60" s="2"/>
      <c r="E60" s="2"/>
      <c r="F60" s="2">
        <f t="shared" si="0"/>
        <v>0</v>
      </c>
      <c r="G60" s="2"/>
    </row>
    <row r="61" spans="2:7" x14ac:dyDescent="0.25">
      <c r="B61" s="156">
        <v>46306</v>
      </c>
      <c r="C61" s="2"/>
      <c r="D61" s="2"/>
      <c r="E61" s="2"/>
      <c r="F61" s="2">
        <f t="shared" si="0"/>
        <v>0</v>
      </c>
      <c r="G61" s="2"/>
    </row>
    <row r="62" spans="2:7" x14ac:dyDescent="0.25">
      <c r="B62" s="156">
        <v>46307</v>
      </c>
      <c r="C62" s="2"/>
      <c r="D62" s="2"/>
      <c r="E62" s="2"/>
      <c r="F62" s="2">
        <f t="shared" si="0"/>
        <v>0</v>
      </c>
      <c r="G62" s="2"/>
    </row>
    <row r="63" spans="2:7" x14ac:dyDescent="0.25">
      <c r="B63" s="156">
        <v>46308</v>
      </c>
      <c r="C63" s="2"/>
      <c r="D63" s="2"/>
      <c r="E63" s="2"/>
      <c r="F63" s="2">
        <f t="shared" si="0"/>
        <v>0</v>
      </c>
      <c r="G63" s="2"/>
    </row>
    <row r="64" spans="2:7" x14ac:dyDescent="0.25">
      <c r="B64" s="156">
        <v>46309</v>
      </c>
      <c r="C64" s="2"/>
      <c r="D64" s="2"/>
      <c r="E64" s="2"/>
      <c r="F64" s="2">
        <f t="shared" si="0"/>
        <v>0</v>
      </c>
      <c r="G64" s="2"/>
    </row>
    <row r="65" spans="2:7" x14ac:dyDescent="0.25">
      <c r="B65" s="156">
        <v>46310</v>
      </c>
      <c r="C65" s="2"/>
      <c r="D65" s="2"/>
      <c r="E65" s="2"/>
      <c r="F65" s="2">
        <f t="shared" si="0"/>
        <v>0</v>
      </c>
      <c r="G65" s="2"/>
    </row>
    <row r="66" spans="2:7" x14ac:dyDescent="0.25">
      <c r="B66" s="156">
        <v>46311</v>
      </c>
      <c r="C66" s="2"/>
      <c r="D66" s="2"/>
      <c r="E66" s="2"/>
      <c r="F66" s="2">
        <f t="shared" si="0"/>
        <v>0</v>
      </c>
      <c r="G66" s="2"/>
    </row>
    <row r="67" spans="2:7" x14ac:dyDescent="0.25">
      <c r="B67" s="156">
        <v>46312</v>
      </c>
      <c r="C67" s="2"/>
      <c r="D67" s="2"/>
      <c r="E67" s="2"/>
      <c r="F67" s="2">
        <f t="shared" si="0"/>
        <v>0</v>
      </c>
      <c r="G67" s="2"/>
    </row>
    <row r="68" spans="2:7" x14ac:dyDescent="0.25">
      <c r="B68" s="156">
        <v>46313</v>
      </c>
      <c r="C68" s="2"/>
      <c r="D68" s="2"/>
      <c r="E68" s="2"/>
      <c r="F68" s="2">
        <f t="shared" si="0"/>
        <v>0</v>
      </c>
      <c r="G68" s="2"/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BC293-AD42-4528-8089-FB5F3F713CEC}">
  <dimension ref="B2:H59"/>
  <sheetViews>
    <sheetView topLeftCell="A31" workbookViewId="0">
      <selection activeCell="C39" sqref="C39"/>
    </sheetView>
  </sheetViews>
  <sheetFormatPr defaultRowHeight="15" x14ac:dyDescent="0.25"/>
  <cols>
    <col min="2" max="2" width="18" bestFit="1" customWidth="1"/>
    <col min="3" max="3" width="74.28515625" bestFit="1" customWidth="1"/>
    <col min="4" max="4" width="42.140625" bestFit="1" customWidth="1"/>
    <col min="5" max="5" width="11.85546875" bestFit="1" customWidth="1"/>
    <col min="7" max="8" width="11" bestFit="1" customWidth="1"/>
  </cols>
  <sheetData>
    <row r="2" spans="2:8" x14ac:dyDescent="0.25">
      <c r="B2" s="53" t="s">
        <v>3371</v>
      </c>
      <c r="D2" s="123" t="s">
        <v>1324</v>
      </c>
      <c r="E2" s="24">
        <v>200</v>
      </c>
      <c r="F2" s="24"/>
    </row>
    <row r="3" spans="2:8" ht="15.75" x14ac:dyDescent="0.25">
      <c r="B3" s="10" t="s">
        <v>0</v>
      </c>
      <c r="C3" s="11" t="s">
        <v>1</v>
      </c>
      <c r="D3" s="11" t="s">
        <v>2</v>
      </c>
      <c r="E3" s="11" t="s">
        <v>934</v>
      </c>
      <c r="F3" s="11" t="s">
        <v>1095</v>
      </c>
      <c r="G3" s="11" t="s">
        <v>1507</v>
      </c>
      <c r="H3" s="11" t="s">
        <v>939</v>
      </c>
    </row>
    <row r="4" spans="2:8" x14ac:dyDescent="0.25">
      <c r="B4" s="156">
        <v>46260</v>
      </c>
      <c r="C4" s="2" t="s">
        <v>7734</v>
      </c>
      <c r="D4" s="2"/>
      <c r="E4" s="23"/>
      <c r="F4" s="23"/>
      <c r="G4" s="2"/>
      <c r="H4" s="2"/>
    </row>
    <row r="5" spans="2:8" x14ac:dyDescent="0.25">
      <c r="B5" s="156">
        <v>46261</v>
      </c>
      <c r="C5" s="2" t="s">
        <v>7735</v>
      </c>
      <c r="D5" s="2" t="s">
        <v>7736</v>
      </c>
      <c r="E5" s="23">
        <v>3</v>
      </c>
      <c r="F5" s="23">
        <f>E5-E4</f>
        <v>3</v>
      </c>
      <c r="G5" s="2"/>
      <c r="H5" s="2"/>
    </row>
    <row r="6" spans="2:8" x14ac:dyDescent="0.25">
      <c r="B6" s="156">
        <v>46262</v>
      </c>
      <c r="C6" s="2" t="s">
        <v>7737</v>
      </c>
      <c r="D6" s="2"/>
      <c r="E6" s="23">
        <v>6</v>
      </c>
      <c r="F6" s="23">
        <f t="shared" ref="F6:F51" si="0">E6-E5</f>
        <v>3</v>
      </c>
      <c r="G6" s="2"/>
      <c r="H6" s="2"/>
    </row>
    <row r="7" spans="2:8" x14ac:dyDescent="0.25">
      <c r="B7" s="156">
        <v>46263</v>
      </c>
      <c r="C7" s="2" t="s">
        <v>7744</v>
      </c>
      <c r="D7" s="2" t="s">
        <v>7745</v>
      </c>
      <c r="E7" s="23">
        <v>6</v>
      </c>
      <c r="F7" s="23">
        <f t="shared" si="0"/>
        <v>0</v>
      </c>
      <c r="G7" s="2"/>
      <c r="H7" s="2"/>
    </row>
    <row r="8" spans="2:8" ht="30" x14ac:dyDescent="0.25">
      <c r="B8" s="163">
        <v>46264</v>
      </c>
      <c r="C8" s="35" t="s">
        <v>7746</v>
      </c>
      <c r="D8" s="30" t="s">
        <v>7747</v>
      </c>
      <c r="E8" s="25">
        <v>9</v>
      </c>
      <c r="F8" s="25">
        <f t="shared" si="0"/>
        <v>3</v>
      </c>
      <c r="G8" s="2"/>
      <c r="H8" s="2"/>
    </row>
    <row r="9" spans="2:8" x14ac:dyDescent="0.25">
      <c r="B9" s="156">
        <v>46265</v>
      </c>
      <c r="C9" s="35" t="s">
        <v>7763</v>
      </c>
      <c r="D9" s="2" t="s">
        <v>7764</v>
      </c>
      <c r="E9" s="23">
        <v>12</v>
      </c>
      <c r="F9" s="23">
        <f t="shared" si="0"/>
        <v>3</v>
      </c>
      <c r="G9" s="2"/>
      <c r="H9" s="2"/>
    </row>
    <row r="10" spans="2:8" x14ac:dyDescent="0.25">
      <c r="B10" s="156">
        <v>46266</v>
      </c>
      <c r="C10" s="2" t="s">
        <v>7769</v>
      </c>
      <c r="D10" s="2"/>
      <c r="E10" s="23">
        <v>12</v>
      </c>
      <c r="F10" s="23">
        <f t="shared" si="0"/>
        <v>0</v>
      </c>
      <c r="G10" s="2"/>
      <c r="H10" s="2"/>
    </row>
    <row r="11" spans="2:8" x14ac:dyDescent="0.25">
      <c r="B11" s="156">
        <v>46267</v>
      </c>
      <c r="C11" s="2" t="s">
        <v>7770</v>
      </c>
      <c r="D11" s="2"/>
      <c r="E11" s="23">
        <v>12</v>
      </c>
      <c r="F11" s="23">
        <f t="shared" si="0"/>
        <v>0</v>
      </c>
      <c r="G11" s="2"/>
      <c r="H11" s="2"/>
    </row>
    <row r="12" spans="2:8" x14ac:dyDescent="0.25">
      <c r="B12" s="156">
        <v>46268</v>
      </c>
      <c r="C12" s="35" t="s">
        <v>7771</v>
      </c>
      <c r="D12" s="2" t="s">
        <v>7772</v>
      </c>
      <c r="E12" s="23">
        <v>15</v>
      </c>
      <c r="F12" s="23">
        <f t="shared" si="0"/>
        <v>3</v>
      </c>
      <c r="G12" s="2"/>
      <c r="H12" s="2"/>
    </row>
    <row r="13" spans="2:8" x14ac:dyDescent="0.25">
      <c r="B13" s="156">
        <v>46269</v>
      </c>
      <c r="C13" s="35" t="s">
        <v>7777</v>
      </c>
      <c r="D13" s="2" t="s">
        <v>7778</v>
      </c>
      <c r="E13" s="23">
        <v>16</v>
      </c>
      <c r="F13" s="23">
        <f t="shared" si="0"/>
        <v>1</v>
      </c>
      <c r="G13" s="2"/>
      <c r="H13" s="2"/>
    </row>
    <row r="14" spans="2:8" x14ac:dyDescent="0.25">
      <c r="B14" s="156">
        <v>46270</v>
      </c>
      <c r="C14" s="35" t="s">
        <v>7779</v>
      </c>
      <c r="D14" s="2" t="s">
        <v>7778</v>
      </c>
      <c r="E14" s="23">
        <v>17</v>
      </c>
      <c r="F14" s="23">
        <f t="shared" si="0"/>
        <v>1</v>
      </c>
      <c r="G14" s="2"/>
      <c r="H14" s="2"/>
    </row>
    <row r="15" spans="2:8" x14ac:dyDescent="0.25">
      <c r="B15" s="156">
        <v>46271</v>
      </c>
      <c r="C15" s="35" t="s">
        <v>7786</v>
      </c>
      <c r="D15" s="2" t="s">
        <v>7778</v>
      </c>
      <c r="E15" s="23">
        <v>19</v>
      </c>
      <c r="F15" s="23">
        <f t="shared" si="0"/>
        <v>2</v>
      </c>
      <c r="G15" s="2"/>
      <c r="H15" s="2"/>
    </row>
    <row r="16" spans="2:8" x14ac:dyDescent="0.25">
      <c r="B16" s="156">
        <v>46272</v>
      </c>
      <c r="C16" s="35" t="s">
        <v>7787</v>
      </c>
      <c r="D16" s="2" t="s">
        <v>7788</v>
      </c>
      <c r="E16" s="23">
        <v>21</v>
      </c>
      <c r="F16" s="23">
        <f t="shared" si="0"/>
        <v>2</v>
      </c>
      <c r="G16" s="2"/>
      <c r="H16" s="2"/>
    </row>
    <row r="17" spans="2:8" x14ac:dyDescent="0.25">
      <c r="B17" s="156">
        <v>46273</v>
      </c>
      <c r="C17" s="35" t="s">
        <v>7787</v>
      </c>
      <c r="D17" s="2" t="s">
        <v>7791</v>
      </c>
      <c r="E17" s="23">
        <v>21</v>
      </c>
      <c r="F17" s="23">
        <f t="shared" si="0"/>
        <v>0</v>
      </c>
      <c r="G17" s="2"/>
      <c r="H17" s="2"/>
    </row>
    <row r="18" spans="2:8" x14ac:dyDescent="0.25">
      <c r="B18" s="156">
        <v>46274</v>
      </c>
      <c r="C18" s="2" t="s">
        <v>7790</v>
      </c>
      <c r="D18" s="2"/>
      <c r="E18" s="23">
        <v>21</v>
      </c>
      <c r="F18" s="23">
        <f t="shared" si="0"/>
        <v>0</v>
      </c>
      <c r="G18" s="2"/>
      <c r="H18" s="2"/>
    </row>
    <row r="19" spans="2:8" x14ac:dyDescent="0.25">
      <c r="B19" s="156">
        <v>46275</v>
      </c>
      <c r="C19" s="2" t="s">
        <v>7795</v>
      </c>
      <c r="D19" s="2"/>
      <c r="E19" s="23">
        <v>21</v>
      </c>
      <c r="F19" s="23">
        <f t="shared" si="0"/>
        <v>0</v>
      </c>
      <c r="G19" s="2"/>
      <c r="H19" s="2"/>
    </row>
    <row r="20" spans="2:8" x14ac:dyDescent="0.25">
      <c r="B20" s="156">
        <v>46276</v>
      </c>
      <c r="C20" s="2" t="s">
        <v>7803</v>
      </c>
      <c r="D20" s="2"/>
      <c r="E20" s="23"/>
      <c r="F20" s="23">
        <f t="shared" si="0"/>
        <v>-21</v>
      </c>
      <c r="G20" s="2"/>
      <c r="H20" s="2"/>
    </row>
    <row r="21" spans="2:8" x14ac:dyDescent="0.25">
      <c r="B21" s="156">
        <v>46277</v>
      </c>
      <c r="C21" s="2" t="s">
        <v>7804</v>
      </c>
      <c r="D21" s="2"/>
      <c r="E21" s="23"/>
      <c r="F21" s="23">
        <f t="shared" si="0"/>
        <v>0</v>
      </c>
      <c r="G21" s="2"/>
      <c r="H21" s="2"/>
    </row>
    <row r="22" spans="2:8" x14ac:dyDescent="0.25">
      <c r="B22" s="156">
        <v>46278</v>
      </c>
      <c r="C22" s="2" t="s">
        <v>7805</v>
      </c>
      <c r="D22" s="2"/>
      <c r="E22" s="23"/>
      <c r="F22" s="23">
        <f t="shared" si="0"/>
        <v>0</v>
      </c>
      <c r="G22" s="2"/>
      <c r="H22" s="2"/>
    </row>
    <row r="23" spans="2:8" x14ac:dyDescent="0.25">
      <c r="B23" s="156">
        <v>46279</v>
      </c>
      <c r="C23" s="2" t="s">
        <v>7811</v>
      </c>
      <c r="D23" s="2"/>
      <c r="E23" s="23">
        <v>7</v>
      </c>
      <c r="F23" s="23">
        <f t="shared" si="0"/>
        <v>7</v>
      </c>
      <c r="G23" s="2"/>
      <c r="H23" s="2"/>
    </row>
    <row r="24" spans="2:8" x14ac:dyDescent="0.25">
      <c r="B24" s="156">
        <v>46280</v>
      </c>
      <c r="C24" s="35" t="s">
        <v>7812</v>
      </c>
      <c r="D24" s="2"/>
      <c r="E24" s="23">
        <v>11</v>
      </c>
      <c r="F24" s="23">
        <f t="shared" si="0"/>
        <v>4</v>
      </c>
      <c r="G24" s="2"/>
      <c r="H24" s="2"/>
    </row>
    <row r="25" spans="2:8" x14ac:dyDescent="0.25">
      <c r="B25" s="156">
        <v>46281</v>
      </c>
      <c r="C25" s="35" t="s">
        <v>7812</v>
      </c>
      <c r="D25" s="2" t="s">
        <v>7932</v>
      </c>
      <c r="E25" s="23">
        <v>11</v>
      </c>
      <c r="F25" s="23">
        <f t="shared" si="0"/>
        <v>0</v>
      </c>
      <c r="G25" s="2"/>
      <c r="H25" s="2"/>
    </row>
    <row r="26" spans="2:8" x14ac:dyDescent="0.25">
      <c r="B26" s="156">
        <v>46282</v>
      </c>
      <c r="C26" s="35" t="s">
        <v>7955</v>
      </c>
      <c r="D26" s="2"/>
      <c r="E26" s="23">
        <v>12</v>
      </c>
      <c r="F26" s="23">
        <f t="shared" si="0"/>
        <v>1</v>
      </c>
      <c r="G26" s="2"/>
      <c r="H26" s="2"/>
    </row>
    <row r="27" spans="2:8" x14ac:dyDescent="0.25">
      <c r="B27" s="156">
        <v>46283</v>
      </c>
      <c r="C27" s="35" t="s">
        <v>7956</v>
      </c>
      <c r="D27" s="2" t="s">
        <v>7957</v>
      </c>
      <c r="E27" s="23">
        <v>13</v>
      </c>
      <c r="F27" s="23">
        <f t="shared" si="0"/>
        <v>1</v>
      </c>
      <c r="G27" s="2"/>
      <c r="H27" s="2"/>
    </row>
    <row r="28" spans="2:8" x14ac:dyDescent="0.25">
      <c r="B28" s="156">
        <v>46284</v>
      </c>
      <c r="C28" s="35" t="s">
        <v>7956</v>
      </c>
      <c r="D28" s="2" t="s">
        <v>7959</v>
      </c>
      <c r="E28" s="23">
        <v>13</v>
      </c>
      <c r="F28" s="23">
        <f t="shared" si="0"/>
        <v>0</v>
      </c>
      <c r="G28" s="2"/>
      <c r="H28" s="2"/>
    </row>
    <row r="29" spans="2:8" x14ac:dyDescent="0.25">
      <c r="B29" s="156">
        <v>46285</v>
      </c>
      <c r="C29" s="35" t="s">
        <v>7956</v>
      </c>
      <c r="D29" s="2" t="s">
        <v>7959</v>
      </c>
      <c r="E29" s="23">
        <v>13</v>
      </c>
      <c r="F29" s="23">
        <f t="shared" si="0"/>
        <v>0</v>
      </c>
      <c r="G29" s="2"/>
      <c r="H29" s="2" t="s">
        <v>7965</v>
      </c>
    </row>
    <row r="30" spans="2:8" x14ac:dyDescent="0.25">
      <c r="B30" s="156">
        <v>46286</v>
      </c>
      <c r="C30" s="35" t="s">
        <v>7978</v>
      </c>
      <c r="D30" s="2"/>
      <c r="E30" s="23">
        <v>16</v>
      </c>
      <c r="F30" s="23">
        <f t="shared" si="0"/>
        <v>3</v>
      </c>
      <c r="G30" s="2"/>
      <c r="H30" s="2" t="s">
        <v>7966</v>
      </c>
    </row>
    <row r="31" spans="2:8" x14ac:dyDescent="0.25">
      <c r="B31" s="156">
        <v>46287</v>
      </c>
      <c r="C31" s="35" t="s">
        <v>7979</v>
      </c>
      <c r="D31" s="2"/>
      <c r="E31" s="23">
        <v>19</v>
      </c>
      <c r="F31" s="23">
        <f t="shared" si="0"/>
        <v>3</v>
      </c>
      <c r="G31" s="2"/>
      <c r="H31" s="2"/>
    </row>
    <row r="32" spans="2:8" x14ac:dyDescent="0.25">
      <c r="B32" s="156">
        <v>46288</v>
      </c>
      <c r="C32" s="35" t="s">
        <v>7979</v>
      </c>
      <c r="D32" s="2" t="s">
        <v>7997</v>
      </c>
      <c r="E32" s="23">
        <v>19</v>
      </c>
      <c r="F32" s="23">
        <f t="shared" si="0"/>
        <v>0</v>
      </c>
      <c r="G32" s="2"/>
      <c r="H32" s="2"/>
    </row>
    <row r="33" spans="2:8" x14ac:dyDescent="0.25">
      <c r="B33" s="156">
        <v>46289</v>
      </c>
      <c r="C33" s="2" t="s">
        <v>5924</v>
      </c>
      <c r="D33" s="2"/>
      <c r="E33" s="23">
        <v>19</v>
      </c>
      <c r="F33" s="23">
        <f t="shared" si="0"/>
        <v>0</v>
      </c>
      <c r="G33" s="2"/>
      <c r="H33" s="2"/>
    </row>
    <row r="34" spans="2:8" x14ac:dyDescent="0.25">
      <c r="B34" s="156">
        <v>46290</v>
      </c>
      <c r="C34" s="2" t="s">
        <v>5924</v>
      </c>
      <c r="D34" s="2"/>
      <c r="E34" s="23">
        <v>19</v>
      </c>
      <c r="F34" s="23">
        <f t="shared" si="0"/>
        <v>0</v>
      </c>
      <c r="G34" s="2"/>
      <c r="H34" s="2"/>
    </row>
    <row r="35" spans="2:8" x14ac:dyDescent="0.25">
      <c r="B35" s="156">
        <v>46291</v>
      </c>
      <c r="C35" s="35" t="s">
        <v>8027</v>
      </c>
      <c r="D35" s="2" t="s">
        <v>8028</v>
      </c>
      <c r="E35" s="23">
        <v>20</v>
      </c>
      <c r="F35" s="23">
        <f t="shared" si="0"/>
        <v>1</v>
      </c>
      <c r="G35" s="2"/>
      <c r="H35" s="2"/>
    </row>
    <row r="36" spans="2:8" x14ac:dyDescent="0.25">
      <c r="B36" s="156">
        <v>46292</v>
      </c>
      <c r="C36" s="2" t="s">
        <v>8051</v>
      </c>
      <c r="D36" s="2"/>
      <c r="E36" s="23">
        <v>20</v>
      </c>
      <c r="F36" s="23">
        <f t="shared" si="0"/>
        <v>0</v>
      </c>
      <c r="G36" s="2"/>
      <c r="H36" s="2"/>
    </row>
    <row r="37" spans="2:8" x14ac:dyDescent="0.25">
      <c r="B37" s="156">
        <v>46293</v>
      </c>
      <c r="C37" s="2" t="s">
        <v>8065</v>
      </c>
      <c r="D37" s="2" t="s">
        <v>8064</v>
      </c>
      <c r="E37" s="23">
        <v>20</v>
      </c>
      <c r="F37" s="23">
        <f t="shared" si="0"/>
        <v>0</v>
      </c>
      <c r="G37" s="2"/>
      <c r="H37" s="2"/>
    </row>
    <row r="38" spans="2:8" x14ac:dyDescent="0.25">
      <c r="B38" s="156">
        <v>46294</v>
      </c>
      <c r="C38" s="2" t="s">
        <v>8086</v>
      </c>
      <c r="D38" s="2"/>
      <c r="E38" s="23">
        <v>21</v>
      </c>
      <c r="F38" s="23">
        <f t="shared" si="0"/>
        <v>1</v>
      </c>
      <c r="G38" s="2"/>
      <c r="H38" s="2"/>
    </row>
    <row r="39" spans="2:8" x14ac:dyDescent="0.25">
      <c r="B39" s="156">
        <v>46295</v>
      </c>
      <c r="C39" s="2" t="s">
        <v>8104</v>
      </c>
      <c r="D39" s="2"/>
      <c r="E39" s="23"/>
      <c r="F39" s="23">
        <f t="shared" si="0"/>
        <v>-21</v>
      </c>
      <c r="G39" s="2"/>
      <c r="H39" s="2"/>
    </row>
    <row r="40" spans="2:8" x14ac:dyDescent="0.25">
      <c r="B40" s="156">
        <v>46296</v>
      </c>
      <c r="C40" s="2"/>
      <c r="D40" s="2"/>
      <c r="E40" s="23"/>
      <c r="F40" s="23">
        <f t="shared" si="0"/>
        <v>0</v>
      </c>
      <c r="G40" s="2"/>
      <c r="H40" s="2"/>
    </row>
    <row r="41" spans="2:8" x14ac:dyDescent="0.25">
      <c r="B41" s="156">
        <v>46297</v>
      </c>
      <c r="C41" s="2"/>
      <c r="D41" s="2"/>
      <c r="E41" s="2"/>
      <c r="F41" s="23">
        <f t="shared" si="0"/>
        <v>0</v>
      </c>
      <c r="G41" s="2"/>
      <c r="H41" s="2"/>
    </row>
    <row r="42" spans="2:8" x14ac:dyDescent="0.25">
      <c r="B42" s="156">
        <v>46298</v>
      </c>
      <c r="C42" s="2"/>
      <c r="D42" s="2"/>
      <c r="E42" s="2"/>
      <c r="F42" s="23">
        <f t="shared" si="0"/>
        <v>0</v>
      </c>
      <c r="G42" s="2"/>
      <c r="H42" s="2"/>
    </row>
    <row r="43" spans="2:8" x14ac:dyDescent="0.25">
      <c r="B43" s="156">
        <v>46299</v>
      </c>
      <c r="C43" s="2"/>
      <c r="D43" s="2"/>
      <c r="E43" s="2"/>
      <c r="F43" s="23">
        <f t="shared" si="0"/>
        <v>0</v>
      </c>
      <c r="G43" s="2"/>
      <c r="H43" s="2"/>
    </row>
    <row r="44" spans="2:8" x14ac:dyDescent="0.25">
      <c r="B44" s="156">
        <v>46300</v>
      </c>
      <c r="C44" s="2"/>
      <c r="D44" s="2"/>
      <c r="E44" s="2"/>
      <c r="F44" s="23">
        <f t="shared" si="0"/>
        <v>0</v>
      </c>
      <c r="G44" s="2"/>
      <c r="H44" s="2"/>
    </row>
    <row r="45" spans="2:8" x14ac:dyDescent="0.25">
      <c r="B45" s="156">
        <v>46301</v>
      </c>
      <c r="C45" s="2"/>
      <c r="D45" s="2"/>
      <c r="E45" s="2"/>
      <c r="F45" s="23">
        <f t="shared" si="0"/>
        <v>0</v>
      </c>
      <c r="G45" s="2"/>
      <c r="H45" s="2"/>
    </row>
    <row r="46" spans="2:8" x14ac:dyDescent="0.25">
      <c r="B46" s="156">
        <v>46302</v>
      </c>
      <c r="C46" s="2"/>
      <c r="D46" s="2"/>
      <c r="E46" s="2"/>
      <c r="F46" s="23">
        <f t="shared" si="0"/>
        <v>0</v>
      </c>
      <c r="G46" s="2"/>
      <c r="H46" s="2"/>
    </row>
    <row r="47" spans="2:8" x14ac:dyDescent="0.25">
      <c r="B47" s="156">
        <v>46303</v>
      </c>
      <c r="C47" s="2"/>
      <c r="D47" s="2"/>
      <c r="E47" s="2"/>
      <c r="F47" s="23">
        <f t="shared" si="0"/>
        <v>0</v>
      </c>
      <c r="G47" s="2"/>
      <c r="H47" s="2"/>
    </row>
    <row r="48" spans="2:8" x14ac:dyDescent="0.25">
      <c r="B48" s="156">
        <v>46304</v>
      </c>
      <c r="C48" s="2"/>
      <c r="D48" s="2"/>
      <c r="E48" s="2"/>
      <c r="F48" s="23">
        <f t="shared" si="0"/>
        <v>0</v>
      </c>
      <c r="G48" s="2"/>
      <c r="H48" s="2"/>
    </row>
    <row r="49" spans="2:8" x14ac:dyDescent="0.25">
      <c r="B49" s="156">
        <v>46305</v>
      </c>
      <c r="C49" s="2"/>
      <c r="D49" s="2"/>
      <c r="E49" s="2"/>
      <c r="F49" s="23">
        <f t="shared" si="0"/>
        <v>0</v>
      </c>
      <c r="G49" s="2"/>
      <c r="H49" s="2"/>
    </row>
    <row r="50" spans="2:8" x14ac:dyDescent="0.25">
      <c r="B50" s="156">
        <v>46306</v>
      </c>
      <c r="C50" s="2"/>
      <c r="D50" s="2"/>
      <c r="E50" s="2"/>
      <c r="F50" s="23">
        <f t="shared" si="0"/>
        <v>0</v>
      </c>
      <c r="G50" s="2"/>
      <c r="H50" s="2"/>
    </row>
    <row r="51" spans="2:8" x14ac:dyDescent="0.25">
      <c r="B51" s="156">
        <v>46307</v>
      </c>
      <c r="C51" s="2"/>
      <c r="D51" s="2"/>
      <c r="E51" s="2"/>
      <c r="F51" s="23">
        <f t="shared" si="0"/>
        <v>0</v>
      </c>
      <c r="G51" s="2"/>
      <c r="H51" s="2"/>
    </row>
    <row r="52" spans="2:8" x14ac:dyDescent="0.25">
      <c r="B52" s="156">
        <v>46308</v>
      </c>
      <c r="C52" s="2"/>
      <c r="D52" s="2"/>
      <c r="E52" s="2"/>
      <c r="F52" s="2"/>
      <c r="G52" s="2"/>
      <c r="H52" s="2"/>
    </row>
    <row r="53" spans="2:8" x14ac:dyDescent="0.25">
      <c r="B53" s="156">
        <v>46309</v>
      </c>
      <c r="C53" s="2"/>
      <c r="D53" s="2"/>
      <c r="E53" s="2"/>
      <c r="F53" s="2"/>
      <c r="G53" s="2"/>
      <c r="H53" s="2"/>
    </row>
    <row r="54" spans="2:8" x14ac:dyDescent="0.25">
      <c r="B54" s="156">
        <v>46310</v>
      </c>
      <c r="C54" s="2"/>
      <c r="D54" s="2"/>
      <c r="E54" s="2"/>
      <c r="F54" s="2"/>
      <c r="G54" s="2"/>
      <c r="H54" s="2"/>
    </row>
    <row r="55" spans="2:8" x14ac:dyDescent="0.25">
      <c r="B55" s="156">
        <v>46311</v>
      </c>
      <c r="C55" s="2"/>
      <c r="D55" s="2"/>
      <c r="E55" s="2"/>
      <c r="F55" s="2"/>
      <c r="G55" s="2"/>
      <c r="H55" s="2"/>
    </row>
    <row r="56" spans="2:8" x14ac:dyDescent="0.25">
      <c r="B56" s="156">
        <v>46312</v>
      </c>
      <c r="C56" s="2"/>
      <c r="D56" s="2"/>
      <c r="E56" s="2"/>
      <c r="F56" s="2"/>
      <c r="G56" s="2"/>
      <c r="H56" s="2"/>
    </row>
    <row r="57" spans="2:8" x14ac:dyDescent="0.25">
      <c r="B57" s="156">
        <v>46313</v>
      </c>
      <c r="C57" s="2"/>
      <c r="D57" s="2"/>
      <c r="E57" s="2"/>
      <c r="F57" s="2"/>
      <c r="G57" s="2"/>
      <c r="H57" s="2"/>
    </row>
    <row r="58" spans="2:8" x14ac:dyDescent="0.25">
      <c r="B58" s="156">
        <v>46314</v>
      </c>
      <c r="C58" s="2"/>
      <c r="D58" s="2"/>
      <c r="E58" s="2"/>
      <c r="F58" s="2"/>
      <c r="G58" s="2"/>
      <c r="H58" s="2"/>
    </row>
    <row r="59" spans="2:8" x14ac:dyDescent="0.25">
      <c r="B59" s="156">
        <v>46315</v>
      </c>
      <c r="C59" s="2"/>
      <c r="D59" s="2"/>
      <c r="E59" s="2"/>
      <c r="F59" s="2"/>
      <c r="G59" s="2"/>
      <c r="H59" s="2"/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C935C-806F-4AA4-AC9F-B177A9885E96}">
  <dimension ref="B2:G40"/>
  <sheetViews>
    <sheetView topLeftCell="A10" workbookViewId="0">
      <selection activeCell="C30" sqref="C30"/>
    </sheetView>
  </sheetViews>
  <sheetFormatPr defaultRowHeight="15" x14ac:dyDescent="0.25"/>
  <cols>
    <col min="2" max="2" width="18" bestFit="1" customWidth="1"/>
    <col min="3" max="3" width="74.28515625" bestFit="1" customWidth="1"/>
    <col min="4" max="4" width="42.140625" bestFit="1" customWidth="1"/>
    <col min="5" max="5" width="11.85546875" bestFit="1" customWidth="1"/>
    <col min="7" max="7" width="11" bestFit="1" customWidth="1"/>
  </cols>
  <sheetData>
    <row r="2" spans="2:7" x14ac:dyDescent="0.25">
      <c r="B2" s="53" t="s">
        <v>7792</v>
      </c>
      <c r="D2" s="123" t="s">
        <v>1324</v>
      </c>
      <c r="E2" s="24">
        <v>200</v>
      </c>
      <c r="F2" s="24"/>
    </row>
    <row r="3" spans="2:7" ht="15.75" x14ac:dyDescent="0.25">
      <c r="B3" s="10" t="s">
        <v>0</v>
      </c>
      <c r="C3" s="11" t="s">
        <v>1</v>
      </c>
      <c r="D3" s="11" t="s">
        <v>2</v>
      </c>
      <c r="E3" s="11" t="s">
        <v>934</v>
      </c>
      <c r="F3" s="11" t="s">
        <v>1095</v>
      </c>
      <c r="G3" s="11" t="s">
        <v>1507</v>
      </c>
    </row>
    <row r="4" spans="2:7" x14ac:dyDescent="0.25">
      <c r="B4" s="156">
        <v>46272</v>
      </c>
      <c r="C4" s="2" t="s">
        <v>4059</v>
      </c>
      <c r="D4" s="2"/>
      <c r="E4" s="23"/>
      <c r="F4" s="23"/>
      <c r="G4" s="2"/>
    </row>
    <row r="5" spans="2:7" x14ac:dyDescent="0.25">
      <c r="B5" s="156">
        <v>46273</v>
      </c>
      <c r="C5" s="2" t="s">
        <v>7793</v>
      </c>
      <c r="D5" s="2"/>
      <c r="E5" s="23"/>
      <c r="F5" s="23">
        <f>E5-E4</f>
        <v>0</v>
      </c>
      <c r="G5" s="2"/>
    </row>
    <row r="6" spans="2:7" x14ac:dyDescent="0.25">
      <c r="B6" s="156">
        <v>46274</v>
      </c>
      <c r="C6" s="2" t="s">
        <v>279</v>
      </c>
      <c r="D6" s="2"/>
      <c r="E6" s="23"/>
      <c r="F6" s="23">
        <f t="shared" ref="F6:F36" si="0">E6-E5</f>
        <v>0</v>
      </c>
      <c r="G6" s="2"/>
    </row>
    <row r="7" spans="2:7" x14ac:dyDescent="0.25">
      <c r="B7" s="156">
        <v>46275</v>
      </c>
      <c r="C7" s="2" t="s">
        <v>7800</v>
      </c>
      <c r="D7" s="2"/>
      <c r="E7" s="23"/>
      <c r="F7" s="23">
        <f t="shared" si="0"/>
        <v>0</v>
      </c>
      <c r="G7" s="2"/>
    </row>
    <row r="8" spans="2:7" x14ac:dyDescent="0.25">
      <c r="B8" s="156">
        <v>46276</v>
      </c>
      <c r="C8" s="2" t="s">
        <v>7800</v>
      </c>
      <c r="D8" s="30"/>
      <c r="E8" s="25"/>
      <c r="F8" s="25">
        <f t="shared" si="0"/>
        <v>0</v>
      </c>
      <c r="G8" s="2"/>
    </row>
    <row r="9" spans="2:7" x14ac:dyDescent="0.25">
      <c r="B9" s="156">
        <v>46277</v>
      </c>
      <c r="C9" s="35" t="s">
        <v>7801</v>
      </c>
      <c r="D9" s="2"/>
      <c r="E9" s="23"/>
      <c r="F9" s="23">
        <f t="shared" si="0"/>
        <v>0</v>
      </c>
      <c r="G9" s="2"/>
    </row>
    <row r="10" spans="2:7" x14ac:dyDescent="0.25">
      <c r="B10" s="156">
        <v>46278</v>
      </c>
      <c r="C10" s="2" t="s">
        <v>7802</v>
      </c>
      <c r="D10" s="2"/>
      <c r="E10" s="23">
        <v>3</v>
      </c>
      <c r="F10" s="23">
        <f t="shared" si="0"/>
        <v>3</v>
      </c>
      <c r="G10" s="2"/>
    </row>
    <row r="11" spans="2:7" x14ac:dyDescent="0.25">
      <c r="B11" s="156">
        <v>46279</v>
      </c>
      <c r="C11" s="2" t="s">
        <v>7807</v>
      </c>
      <c r="D11" s="2"/>
      <c r="E11" s="23">
        <v>6</v>
      </c>
      <c r="F11" s="23">
        <f t="shared" si="0"/>
        <v>3</v>
      </c>
      <c r="G11" s="2"/>
    </row>
    <row r="12" spans="2:7" x14ac:dyDescent="0.25">
      <c r="B12" s="156">
        <v>46280</v>
      </c>
      <c r="C12" s="2" t="s">
        <v>7810</v>
      </c>
      <c r="D12" s="2"/>
      <c r="E12" s="23">
        <v>15</v>
      </c>
      <c r="F12" s="23">
        <f t="shared" si="0"/>
        <v>9</v>
      </c>
      <c r="G12" s="2"/>
    </row>
    <row r="13" spans="2:7" x14ac:dyDescent="0.25">
      <c r="B13" s="156">
        <v>46281</v>
      </c>
      <c r="C13" s="2" t="s">
        <v>7933</v>
      </c>
      <c r="D13" s="2"/>
      <c r="E13" s="23">
        <v>27</v>
      </c>
      <c r="F13" s="23">
        <f t="shared" si="0"/>
        <v>12</v>
      </c>
      <c r="G13" s="2"/>
    </row>
    <row r="14" spans="2:7" x14ac:dyDescent="0.25">
      <c r="B14" s="156">
        <v>46282</v>
      </c>
      <c r="C14" s="2" t="s">
        <v>7937</v>
      </c>
      <c r="D14" s="2"/>
      <c r="E14" s="23">
        <v>33</v>
      </c>
      <c r="F14" s="23">
        <f t="shared" si="0"/>
        <v>6</v>
      </c>
      <c r="G14" s="2"/>
    </row>
    <row r="15" spans="2:7" x14ac:dyDescent="0.25">
      <c r="B15" s="156">
        <v>46283</v>
      </c>
      <c r="C15" s="2" t="s">
        <v>7967</v>
      </c>
      <c r="D15" s="2"/>
      <c r="E15" s="23">
        <v>37</v>
      </c>
      <c r="F15" s="23">
        <f t="shared" si="0"/>
        <v>4</v>
      </c>
      <c r="G15" s="2"/>
    </row>
    <row r="16" spans="2:7" x14ac:dyDescent="0.25">
      <c r="B16" s="156">
        <v>46284</v>
      </c>
      <c r="C16" s="2" t="s">
        <v>7968</v>
      </c>
      <c r="D16" s="2"/>
      <c r="E16" s="23">
        <v>40</v>
      </c>
      <c r="F16" s="23">
        <f t="shared" si="0"/>
        <v>3</v>
      </c>
      <c r="G16" s="2"/>
    </row>
    <row r="17" spans="2:7" x14ac:dyDescent="0.25">
      <c r="B17" s="156">
        <v>46285</v>
      </c>
      <c r="C17" s="2" t="s">
        <v>7969</v>
      </c>
      <c r="D17" s="2"/>
      <c r="E17" s="23">
        <v>45</v>
      </c>
      <c r="F17" s="23">
        <f t="shared" si="0"/>
        <v>5</v>
      </c>
      <c r="G17" s="2"/>
    </row>
    <row r="18" spans="2:7" x14ac:dyDescent="0.25">
      <c r="B18" s="156">
        <v>46286</v>
      </c>
      <c r="C18" s="2" t="s">
        <v>7970</v>
      </c>
      <c r="D18" s="2"/>
      <c r="E18" s="23">
        <v>45.25</v>
      </c>
      <c r="F18" s="23">
        <f t="shared" si="0"/>
        <v>0.25</v>
      </c>
      <c r="G18" s="2"/>
    </row>
    <row r="19" spans="2:7" x14ac:dyDescent="0.25">
      <c r="B19" s="156">
        <v>46287</v>
      </c>
      <c r="C19" s="2" t="s">
        <v>7981</v>
      </c>
      <c r="D19" s="2"/>
      <c r="E19" s="23">
        <v>48.25</v>
      </c>
      <c r="F19" s="23">
        <f t="shared" si="0"/>
        <v>3</v>
      </c>
      <c r="G19" s="2"/>
    </row>
    <row r="20" spans="2:7" x14ac:dyDescent="0.25">
      <c r="B20" s="156">
        <v>46288</v>
      </c>
      <c r="C20" s="2" t="s">
        <v>7996</v>
      </c>
      <c r="D20" s="2"/>
      <c r="E20" s="23">
        <v>51.25</v>
      </c>
      <c r="F20" s="23">
        <f t="shared" si="0"/>
        <v>3</v>
      </c>
      <c r="G20" s="2"/>
    </row>
    <row r="21" spans="2:7" x14ac:dyDescent="0.25">
      <c r="B21" s="156">
        <v>46289</v>
      </c>
      <c r="C21" s="2" t="s">
        <v>8000</v>
      </c>
      <c r="D21" s="2" t="s">
        <v>8010</v>
      </c>
      <c r="E21" s="23">
        <v>57</v>
      </c>
      <c r="F21" s="23">
        <f t="shared" si="0"/>
        <v>5.75</v>
      </c>
      <c r="G21" s="2"/>
    </row>
    <row r="22" spans="2:7" x14ac:dyDescent="0.25">
      <c r="B22" s="156">
        <v>46290</v>
      </c>
      <c r="C22" s="2" t="s">
        <v>8013</v>
      </c>
      <c r="D22" s="2"/>
      <c r="E22" s="23">
        <v>61</v>
      </c>
      <c r="F22" s="23">
        <f t="shared" si="0"/>
        <v>4</v>
      </c>
      <c r="G22" s="2"/>
    </row>
    <row r="23" spans="2:7" x14ac:dyDescent="0.25">
      <c r="B23" s="156">
        <v>46291</v>
      </c>
      <c r="C23" s="2" t="s">
        <v>8049</v>
      </c>
      <c r="D23" s="2"/>
      <c r="E23" s="23">
        <v>65</v>
      </c>
      <c r="F23" s="23">
        <f t="shared" si="0"/>
        <v>4</v>
      </c>
      <c r="G23" s="2"/>
    </row>
    <row r="24" spans="2:7" x14ac:dyDescent="0.25">
      <c r="B24" s="156">
        <v>46292</v>
      </c>
      <c r="C24" s="2" t="s">
        <v>8048</v>
      </c>
      <c r="D24" s="2"/>
      <c r="E24" s="23">
        <v>70</v>
      </c>
      <c r="F24" s="23">
        <f t="shared" si="0"/>
        <v>5</v>
      </c>
      <c r="G24" s="2"/>
    </row>
    <row r="25" spans="2:7" x14ac:dyDescent="0.25">
      <c r="B25" s="156">
        <v>46293</v>
      </c>
      <c r="C25" s="2" t="s">
        <v>8046</v>
      </c>
      <c r="D25" s="2"/>
      <c r="E25" s="23">
        <v>75</v>
      </c>
      <c r="F25" s="23">
        <f t="shared" si="0"/>
        <v>5</v>
      </c>
      <c r="G25" s="2"/>
    </row>
    <row r="26" spans="2:7" x14ac:dyDescent="0.25">
      <c r="B26" s="156">
        <v>46294</v>
      </c>
      <c r="C26" s="2" t="s">
        <v>8029</v>
      </c>
      <c r="D26" s="2"/>
      <c r="E26" s="23">
        <v>78</v>
      </c>
      <c r="F26" s="23">
        <f t="shared" si="0"/>
        <v>3</v>
      </c>
      <c r="G26" s="2"/>
    </row>
    <row r="27" spans="2:7" x14ac:dyDescent="0.25">
      <c r="B27" s="156">
        <v>46295</v>
      </c>
      <c r="C27" s="2" t="s">
        <v>8063</v>
      </c>
      <c r="D27" s="2"/>
      <c r="E27" s="23">
        <v>80</v>
      </c>
      <c r="F27" s="23">
        <f t="shared" si="0"/>
        <v>2</v>
      </c>
      <c r="G27" s="2"/>
    </row>
    <row r="28" spans="2:7" x14ac:dyDescent="0.25">
      <c r="B28" s="156">
        <v>46296</v>
      </c>
      <c r="C28" s="2" t="s">
        <v>8087</v>
      </c>
      <c r="D28" s="2" t="s">
        <v>8088</v>
      </c>
      <c r="E28" s="23">
        <v>82</v>
      </c>
      <c r="F28" s="23">
        <f t="shared" si="0"/>
        <v>2</v>
      </c>
      <c r="G28" s="2"/>
    </row>
    <row r="29" spans="2:7" x14ac:dyDescent="0.25">
      <c r="B29" s="156">
        <v>46297</v>
      </c>
      <c r="C29" s="2" t="s">
        <v>8103</v>
      </c>
      <c r="D29" s="2"/>
      <c r="E29" s="23">
        <v>86</v>
      </c>
      <c r="F29" s="23">
        <f t="shared" si="0"/>
        <v>4</v>
      </c>
      <c r="G29" s="2"/>
    </row>
    <row r="30" spans="2:7" x14ac:dyDescent="0.25">
      <c r="B30" s="156">
        <v>46298</v>
      </c>
      <c r="C30" s="2"/>
      <c r="D30" s="2"/>
      <c r="E30" s="23"/>
      <c r="F30" s="23">
        <f t="shared" si="0"/>
        <v>-86</v>
      </c>
      <c r="G30" s="2"/>
    </row>
    <row r="31" spans="2:7" x14ac:dyDescent="0.25">
      <c r="B31" s="156">
        <v>46299</v>
      </c>
      <c r="C31" s="2"/>
      <c r="D31" s="2"/>
      <c r="E31" s="23"/>
      <c r="F31" s="23">
        <f t="shared" si="0"/>
        <v>0</v>
      </c>
      <c r="G31" s="2"/>
    </row>
    <row r="32" spans="2:7" x14ac:dyDescent="0.25">
      <c r="B32" s="156">
        <v>46300</v>
      </c>
      <c r="C32" s="2"/>
      <c r="D32" s="2"/>
      <c r="E32" s="23"/>
      <c r="F32" s="23">
        <f t="shared" si="0"/>
        <v>0</v>
      </c>
      <c r="G32" s="2"/>
    </row>
    <row r="33" spans="2:7" x14ac:dyDescent="0.25">
      <c r="B33" s="156">
        <v>46301</v>
      </c>
      <c r="C33" s="2"/>
      <c r="D33" s="2"/>
      <c r="E33" s="23"/>
      <c r="F33" s="23">
        <f t="shared" si="0"/>
        <v>0</v>
      </c>
      <c r="G33" s="2"/>
    </row>
    <row r="34" spans="2:7" x14ac:dyDescent="0.25">
      <c r="B34" s="156">
        <v>46302</v>
      </c>
      <c r="C34" s="2"/>
      <c r="D34" s="2"/>
      <c r="E34" s="23"/>
      <c r="F34" s="23">
        <f t="shared" si="0"/>
        <v>0</v>
      </c>
      <c r="G34" s="2"/>
    </row>
    <row r="35" spans="2:7" x14ac:dyDescent="0.25">
      <c r="B35" s="156">
        <v>46303</v>
      </c>
      <c r="C35" s="2"/>
      <c r="D35" s="2"/>
      <c r="E35" s="23"/>
      <c r="F35" s="23">
        <f t="shared" si="0"/>
        <v>0</v>
      </c>
      <c r="G35" s="2"/>
    </row>
    <row r="36" spans="2:7" x14ac:dyDescent="0.25">
      <c r="B36" s="156">
        <v>46304</v>
      </c>
      <c r="C36" s="2"/>
      <c r="D36" s="2"/>
      <c r="E36" s="23"/>
      <c r="F36" s="23">
        <f t="shared" si="0"/>
        <v>0</v>
      </c>
      <c r="G36" s="2"/>
    </row>
    <row r="37" spans="2:7" x14ac:dyDescent="0.25">
      <c r="B37" s="156">
        <v>46305</v>
      </c>
      <c r="C37" s="2"/>
      <c r="D37" s="2"/>
      <c r="E37" s="23"/>
      <c r="F37" s="23"/>
      <c r="G37" s="2"/>
    </row>
    <row r="38" spans="2:7" x14ac:dyDescent="0.25">
      <c r="B38" s="156">
        <v>46306</v>
      </c>
      <c r="C38" s="2"/>
      <c r="D38" s="2"/>
      <c r="E38" s="23"/>
      <c r="F38" s="23"/>
      <c r="G38" s="2"/>
    </row>
    <row r="39" spans="2:7" x14ac:dyDescent="0.25">
      <c r="B39" s="156">
        <v>46307</v>
      </c>
      <c r="C39" s="2"/>
      <c r="D39" s="2"/>
      <c r="E39" s="23"/>
      <c r="F39" s="23"/>
      <c r="G39" s="2"/>
    </row>
    <row r="40" spans="2:7" x14ac:dyDescent="0.25">
      <c r="B40" s="156">
        <v>46308</v>
      </c>
      <c r="C40" s="2"/>
      <c r="D40" s="2"/>
      <c r="E40" s="23"/>
      <c r="F40" s="23"/>
      <c r="G40" s="2"/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08B6F-04E0-49FA-BDAF-FFCA927BC7EC}">
  <dimension ref="B2:G40"/>
  <sheetViews>
    <sheetView tabSelected="1" topLeftCell="A10" workbookViewId="0">
      <selection activeCell="C24" sqref="C24"/>
    </sheetView>
  </sheetViews>
  <sheetFormatPr defaultRowHeight="15" x14ac:dyDescent="0.25"/>
  <cols>
    <col min="2" max="2" width="18" bestFit="1" customWidth="1"/>
    <col min="3" max="3" width="74.28515625" bestFit="1" customWidth="1"/>
    <col min="4" max="4" width="42.140625" bestFit="1" customWidth="1"/>
    <col min="5" max="5" width="11.85546875" bestFit="1" customWidth="1"/>
    <col min="7" max="7" width="11" bestFit="1" customWidth="1"/>
  </cols>
  <sheetData>
    <row r="2" spans="2:7" x14ac:dyDescent="0.25">
      <c r="B2" s="53" t="s">
        <v>8031</v>
      </c>
      <c r="D2" s="123" t="s">
        <v>1324</v>
      </c>
      <c r="E2" s="24">
        <v>130</v>
      </c>
      <c r="F2" s="24"/>
    </row>
    <row r="3" spans="2:7" ht="15.75" x14ac:dyDescent="0.25">
      <c r="B3" s="10" t="s">
        <v>0</v>
      </c>
      <c r="C3" s="11" t="s">
        <v>1</v>
      </c>
      <c r="D3" s="11" t="s">
        <v>2</v>
      </c>
      <c r="E3" s="11" t="s">
        <v>934</v>
      </c>
      <c r="F3" s="11" t="s">
        <v>1095</v>
      </c>
      <c r="G3" s="11" t="s">
        <v>1507</v>
      </c>
    </row>
    <row r="4" spans="2:7" x14ac:dyDescent="0.25">
      <c r="B4" s="156">
        <v>46274</v>
      </c>
      <c r="C4" s="2" t="s">
        <v>4059</v>
      </c>
      <c r="D4" s="2"/>
      <c r="E4" s="23"/>
      <c r="F4" s="23"/>
      <c r="G4" s="2"/>
    </row>
    <row r="5" spans="2:7" x14ac:dyDescent="0.25">
      <c r="B5" s="156">
        <v>46275</v>
      </c>
      <c r="C5" s="2" t="s">
        <v>7793</v>
      </c>
      <c r="D5" s="2"/>
      <c r="E5" s="23"/>
      <c r="F5" s="23">
        <f>E5-E4</f>
        <v>0</v>
      </c>
      <c r="G5" s="2"/>
    </row>
    <row r="6" spans="2:7" x14ac:dyDescent="0.25">
      <c r="B6" s="156">
        <v>46276</v>
      </c>
      <c r="C6" s="2" t="s">
        <v>7798</v>
      </c>
      <c r="D6" s="2"/>
      <c r="E6" s="23"/>
      <c r="F6" s="23">
        <f t="shared" ref="F6:F36" si="0">E6-E5</f>
        <v>0</v>
      </c>
      <c r="G6" s="2"/>
    </row>
    <row r="7" spans="2:7" x14ac:dyDescent="0.25">
      <c r="B7" s="156">
        <v>46277</v>
      </c>
      <c r="C7" s="2" t="s">
        <v>7793</v>
      </c>
      <c r="D7" s="2"/>
      <c r="E7" s="23"/>
      <c r="F7" s="23">
        <f t="shared" si="0"/>
        <v>0</v>
      </c>
      <c r="G7" s="2"/>
    </row>
    <row r="8" spans="2:7" x14ac:dyDescent="0.25">
      <c r="B8" s="156">
        <v>46278</v>
      </c>
      <c r="C8" s="35" t="s">
        <v>7799</v>
      </c>
      <c r="D8" s="30"/>
      <c r="E8" s="25"/>
      <c r="F8" s="25">
        <f t="shared" si="0"/>
        <v>0</v>
      </c>
      <c r="G8" s="2"/>
    </row>
    <row r="9" spans="2:7" x14ac:dyDescent="0.25">
      <c r="B9" s="156">
        <v>46279</v>
      </c>
      <c r="C9" s="35" t="s">
        <v>7808</v>
      </c>
      <c r="D9" s="2"/>
      <c r="E9" s="23"/>
      <c r="F9" s="23">
        <f t="shared" si="0"/>
        <v>0</v>
      </c>
      <c r="G9" s="2"/>
    </row>
    <row r="10" spans="2:7" x14ac:dyDescent="0.25">
      <c r="B10" s="156">
        <v>46280</v>
      </c>
      <c r="C10" s="2" t="s">
        <v>7809</v>
      </c>
      <c r="D10" s="2" t="s">
        <v>5562</v>
      </c>
      <c r="E10" s="23"/>
      <c r="F10" s="23">
        <f t="shared" si="0"/>
        <v>0</v>
      </c>
      <c r="G10" s="2"/>
    </row>
    <row r="11" spans="2:7" x14ac:dyDescent="0.25">
      <c r="B11" s="156">
        <v>46281</v>
      </c>
      <c r="C11" s="2" t="s">
        <v>7934</v>
      </c>
      <c r="D11" s="2"/>
      <c r="E11" s="23">
        <v>3</v>
      </c>
      <c r="F11" s="23">
        <f t="shared" si="0"/>
        <v>3</v>
      </c>
      <c r="G11" s="2"/>
    </row>
    <row r="12" spans="2:7" x14ac:dyDescent="0.25">
      <c r="B12" s="156">
        <v>46282</v>
      </c>
      <c r="C12" s="2" t="s">
        <v>7958</v>
      </c>
      <c r="D12" s="2"/>
      <c r="E12" s="23">
        <v>4</v>
      </c>
      <c r="F12" s="23">
        <f t="shared" si="0"/>
        <v>1</v>
      </c>
      <c r="G12" s="2"/>
    </row>
    <row r="13" spans="2:7" x14ac:dyDescent="0.25">
      <c r="B13" s="156">
        <v>46283</v>
      </c>
      <c r="C13" s="35" t="s">
        <v>2269</v>
      </c>
      <c r="D13" s="2"/>
      <c r="E13" s="23">
        <v>4</v>
      </c>
      <c r="F13" s="23">
        <f t="shared" si="0"/>
        <v>0</v>
      </c>
      <c r="G13" s="2"/>
    </row>
    <row r="14" spans="2:7" x14ac:dyDescent="0.25">
      <c r="B14" s="156">
        <v>46284</v>
      </c>
      <c r="C14" s="35" t="s">
        <v>2269</v>
      </c>
      <c r="D14" s="2"/>
      <c r="E14" s="23">
        <v>4</v>
      </c>
      <c r="F14" s="23">
        <f t="shared" si="0"/>
        <v>0</v>
      </c>
      <c r="G14" s="2"/>
    </row>
    <row r="15" spans="2:7" x14ac:dyDescent="0.25">
      <c r="B15" s="156">
        <v>46285</v>
      </c>
      <c r="C15" s="2" t="s">
        <v>7971</v>
      </c>
      <c r="D15" s="2"/>
      <c r="E15" s="23">
        <v>5</v>
      </c>
      <c r="F15" s="23">
        <f t="shared" si="0"/>
        <v>1</v>
      </c>
      <c r="G15" s="2"/>
    </row>
    <row r="16" spans="2:7" x14ac:dyDescent="0.25">
      <c r="B16" s="156">
        <v>46286</v>
      </c>
      <c r="C16" s="2" t="s">
        <v>7972</v>
      </c>
      <c r="D16" s="2"/>
      <c r="E16" s="23">
        <v>5</v>
      </c>
      <c r="F16" s="23">
        <f t="shared" si="0"/>
        <v>0</v>
      </c>
      <c r="G16" s="2"/>
    </row>
    <row r="17" spans="2:7" x14ac:dyDescent="0.25">
      <c r="B17" s="156">
        <v>46287</v>
      </c>
      <c r="C17" s="35" t="s">
        <v>7982</v>
      </c>
      <c r="D17" s="2"/>
      <c r="E17" s="23"/>
      <c r="F17" s="23">
        <f t="shared" si="0"/>
        <v>-5</v>
      </c>
      <c r="G17" s="2"/>
    </row>
    <row r="18" spans="2:7" ht="30" x14ac:dyDescent="0.25">
      <c r="B18" s="163">
        <v>46288</v>
      </c>
      <c r="C18" s="35" t="s">
        <v>7972</v>
      </c>
      <c r="D18" s="30" t="s">
        <v>8001</v>
      </c>
      <c r="E18" s="23">
        <v>5</v>
      </c>
      <c r="F18" s="23">
        <f t="shared" si="0"/>
        <v>5</v>
      </c>
      <c r="G18" s="2"/>
    </row>
    <row r="19" spans="2:7" x14ac:dyDescent="0.25">
      <c r="B19" s="156">
        <v>46289</v>
      </c>
      <c r="C19" s="2" t="s">
        <v>8002</v>
      </c>
      <c r="D19" s="2" t="s">
        <v>8015</v>
      </c>
      <c r="E19" s="23">
        <v>6</v>
      </c>
      <c r="F19" s="23">
        <f t="shared" si="0"/>
        <v>1</v>
      </c>
      <c r="G19" s="2"/>
    </row>
    <row r="20" spans="2:7" x14ac:dyDescent="0.25">
      <c r="B20" s="156">
        <v>46290</v>
      </c>
      <c r="C20" s="35" t="s">
        <v>8014</v>
      </c>
      <c r="D20" s="2"/>
      <c r="E20" s="23">
        <v>10</v>
      </c>
      <c r="F20" s="23">
        <f t="shared" si="0"/>
        <v>4</v>
      </c>
      <c r="G20" s="2"/>
    </row>
    <row r="21" spans="2:7" x14ac:dyDescent="0.25">
      <c r="B21" s="156">
        <v>46291</v>
      </c>
      <c r="C21" s="2"/>
      <c r="D21" s="2"/>
      <c r="E21" s="23"/>
      <c r="F21" s="23">
        <f t="shared" si="0"/>
        <v>-10</v>
      </c>
      <c r="G21" s="2"/>
    </row>
    <row r="22" spans="2:7" x14ac:dyDescent="0.25">
      <c r="B22" s="156">
        <v>46292</v>
      </c>
      <c r="C22" s="2"/>
      <c r="D22" s="2"/>
      <c r="E22" s="23"/>
      <c r="F22" s="23">
        <f t="shared" si="0"/>
        <v>0</v>
      </c>
      <c r="G22" s="2"/>
    </row>
    <row r="23" spans="2:7" x14ac:dyDescent="0.25">
      <c r="B23" s="156">
        <v>46293</v>
      </c>
      <c r="C23" s="2"/>
      <c r="D23" s="2"/>
      <c r="E23" s="23"/>
      <c r="F23" s="23">
        <f t="shared" si="0"/>
        <v>0</v>
      </c>
      <c r="G23" s="2"/>
    </row>
    <row r="24" spans="2:7" x14ac:dyDescent="0.25">
      <c r="B24" s="156">
        <v>46294</v>
      </c>
      <c r="C24" s="2" t="s">
        <v>6149</v>
      </c>
      <c r="D24" s="2"/>
      <c r="E24" s="23"/>
      <c r="F24" s="23">
        <f t="shared" si="0"/>
        <v>0</v>
      </c>
      <c r="G24" s="2"/>
    </row>
    <row r="25" spans="2:7" x14ac:dyDescent="0.25">
      <c r="B25" s="156">
        <v>46295</v>
      </c>
      <c r="C25" s="2" t="s">
        <v>8058</v>
      </c>
      <c r="D25" s="2"/>
      <c r="E25" s="23"/>
      <c r="F25" s="23">
        <f t="shared" si="0"/>
        <v>0</v>
      </c>
      <c r="G25" s="2"/>
    </row>
    <row r="26" spans="2:7" x14ac:dyDescent="0.25">
      <c r="B26" s="156">
        <v>46296</v>
      </c>
      <c r="C26" s="2" t="s">
        <v>8091</v>
      </c>
      <c r="D26" s="2" t="s">
        <v>8092</v>
      </c>
      <c r="E26" s="23">
        <v>4.5</v>
      </c>
      <c r="F26" s="23">
        <f t="shared" si="0"/>
        <v>4.5</v>
      </c>
      <c r="G26" s="2"/>
    </row>
    <row r="27" spans="2:7" x14ac:dyDescent="0.25">
      <c r="B27" s="156">
        <v>46297</v>
      </c>
      <c r="C27" s="2" t="s">
        <v>8102</v>
      </c>
      <c r="D27" s="2"/>
      <c r="E27" s="23">
        <v>9</v>
      </c>
      <c r="F27" s="23">
        <f t="shared" si="0"/>
        <v>4.5</v>
      </c>
      <c r="G27" s="2"/>
    </row>
    <row r="28" spans="2:7" x14ac:dyDescent="0.25">
      <c r="B28" s="156">
        <v>46298</v>
      </c>
      <c r="C28" s="2"/>
      <c r="D28" s="2"/>
      <c r="E28" s="23"/>
      <c r="F28" s="23">
        <f t="shared" si="0"/>
        <v>-9</v>
      </c>
      <c r="G28" s="2"/>
    </row>
    <row r="29" spans="2:7" x14ac:dyDescent="0.25">
      <c r="B29" s="156">
        <v>46299</v>
      </c>
      <c r="C29" s="2"/>
      <c r="D29" s="2"/>
      <c r="E29" s="23"/>
      <c r="F29" s="23">
        <f t="shared" si="0"/>
        <v>0</v>
      </c>
      <c r="G29" s="2"/>
    </row>
    <row r="30" spans="2:7" x14ac:dyDescent="0.25">
      <c r="B30" s="156">
        <v>46300</v>
      </c>
      <c r="C30" s="2"/>
      <c r="D30" s="2"/>
      <c r="E30" s="23"/>
      <c r="F30" s="23">
        <f t="shared" si="0"/>
        <v>0</v>
      </c>
      <c r="G30" s="2"/>
    </row>
    <row r="31" spans="2:7" x14ac:dyDescent="0.25">
      <c r="B31" s="156">
        <v>46301</v>
      </c>
      <c r="C31" s="2"/>
      <c r="D31" s="2"/>
      <c r="E31" s="23"/>
      <c r="F31" s="23">
        <f t="shared" si="0"/>
        <v>0</v>
      </c>
      <c r="G31" s="2"/>
    </row>
    <row r="32" spans="2:7" x14ac:dyDescent="0.25">
      <c r="B32" s="156">
        <v>46302</v>
      </c>
      <c r="C32" s="2"/>
      <c r="D32" s="2"/>
      <c r="E32" s="23"/>
      <c r="F32" s="23">
        <f t="shared" si="0"/>
        <v>0</v>
      </c>
      <c r="G32" s="2"/>
    </row>
    <row r="33" spans="2:7" x14ac:dyDescent="0.25">
      <c r="B33" s="156">
        <v>46303</v>
      </c>
      <c r="C33" s="2"/>
      <c r="D33" s="2"/>
      <c r="E33" s="23"/>
      <c r="F33" s="23">
        <f t="shared" si="0"/>
        <v>0</v>
      </c>
      <c r="G33" s="2"/>
    </row>
    <row r="34" spans="2:7" x14ac:dyDescent="0.25">
      <c r="B34" s="156">
        <v>46304</v>
      </c>
      <c r="C34" s="2"/>
      <c r="D34" s="2"/>
      <c r="E34" s="23"/>
      <c r="F34" s="23">
        <f t="shared" si="0"/>
        <v>0</v>
      </c>
      <c r="G34" s="2"/>
    </row>
    <row r="35" spans="2:7" x14ac:dyDescent="0.25">
      <c r="B35" s="156">
        <v>46305</v>
      </c>
      <c r="C35" s="2"/>
      <c r="D35" s="2"/>
      <c r="E35" s="23"/>
      <c r="F35" s="23">
        <f t="shared" si="0"/>
        <v>0</v>
      </c>
      <c r="G35" s="2"/>
    </row>
    <row r="36" spans="2:7" x14ac:dyDescent="0.25">
      <c r="B36" s="156">
        <v>46306</v>
      </c>
      <c r="C36" s="2"/>
      <c r="D36" s="2"/>
      <c r="E36" s="23"/>
      <c r="F36" s="23">
        <f t="shared" si="0"/>
        <v>0</v>
      </c>
      <c r="G36" s="2"/>
    </row>
    <row r="37" spans="2:7" x14ac:dyDescent="0.25">
      <c r="B37" s="156">
        <v>46307</v>
      </c>
      <c r="C37" s="2"/>
      <c r="D37" s="2"/>
      <c r="E37" s="23"/>
      <c r="F37" s="23"/>
      <c r="G37" s="2"/>
    </row>
    <row r="38" spans="2:7" x14ac:dyDescent="0.25">
      <c r="B38" s="156">
        <v>46308</v>
      </c>
      <c r="C38" s="2"/>
      <c r="D38" s="2"/>
      <c r="E38" s="23"/>
      <c r="F38" s="23"/>
      <c r="G38" s="2"/>
    </row>
    <row r="39" spans="2:7" x14ac:dyDescent="0.25">
      <c r="B39" s="156">
        <v>46309</v>
      </c>
      <c r="C39" s="2"/>
      <c r="D39" s="2"/>
      <c r="E39" s="23"/>
      <c r="F39" s="23"/>
      <c r="G39" s="2"/>
    </row>
    <row r="40" spans="2:7" x14ac:dyDescent="0.25">
      <c r="B40" s="156">
        <v>46310</v>
      </c>
      <c r="C40" s="2"/>
      <c r="D40" s="2"/>
      <c r="E40" s="23"/>
      <c r="F40" s="23"/>
      <c r="G40" s="2"/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02F5F-B553-454C-8619-1F544643FD0F}">
  <dimension ref="B2:G22"/>
  <sheetViews>
    <sheetView workbookViewId="0">
      <selection activeCell="C13" sqref="C13"/>
    </sheetView>
  </sheetViews>
  <sheetFormatPr defaultRowHeight="15" x14ac:dyDescent="0.25"/>
  <cols>
    <col min="2" max="2" width="18" bestFit="1" customWidth="1"/>
    <col min="3" max="3" width="72" bestFit="1" customWidth="1"/>
    <col min="4" max="4" width="42.140625" bestFit="1" customWidth="1"/>
    <col min="5" max="5" width="11.85546875" bestFit="1" customWidth="1"/>
    <col min="7" max="7" width="11" bestFit="1" customWidth="1"/>
  </cols>
  <sheetData>
    <row r="2" spans="2:7" x14ac:dyDescent="0.25">
      <c r="B2" s="144" t="s">
        <v>7989</v>
      </c>
      <c r="D2" s="123" t="s">
        <v>1324</v>
      </c>
      <c r="E2" s="24">
        <v>100</v>
      </c>
      <c r="F2" s="24"/>
    </row>
    <row r="3" spans="2:7" ht="15.75" x14ac:dyDescent="0.25">
      <c r="B3" s="10" t="s">
        <v>0</v>
      </c>
      <c r="C3" s="11" t="s">
        <v>1</v>
      </c>
      <c r="D3" s="11" t="s">
        <v>2</v>
      </c>
      <c r="E3" s="11" t="s">
        <v>934</v>
      </c>
      <c r="F3" s="11" t="s">
        <v>1095</v>
      </c>
      <c r="G3" s="11" t="s">
        <v>1507</v>
      </c>
    </row>
    <row r="4" spans="2:7" x14ac:dyDescent="0.25">
      <c r="B4" s="156">
        <v>46288</v>
      </c>
      <c r="C4" s="2" t="s">
        <v>4059</v>
      </c>
      <c r="D4" s="2"/>
      <c r="E4" s="23"/>
      <c r="F4" s="23"/>
      <c r="G4" s="2"/>
    </row>
    <row r="5" spans="2:7" x14ac:dyDescent="0.25">
      <c r="B5" s="156">
        <v>46289</v>
      </c>
      <c r="C5" s="2" t="s">
        <v>7995</v>
      </c>
      <c r="D5" s="2"/>
      <c r="E5" s="23"/>
      <c r="F5" s="23">
        <f>E5-E4</f>
        <v>0</v>
      </c>
      <c r="G5" s="2"/>
    </row>
    <row r="6" spans="2:7" x14ac:dyDescent="0.25">
      <c r="B6" s="156">
        <v>46290</v>
      </c>
      <c r="C6" s="2" t="s">
        <v>8005</v>
      </c>
      <c r="D6" s="2"/>
      <c r="E6" s="2"/>
      <c r="F6" s="2"/>
      <c r="G6" s="2"/>
    </row>
    <row r="7" spans="2:7" x14ac:dyDescent="0.25">
      <c r="B7" s="156">
        <v>46291</v>
      </c>
      <c r="C7" s="2" t="s">
        <v>3329</v>
      </c>
      <c r="D7" s="2"/>
      <c r="E7" s="2"/>
      <c r="F7" s="2"/>
      <c r="G7" s="2"/>
    </row>
    <row r="8" spans="2:7" x14ac:dyDescent="0.25">
      <c r="B8" s="156">
        <v>46292</v>
      </c>
      <c r="C8" s="2" t="s">
        <v>3329</v>
      </c>
      <c r="D8" s="2"/>
      <c r="E8" s="2"/>
      <c r="F8" s="2"/>
      <c r="G8" s="2"/>
    </row>
    <row r="9" spans="2:7" x14ac:dyDescent="0.25">
      <c r="B9" s="156">
        <v>46293</v>
      </c>
      <c r="C9" s="2" t="s">
        <v>8047</v>
      </c>
      <c r="D9" s="2"/>
      <c r="E9" s="2"/>
      <c r="F9" s="2"/>
      <c r="G9" s="2"/>
    </row>
    <row r="10" spans="2:7" x14ac:dyDescent="0.25">
      <c r="B10" s="156">
        <v>46294</v>
      </c>
      <c r="C10" s="2" t="s">
        <v>8059</v>
      </c>
      <c r="D10" s="2" t="s">
        <v>8060</v>
      </c>
      <c r="E10" s="2"/>
      <c r="F10" s="2"/>
      <c r="G10" s="2"/>
    </row>
    <row r="11" spans="2:7" x14ac:dyDescent="0.25">
      <c r="B11" s="156">
        <v>46295</v>
      </c>
      <c r="C11" s="2" t="s">
        <v>8068</v>
      </c>
      <c r="D11" s="2"/>
      <c r="E11" s="2"/>
      <c r="F11" s="2"/>
      <c r="G11" s="2"/>
    </row>
    <row r="12" spans="2:7" x14ac:dyDescent="0.25">
      <c r="B12" s="156">
        <v>46296</v>
      </c>
      <c r="C12" s="2" t="s">
        <v>8093</v>
      </c>
      <c r="D12" s="2"/>
      <c r="E12" s="2"/>
      <c r="F12" s="2"/>
      <c r="G12" s="2"/>
    </row>
    <row r="13" spans="2:7" x14ac:dyDescent="0.25">
      <c r="B13" s="156">
        <v>46297</v>
      </c>
      <c r="C13" s="2"/>
      <c r="D13" s="2"/>
      <c r="E13" s="2"/>
      <c r="F13" s="2"/>
      <c r="G13" s="2"/>
    </row>
    <row r="14" spans="2:7" x14ac:dyDescent="0.25">
      <c r="B14" s="156">
        <v>46298</v>
      </c>
      <c r="C14" s="2"/>
      <c r="D14" s="2"/>
      <c r="E14" s="2"/>
      <c r="F14" s="2"/>
      <c r="G14" s="2"/>
    </row>
    <row r="15" spans="2:7" x14ac:dyDescent="0.25">
      <c r="B15" s="156">
        <v>46299</v>
      </c>
      <c r="C15" s="2"/>
      <c r="D15" s="2"/>
      <c r="E15" s="2"/>
      <c r="F15" s="2"/>
      <c r="G15" s="2"/>
    </row>
    <row r="16" spans="2:7" x14ac:dyDescent="0.25">
      <c r="B16" s="156">
        <v>46300</v>
      </c>
      <c r="C16" s="2"/>
      <c r="D16" s="2"/>
      <c r="E16" s="2"/>
      <c r="F16" s="2"/>
      <c r="G16" s="2"/>
    </row>
    <row r="17" spans="2:7" x14ac:dyDescent="0.25">
      <c r="B17" s="156">
        <v>46301</v>
      </c>
      <c r="C17" s="2"/>
      <c r="D17" s="2"/>
      <c r="E17" s="2"/>
      <c r="F17" s="2"/>
      <c r="G17" s="2"/>
    </row>
    <row r="18" spans="2:7" x14ac:dyDescent="0.25">
      <c r="B18" s="156">
        <v>46302</v>
      </c>
      <c r="C18" s="2"/>
      <c r="D18" s="2"/>
      <c r="E18" s="2"/>
      <c r="F18" s="2"/>
      <c r="G18" s="2"/>
    </row>
    <row r="19" spans="2:7" x14ac:dyDescent="0.25">
      <c r="B19" s="156">
        <v>46303</v>
      </c>
      <c r="C19" s="2"/>
      <c r="D19" s="2"/>
      <c r="E19" s="2"/>
      <c r="F19" s="2"/>
      <c r="G19" s="2"/>
    </row>
    <row r="20" spans="2:7" x14ac:dyDescent="0.25">
      <c r="B20" s="156">
        <v>46304</v>
      </c>
      <c r="C20" s="2"/>
      <c r="D20" s="2"/>
      <c r="E20" s="2"/>
      <c r="F20" s="2"/>
      <c r="G20" s="2"/>
    </row>
    <row r="21" spans="2:7" x14ac:dyDescent="0.25">
      <c r="B21" s="156">
        <v>46305</v>
      </c>
      <c r="C21" s="2"/>
      <c r="D21" s="2"/>
      <c r="E21" s="2"/>
      <c r="F21" s="2"/>
      <c r="G21" s="2"/>
    </row>
    <row r="22" spans="2:7" x14ac:dyDescent="0.25">
      <c r="B22" s="156">
        <v>46306</v>
      </c>
      <c r="C22" s="2"/>
      <c r="D22" s="2"/>
      <c r="E22" s="2"/>
      <c r="F22" s="2"/>
      <c r="G22" s="2"/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116AF-F4B6-4E57-AFA1-23F3F73CD122}">
  <dimension ref="B2:H22"/>
  <sheetViews>
    <sheetView workbookViewId="0">
      <selection activeCell="B20" sqref="B20"/>
    </sheetView>
  </sheetViews>
  <sheetFormatPr defaultRowHeight="15" x14ac:dyDescent="0.25"/>
  <cols>
    <col min="2" max="2" width="18" bestFit="1" customWidth="1"/>
    <col min="3" max="3" width="72" bestFit="1" customWidth="1"/>
    <col min="4" max="4" width="42.140625" bestFit="1" customWidth="1"/>
    <col min="5" max="5" width="11.85546875" bestFit="1" customWidth="1"/>
    <col min="7" max="7" width="11" bestFit="1" customWidth="1"/>
  </cols>
  <sheetData>
    <row r="2" spans="2:8" x14ac:dyDescent="0.25">
      <c r="B2" s="53" t="s">
        <v>7990</v>
      </c>
      <c r="D2" s="123" t="s">
        <v>1324</v>
      </c>
      <c r="E2" s="24"/>
      <c r="F2" s="24"/>
    </row>
    <row r="3" spans="2:8" ht="15.75" x14ac:dyDescent="0.25">
      <c r="B3" s="10" t="s">
        <v>0</v>
      </c>
      <c r="C3" s="11" t="s">
        <v>1</v>
      </c>
      <c r="D3" s="11" t="s">
        <v>2</v>
      </c>
      <c r="E3" s="11" t="s">
        <v>934</v>
      </c>
      <c r="F3" s="11" t="s">
        <v>1095</v>
      </c>
      <c r="G3" s="11" t="s">
        <v>1507</v>
      </c>
    </row>
    <row r="4" spans="2:8" x14ac:dyDescent="0.25">
      <c r="B4" s="156">
        <v>46284</v>
      </c>
      <c r="C4" s="2" t="s">
        <v>4059</v>
      </c>
      <c r="D4" s="2"/>
      <c r="E4" s="23"/>
      <c r="F4" s="23"/>
      <c r="G4" s="2"/>
    </row>
    <row r="5" spans="2:8" x14ac:dyDescent="0.25">
      <c r="B5" s="156">
        <v>46285</v>
      </c>
      <c r="C5" s="2" t="s">
        <v>7991</v>
      </c>
      <c r="D5" s="2"/>
      <c r="E5" s="23"/>
      <c r="F5" s="23">
        <f>E5-E4</f>
        <v>0</v>
      </c>
      <c r="G5" s="2"/>
    </row>
    <row r="6" spans="2:8" x14ac:dyDescent="0.25">
      <c r="B6" s="156">
        <v>46286</v>
      </c>
      <c r="C6" s="2" t="s">
        <v>7991</v>
      </c>
      <c r="D6" s="2"/>
      <c r="E6" s="2"/>
      <c r="F6" s="2"/>
      <c r="G6" s="2"/>
    </row>
    <row r="7" spans="2:8" x14ac:dyDescent="0.25">
      <c r="B7" s="156">
        <v>46287</v>
      </c>
      <c r="C7" s="2" t="s">
        <v>7992</v>
      </c>
      <c r="D7" s="2"/>
      <c r="E7" s="2"/>
      <c r="F7" s="2"/>
      <c r="G7" s="2"/>
    </row>
    <row r="8" spans="2:8" x14ac:dyDescent="0.25">
      <c r="B8" s="156">
        <v>46288</v>
      </c>
      <c r="C8" s="2" t="s">
        <v>7993</v>
      </c>
      <c r="D8" s="2"/>
      <c r="E8" s="23">
        <v>6</v>
      </c>
      <c r="F8" s="23">
        <f>E8-E7</f>
        <v>6</v>
      </c>
      <c r="G8" s="2"/>
      <c r="H8" t="s">
        <v>7994</v>
      </c>
    </row>
    <row r="9" spans="2:8" x14ac:dyDescent="0.25">
      <c r="B9" s="156">
        <v>46289</v>
      </c>
      <c r="C9" s="2" t="s">
        <v>8006</v>
      </c>
      <c r="D9" s="2"/>
      <c r="E9" s="25">
        <v>9</v>
      </c>
      <c r="F9" s="25">
        <f t="shared" ref="F9:F22" si="0">E9-E8</f>
        <v>3</v>
      </c>
      <c r="G9" s="2"/>
    </row>
    <row r="10" spans="2:8" x14ac:dyDescent="0.25">
      <c r="B10" s="156">
        <v>46290</v>
      </c>
      <c r="C10" s="2" t="s">
        <v>8016</v>
      </c>
      <c r="D10" s="2" t="s">
        <v>8017</v>
      </c>
      <c r="E10" s="25">
        <v>9</v>
      </c>
      <c r="F10" s="25">
        <f t="shared" si="0"/>
        <v>0</v>
      </c>
      <c r="G10" s="2"/>
    </row>
    <row r="11" spans="2:8" x14ac:dyDescent="0.25">
      <c r="B11" s="156">
        <v>46291</v>
      </c>
      <c r="C11" s="2" t="s">
        <v>8053</v>
      </c>
      <c r="D11" s="2"/>
      <c r="E11" s="25">
        <v>9</v>
      </c>
      <c r="F11" s="25">
        <f t="shared" si="0"/>
        <v>0</v>
      </c>
      <c r="G11" s="2"/>
    </row>
    <row r="12" spans="2:8" x14ac:dyDescent="0.25">
      <c r="B12" s="156">
        <v>46292</v>
      </c>
      <c r="C12" s="2" t="s">
        <v>8054</v>
      </c>
      <c r="D12" s="2"/>
      <c r="E12" s="25">
        <v>9</v>
      </c>
      <c r="F12" s="25">
        <f t="shared" si="0"/>
        <v>0</v>
      </c>
      <c r="G12" s="2"/>
    </row>
    <row r="13" spans="2:8" x14ac:dyDescent="0.25">
      <c r="B13" s="156">
        <v>46293</v>
      </c>
      <c r="C13" s="2" t="s">
        <v>8056</v>
      </c>
      <c r="D13" s="2" t="s">
        <v>8052</v>
      </c>
      <c r="E13" s="25">
        <v>12</v>
      </c>
      <c r="F13" s="25">
        <f t="shared" si="0"/>
        <v>3</v>
      </c>
      <c r="G13" s="2"/>
    </row>
    <row r="14" spans="2:8" x14ac:dyDescent="0.25">
      <c r="B14" s="156">
        <v>46294</v>
      </c>
      <c r="C14" s="2" t="s">
        <v>8057</v>
      </c>
      <c r="D14" s="2"/>
      <c r="E14" s="25">
        <v>15</v>
      </c>
      <c r="F14" s="25">
        <f t="shared" si="0"/>
        <v>3</v>
      </c>
      <c r="G14" s="2"/>
    </row>
    <row r="15" spans="2:8" x14ac:dyDescent="0.25">
      <c r="B15" s="156">
        <v>46295</v>
      </c>
      <c r="C15" s="2" t="s">
        <v>8069</v>
      </c>
      <c r="D15" s="2"/>
      <c r="E15" s="25">
        <v>15</v>
      </c>
      <c r="F15" s="25">
        <f t="shared" si="0"/>
        <v>0</v>
      </c>
      <c r="G15" s="2"/>
    </row>
    <row r="16" spans="2:8" x14ac:dyDescent="0.25">
      <c r="B16" s="156">
        <v>46296</v>
      </c>
      <c r="C16" s="2" t="s">
        <v>8094</v>
      </c>
      <c r="D16" s="2"/>
      <c r="E16" s="25">
        <v>15</v>
      </c>
      <c r="F16" s="25">
        <f t="shared" si="0"/>
        <v>0</v>
      </c>
      <c r="G16" s="2"/>
    </row>
    <row r="17" spans="2:7" x14ac:dyDescent="0.25">
      <c r="B17" s="156">
        <v>46297</v>
      </c>
      <c r="C17" s="2" t="s">
        <v>8101</v>
      </c>
      <c r="D17" s="2"/>
      <c r="E17" s="25">
        <v>17</v>
      </c>
      <c r="F17" s="25">
        <f t="shared" si="0"/>
        <v>2</v>
      </c>
      <c r="G17" s="2"/>
    </row>
    <row r="18" spans="2:7" x14ac:dyDescent="0.25">
      <c r="B18" s="156">
        <v>46298</v>
      </c>
      <c r="C18" s="2"/>
      <c r="D18" s="2"/>
      <c r="E18" s="25"/>
      <c r="F18" s="25">
        <f t="shared" si="0"/>
        <v>-17</v>
      </c>
      <c r="G18" s="2"/>
    </row>
    <row r="19" spans="2:7" x14ac:dyDescent="0.25">
      <c r="B19" s="156">
        <v>46299</v>
      </c>
      <c r="C19" s="2"/>
      <c r="D19" s="2"/>
      <c r="E19" s="25"/>
      <c r="F19" s="25">
        <f t="shared" si="0"/>
        <v>0</v>
      </c>
      <c r="G19" s="2"/>
    </row>
    <row r="20" spans="2:7" x14ac:dyDescent="0.25">
      <c r="B20" s="156">
        <v>46300</v>
      </c>
      <c r="C20" s="2"/>
      <c r="D20" s="2"/>
      <c r="E20" s="25"/>
      <c r="F20" s="25">
        <f t="shared" si="0"/>
        <v>0</v>
      </c>
      <c r="G20" s="2"/>
    </row>
    <row r="21" spans="2:7" x14ac:dyDescent="0.25">
      <c r="B21" s="156">
        <v>46301</v>
      </c>
      <c r="C21" s="2"/>
      <c r="D21" s="2"/>
      <c r="E21" s="25"/>
      <c r="F21" s="25">
        <f t="shared" si="0"/>
        <v>0</v>
      </c>
      <c r="G21" s="2"/>
    </row>
    <row r="22" spans="2:7" x14ac:dyDescent="0.25">
      <c r="B22" s="156">
        <v>46302</v>
      </c>
      <c r="C22" s="2"/>
      <c r="D22" s="2"/>
      <c r="E22" s="25"/>
      <c r="F22" s="25">
        <f t="shared" si="0"/>
        <v>0</v>
      </c>
      <c r="G22" s="2"/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7846-B836-4453-BBB8-A0D204D11372}">
  <dimension ref="B2:G22"/>
  <sheetViews>
    <sheetView workbookViewId="0">
      <selection activeCell="C10" sqref="C10"/>
    </sheetView>
  </sheetViews>
  <sheetFormatPr defaultRowHeight="15" x14ac:dyDescent="0.25"/>
  <cols>
    <col min="2" max="2" width="18" bestFit="1" customWidth="1"/>
    <col min="3" max="3" width="72" bestFit="1" customWidth="1"/>
    <col min="4" max="4" width="42.140625" bestFit="1" customWidth="1"/>
    <col min="5" max="5" width="11.85546875" bestFit="1" customWidth="1"/>
    <col min="7" max="7" width="11" bestFit="1" customWidth="1"/>
  </cols>
  <sheetData>
    <row r="2" spans="2:7" x14ac:dyDescent="0.25">
      <c r="B2" s="53" t="s">
        <v>8030</v>
      </c>
      <c r="D2" s="123" t="s">
        <v>1324</v>
      </c>
      <c r="E2" s="24"/>
      <c r="F2" s="24"/>
    </row>
    <row r="3" spans="2:7" ht="15.75" x14ac:dyDescent="0.25">
      <c r="B3" s="10" t="s">
        <v>0</v>
      </c>
      <c r="C3" s="11" t="s">
        <v>1</v>
      </c>
      <c r="D3" s="11" t="s">
        <v>2</v>
      </c>
      <c r="E3" s="11" t="s">
        <v>934</v>
      </c>
      <c r="F3" s="11" t="s">
        <v>1095</v>
      </c>
      <c r="G3" s="11" t="s">
        <v>1507</v>
      </c>
    </row>
    <row r="4" spans="2:7" x14ac:dyDescent="0.25">
      <c r="B4" s="156">
        <v>46291</v>
      </c>
      <c r="C4" s="2" t="s">
        <v>4059</v>
      </c>
      <c r="D4" s="2"/>
      <c r="E4" s="23"/>
      <c r="F4" s="23"/>
      <c r="G4" s="2"/>
    </row>
    <row r="5" spans="2:7" x14ac:dyDescent="0.25">
      <c r="B5" s="156">
        <v>46292</v>
      </c>
      <c r="C5" s="2" t="s">
        <v>8043</v>
      </c>
      <c r="D5" s="2"/>
      <c r="E5" s="23"/>
      <c r="F5" s="23">
        <f>E5-E4</f>
        <v>0</v>
      </c>
      <c r="G5" s="2"/>
    </row>
    <row r="6" spans="2:7" x14ac:dyDescent="0.25">
      <c r="B6" s="156">
        <v>46293</v>
      </c>
      <c r="C6" s="2" t="s">
        <v>8044</v>
      </c>
      <c r="D6" s="2" t="s">
        <v>8042</v>
      </c>
      <c r="E6" s="2"/>
      <c r="F6" s="2"/>
      <c r="G6" s="2"/>
    </row>
    <row r="7" spans="2:7" x14ac:dyDescent="0.25">
      <c r="B7" s="156">
        <v>46294</v>
      </c>
      <c r="C7" s="2" t="s">
        <v>279</v>
      </c>
      <c r="D7" s="2"/>
      <c r="E7" s="2"/>
      <c r="F7" s="2"/>
      <c r="G7" s="2"/>
    </row>
    <row r="8" spans="2:7" x14ac:dyDescent="0.25">
      <c r="B8" s="156">
        <v>46295</v>
      </c>
      <c r="C8" s="2" t="s">
        <v>8061</v>
      </c>
      <c r="D8" s="2"/>
      <c r="E8" s="23"/>
      <c r="F8" s="23">
        <f>E8-E7</f>
        <v>0</v>
      </c>
      <c r="G8" s="2"/>
    </row>
    <row r="9" spans="2:7" x14ac:dyDescent="0.25">
      <c r="B9" s="156">
        <v>46296</v>
      </c>
      <c r="C9" s="2" t="s">
        <v>8099</v>
      </c>
      <c r="D9" s="2" t="s">
        <v>8100</v>
      </c>
      <c r="E9" s="25">
        <v>3.6</v>
      </c>
      <c r="F9" s="25">
        <f t="shared" ref="F9:F22" si="0">E9-E8</f>
        <v>3.6</v>
      </c>
      <c r="G9" s="2"/>
    </row>
    <row r="10" spans="2:7" x14ac:dyDescent="0.25">
      <c r="B10" s="156">
        <v>46297</v>
      </c>
      <c r="C10" s="2"/>
      <c r="D10" s="2"/>
      <c r="E10" s="25"/>
      <c r="F10" s="25">
        <f t="shared" si="0"/>
        <v>-3.6</v>
      </c>
      <c r="G10" s="2"/>
    </row>
    <row r="11" spans="2:7" x14ac:dyDescent="0.25">
      <c r="B11" s="156">
        <v>46298</v>
      </c>
      <c r="C11" s="2"/>
      <c r="D11" s="2"/>
      <c r="E11" s="25"/>
      <c r="F11" s="25">
        <f t="shared" si="0"/>
        <v>0</v>
      </c>
      <c r="G11" s="2"/>
    </row>
    <row r="12" spans="2:7" x14ac:dyDescent="0.25">
      <c r="B12" s="156">
        <v>46299</v>
      </c>
      <c r="C12" s="2"/>
      <c r="D12" s="2"/>
      <c r="E12" s="25"/>
      <c r="F12" s="25">
        <f t="shared" si="0"/>
        <v>0</v>
      </c>
      <c r="G12" s="2"/>
    </row>
    <row r="13" spans="2:7" x14ac:dyDescent="0.25">
      <c r="B13" s="156">
        <v>46300</v>
      </c>
      <c r="C13" s="2"/>
      <c r="D13" s="2"/>
      <c r="E13" s="25"/>
      <c r="F13" s="25">
        <f t="shared" si="0"/>
        <v>0</v>
      </c>
      <c r="G13" s="2"/>
    </row>
    <row r="14" spans="2:7" x14ac:dyDescent="0.25">
      <c r="B14" s="156">
        <v>46301</v>
      </c>
      <c r="C14" s="2"/>
      <c r="D14" s="2"/>
      <c r="E14" s="25"/>
      <c r="F14" s="25">
        <f t="shared" si="0"/>
        <v>0</v>
      </c>
      <c r="G14" s="2"/>
    </row>
    <row r="15" spans="2:7" x14ac:dyDescent="0.25">
      <c r="B15" s="156">
        <v>46302</v>
      </c>
      <c r="C15" s="2"/>
      <c r="D15" s="2"/>
      <c r="E15" s="25"/>
      <c r="F15" s="25">
        <f t="shared" si="0"/>
        <v>0</v>
      </c>
      <c r="G15" s="2"/>
    </row>
    <row r="16" spans="2:7" x14ac:dyDescent="0.25">
      <c r="B16" s="156">
        <v>46303</v>
      </c>
      <c r="C16" s="2"/>
      <c r="D16" s="2"/>
      <c r="E16" s="25"/>
      <c r="F16" s="25">
        <f t="shared" si="0"/>
        <v>0</v>
      </c>
      <c r="G16" s="2"/>
    </row>
    <row r="17" spans="2:7" x14ac:dyDescent="0.25">
      <c r="B17" s="156">
        <v>46304</v>
      </c>
      <c r="C17" s="2"/>
      <c r="D17" s="2"/>
      <c r="E17" s="25"/>
      <c r="F17" s="25">
        <f t="shared" si="0"/>
        <v>0</v>
      </c>
      <c r="G17" s="2"/>
    </row>
    <row r="18" spans="2:7" x14ac:dyDescent="0.25">
      <c r="B18" s="156">
        <v>46305</v>
      </c>
      <c r="C18" s="2"/>
      <c r="D18" s="2"/>
      <c r="E18" s="25"/>
      <c r="F18" s="25">
        <f t="shared" si="0"/>
        <v>0</v>
      </c>
      <c r="G18" s="2"/>
    </row>
    <row r="19" spans="2:7" x14ac:dyDescent="0.25">
      <c r="B19" s="156">
        <v>46306</v>
      </c>
      <c r="C19" s="2"/>
      <c r="D19" s="2"/>
      <c r="E19" s="25"/>
      <c r="F19" s="25">
        <f t="shared" si="0"/>
        <v>0</v>
      </c>
      <c r="G19" s="2"/>
    </row>
    <row r="20" spans="2:7" x14ac:dyDescent="0.25">
      <c r="B20" s="156">
        <v>46307</v>
      </c>
      <c r="C20" s="2"/>
      <c r="D20" s="2"/>
      <c r="E20" s="25"/>
      <c r="F20" s="25">
        <f t="shared" si="0"/>
        <v>0</v>
      </c>
      <c r="G20" s="2"/>
    </row>
    <row r="21" spans="2:7" x14ac:dyDescent="0.25">
      <c r="B21" s="156">
        <v>46308</v>
      </c>
      <c r="C21" s="2"/>
      <c r="D21" s="2"/>
      <c r="E21" s="25"/>
      <c r="F21" s="25">
        <f t="shared" si="0"/>
        <v>0</v>
      </c>
      <c r="G21" s="2"/>
    </row>
    <row r="22" spans="2:7" x14ac:dyDescent="0.25">
      <c r="B22" s="156">
        <v>46309</v>
      </c>
      <c r="C22" s="2"/>
      <c r="D22" s="2"/>
      <c r="E22" s="25"/>
      <c r="F22" s="25">
        <f t="shared" si="0"/>
        <v>0</v>
      </c>
      <c r="G22" s="2"/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A6189-0E42-40A3-8B80-D9CDC047CFBC}">
  <dimension ref="B2:H22"/>
  <sheetViews>
    <sheetView workbookViewId="0">
      <selection activeCell="C13" sqref="C13"/>
    </sheetView>
  </sheetViews>
  <sheetFormatPr defaultRowHeight="15" x14ac:dyDescent="0.25"/>
  <cols>
    <col min="2" max="2" width="18" bestFit="1" customWidth="1"/>
    <col min="3" max="3" width="72" bestFit="1" customWidth="1"/>
    <col min="4" max="4" width="42.140625" bestFit="1" customWidth="1"/>
    <col min="5" max="5" width="11.85546875" bestFit="1" customWidth="1"/>
    <col min="7" max="7" width="11" bestFit="1" customWidth="1"/>
  </cols>
  <sheetData>
    <row r="2" spans="2:8" x14ac:dyDescent="0.25">
      <c r="B2" s="53" t="s">
        <v>4500</v>
      </c>
      <c r="D2" s="123" t="s">
        <v>1324</v>
      </c>
      <c r="E2" s="24"/>
      <c r="F2" s="24"/>
    </row>
    <row r="3" spans="2:8" ht="15.75" x14ac:dyDescent="0.25">
      <c r="B3" s="10" t="s">
        <v>0</v>
      </c>
      <c r="C3" s="11" t="s">
        <v>1</v>
      </c>
      <c r="D3" s="11" t="s">
        <v>2</v>
      </c>
      <c r="E3" s="11" t="s">
        <v>934</v>
      </c>
      <c r="F3" s="11" t="s">
        <v>1095</v>
      </c>
      <c r="G3" s="11" t="s">
        <v>1507</v>
      </c>
    </row>
    <row r="4" spans="2:8" x14ac:dyDescent="0.25">
      <c r="B4" s="156">
        <v>46289</v>
      </c>
      <c r="C4" s="2" t="s">
        <v>4059</v>
      </c>
      <c r="D4" s="2"/>
      <c r="E4" s="23"/>
      <c r="F4" s="23"/>
      <c r="G4" s="2"/>
    </row>
    <row r="5" spans="2:8" x14ac:dyDescent="0.25">
      <c r="B5" s="156">
        <v>46290</v>
      </c>
      <c r="C5" s="2" t="s">
        <v>279</v>
      </c>
      <c r="D5" s="2"/>
      <c r="E5" s="23"/>
      <c r="F5" s="23">
        <f>E5-E4</f>
        <v>0</v>
      </c>
      <c r="G5" s="2"/>
    </row>
    <row r="6" spans="2:8" x14ac:dyDescent="0.25">
      <c r="B6" s="156">
        <v>46291</v>
      </c>
      <c r="C6" s="2" t="s">
        <v>8032</v>
      </c>
      <c r="D6" s="2" t="s">
        <v>8033</v>
      </c>
      <c r="E6" s="2"/>
      <c r="F6" s="2"/>
      <c r="G6" s="2"/>
    </row>
    <row r="7" spans="2:8" x14ac:dyDescent="0.25">
      <c r="B7" s="156">
        <v>46292</v>
      </c>
      <c r="C7" s="2" t="s">
        <v>3329</v>
      </c>
      <c r="D7" s="2"/>
      <c r="E7" s="2"/>
      <c r="F7" s="2"/>
      <c r="G7" s="2"/>
    </row>
    <row r="8" spans="2:8" x14ac:dyDescent="0.25">
      <c r="B8" s="156">
        <v>46293</v>
      </c>
      <c r="C8" s="2" t="s">
        <v>8034</v>
      </c>
      <c r="D8" s="2" t="s">
        <v>8035</v>
      </c>
      <c r="E8" s="23">
        <v>40</v>
      </c>
      <c r="F8" s="23">
        <f>E8-E7</f>
        <v>40</v>
      </c>
      <c r="G8" s="2"/>
      <c r="H8" t="s">
        <v>8037</v>
      </c>
    </row>
    <row r="9" spans="2:8" x14ac:dyDescent="0.25">
      <c r="B9" s="156">
        <v>46294</v>
      </c>
      <c r="C9" s="2" t="s">
        <v>8036</v>
      </c>
      <c r="D9" s="2"/>
      <c r="E9" s="25">
        <v>42</v>
      </c>
      <c r="F9" s="25">
        <f t="shared" ref="F9:F22" si="0">E9-E8</f>
        <v>2</v>
      </c>
      <c r="G9" s="2"/>
    </row>
    <row r="10" spans="2:8" x14ac:dyDescent="0.25">
      <c r="B10" s="156">
        <v>46295</v>
      </c>
      <c r="C10" s="2" t="s">
        <v>8089</v>
      </c>
      <c r="D10" s="2"/>
      <c r="E10" s="25">
        <v>45</v>
      </c>
      <c r="F10" s="25">
        <f t="shared" si="0"/>
        <v>3</v>
      </c>
      <c r="G10" s="2"/>
    </row>
    <row r="11" spans="2:8" x14ac:dyDescent="0.25">
      <c r="B11" s="156">
        <v>46296</v>
      </c>
      <c r="C11" s="2" t="s">
        <v>8090</v>
      </c>
      <c r="D11" s="2"/>
      <c r="E11" s="25">
        <v>48</v>
      </c>
      <c r="F11" s="25">
        <f t="shared" si="0"/>
        <v>3</v>
      </c>
      <c r="G11" s="2"/>
    </row>
    <row r="12" spans="2:8" x14ac:dyDescent="0.25">
      <c r="B12" s="156">
        <v>46297</v>
      </c>
      <c r="C12" s="2" t="s">
        <v>8098</v>
      </c>
      <c r="D12" s="2"/>
      <c r="E12" s="25">
        <v>51</v>
      </c>
      <c r="F12" s="25">
        <f t="shared" si="0"/>
        <v>3</v>
      </c>
      <c r="G12" s="2"/>
    </row>
    <row r="13" spans="2:8" x14ac:dyDescent="0.25">
      <c r="B13" s="156">
        <v>46298</v>
      </c>
      <c r="C13" s="2"/>
      <c r="D13" s="2"/>
      <c r="E13" s="25"/>
      <c r="F13" s="25">
        <f t="shared" si="0"/>
        <v>-51</v>
      </c>
      <c r="G13" s="2"/>
    </row>
    <row r="14" spans="2:8" x14ac:dyDescent="0.25">
      <c r="B14" s="156">
        <v>46299</v>
      </c>
      <c r="C14" s="2"/>
      <c r="D14" s="2"/>
      <c r="E14" s="25"/>
      <c r="F14" s="25">
        <f t="shared" si="0"/>
        <v>0</v>
      </c>
      <c r="G14" s="2"/>
    </row>
    <row r="15" spans="2:8" x14ac:dyDescent="0.25">
      <c r="B15" s="156">
        <v>46300</v>
      </c>
      <c r="C15" s="2"/>
      <c r="D15" s="2"/>
      <c r="E15" s="25"/>
      <c r="F15" s="25">
        <f t="shared" si="0"/>
        <v>0</v>
      </c>
      <c r="G15" s="2"/>
    </row>
    <row r="16" spans="2:8" x14ac:dyDescent="0.25">
      <c r="B16" s="156">
        <v>46301</v>
      </c>
      <c r="C16" s="2"/>
      <c r="D16" s="2"/>
      <c r="E16" s="25"/>
      <c r="F16" s="25">
        <f t="shared" si="0"/>
        <v>0</v>
      </c>
      <c r="G16" s="2"/>
    </row>
    <row r="17" spans="2:7" x14ac:dyDescent="0.25">
      <c r="B17" s="156">
        <v>46302</v>
      </c>
      <c r="C17" s="2"/>
      <c r="D17" s="2"/>
      <c r="E17" s="25"/>
      <c r="F17" s="25">
        <f t="shared" si="0"/>
        <v>0</v>
      </c>
      <c r="G17" s="2"/>
    </row>
    <row r="18" spans="2:7" x14ac:dyDescent="0.25">
      <c r="B18" s="156">
        <v>46303</v>
      </c>
      <c r="C18" s="2"/>
      <c r="D18" s="2"/>
      <c r="E18" s="25"/>
      <c r="F18" s="25">
        <f t="shared" si="0"/>
        <v>0</v>
      </c>
      <c r="G18" s="2"/>
    </row>
    <row r="19" spans="2:7" x14ac:dyDescent="0.25">
      <c r="B19" s="156">
        <v>46304</v>
      </c>
      <c r="C19" s="2"/>
      <c r="D19" s="2"/>
      <c r="E19" s="25"/>
      <c r="F19" s="25">
        <f t="shared" si="0"/>
        <v>0</v>
      </c>
      <c r="G19" s="2"/>
    </row>
    <row r="20" spans="2:7" x14ac:dyDescent="0.25">
      <c r="B20" s="156">
        <v>46305</v>
      </c>
      <c r="C20" s="2"/>
      <c r="D20" s="2"/>
      <c r="E20" s="25"/>
      <c r="F20" s="25">
        <f t="shared" si="0"/>
        <v>0</v>
      </c>
      <c r="G20" s="2"/>
    </row>
    <row r="21" spans="2:7" x14ac:dyDescent="0.25">
      <c r="B21" s="156">
        <v>46306</v>
      </c>
      <c r="C21" s="2"/>
      <c r="D21" s="2"/>
      <c r="E21" s="25"/>
      <c r="F21" s="25">
        <f t="shared" si="0"/>
        <v>0</v>
      </c>
      <c r="G21" s="2"/>
    </row>
    <row r="22" spans="2:7" x14ac:dyDescent="0.25">
      <c r="B22" s="156">
        <v>46307</v>
      </c>
      <c r="C22" s="2"/>
      <c r="D22" s="2"/>
      <c r="E22" s="25"/>
      <c r="F22" s="25">
        <f t="shared" si="0"/>
        <v>0</v>
      </c>
      <c r="G22" s="2"/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3D0C0-5145-4BEF-BEA0-F11EB61CF5FA}">
  <dimension ref="B2:G22"/>
  <sheetViews>
    <sheetView workbookViewId="0">
      <selection activeCell="C8" sqref="C8"/>
    </sheetView>
  </sheetViews>
  <sheetFormatPr defaultRowHeight="15" x14ac:dyDescent="0.25"/>
  <cols>
    <col min="2" max="2" width="18" bestFit="1" customWidth="1"/>
    <col min="3" max="3" width="72" bestFit="1" customWidth="1"/>
    <col min="4" max="4" width="42.140625" bestFit="1" customWidth="1"/>
    <col min="5" max="5" width="11.85546875" bestFit="1" customWidth="1"/>
    <col min="7" max="7" width="11" bestFit="1" customWidth="1"/>
  </cols>
  <sheetData>
    <row r="2" spans="2:7" x14ac:dyDescent="0.25">
      <c r="B2" s="53" t="s">
        <v>4257</v>
      </c>
      <c r="D2" s="123" t="s">
        <v>1324</v>
      </c>
      <c r="E2" s="24"/>
      <c r="F2" s="24"/>
    </row>
    <row r="3" spans="2:7" ht="15.75" x14ac:dyDescent="0.25">
      <c r="B3" s="10" t="s">
        <v>0</v>
      </c>
      <c r="C3" s="11" t="s">
        <v>1</v>
      </c>
      <c r="D3" s="11" t="s">
        <v>2</v>
      </c>
      <c r="E3" s="11" t="s">
        <v>934</v>
      </c>
      <c r="F3" s="11" t="s">
        <v>1095</v>
      </c>
      <c r="G3" s="11" t="s">
        <v>1507</v>
      </c>
    </row>
    <row r="4" spans="2:7" x14ac:dyDescent="0.25">
      <c r="B4" s="156">
        <v>46294</v>
      </c>
      <c r="C4" s="2" t="s">
        <v>4059</v>
      </c>
      <c r="D4" s="2"/>
      <c r="E4" s="23"/>
      <c r="F4" s="23"/>
      <c r="G4" s="2"/>
    </row>
    <row r="5" spans="2:7" x14ac:dyDescent="0.25">
      <c r="B5" s="156">
        <v>46295</v>
      </c>
      <c r="C5" s="2" t="s">
        <v>8066</v>
      </c>
      <c r="D5" s="2"/>
      <c r="E5" s="23"/>
      <c r="F5" s="23">
        <f>E5-E4</f>
        <v>0</v>
      </c>
      <c r="G5" s="2"/>
    </row>
    <row r="6" spans="2:7" x14ac:dyDescent="0.25">
      <c r="B6" s="156">
        <v>46296</v>
      </c>
      <c r="C6" s="2" t="s">
        <v>8084</v>
      </c>
      <c r="D6" s="2"/>
      <c r="E6" s="2"/>
      <c r="F6" s="2"/>
      <c r="G6" s="2"/>
    </row>
    <row r="7" spans="2:7" x14ac:dyDescent="0.25">
      <c r="B7" s="156">
        <v>46297</v>
      </c>
      <c r="C7" s="2" t="s">
        <v>8097</v>
      </c>
      <c r="D7" s="2"/>
      <c r="E7" s="2"/>
      <c r="F7" s="2"/>
      <c r="G7" s="2"/>
    </row>
    <row r="8" spans="2:7" x14ac:dyDescent="0.25">
      <c r="B8" s="156">
        <v>46298</v>
      </c>
      <c r="C8" s="2"/>
      <c r="D8" s="2"/>
      <c r="E8" s="23"/>
      <c r="F8" s="23">
        <f>E8-E7</f>
        <v>0</v>
      </c>
      <c r="G8" s="2"/>
    </row>
    <row r="9" spans="2:7" x14ac:dyDescent="0.25">
      <c r="B9" s="156">
        <v>46299</v>
      </c>
      <c r="C9" s="2"/>
      <c r="D9" s="2"/>
      <c r="E9" s="25"/>
      <c r="F9" s="25">
        <f t="shared" ref="F9:F22" si="0">E9-E8</f>
        <v>0</v>
      </c>
      <c r="G9" s="2"/>
    </row>
    <row r="10" spans="2:7" x14ac:dyDescent="0.25">
      <c r="B10" s="156">
        <v>46300</v>
      </c>
      <c r="C10" s="2"/>
      <c r="D10" s="2"/>
      <c r="E10" s="25"/>
      <c r="F10" s="25">
        <f t="shared" si="0"/>
        <v>0</v>
      </c>
      <c r="G10" s="2"/>
    </row>
    <row r="11" spans="2:7" x14ac:dyDescent="0.25">
      <c r="B11" s="156">
        <v>46301</v>
      </c>
      <c r="C11" s="2"/>
      <c r="D11" s="2"/>
      <c r="E11" s="25"/>
      <c r="F11" s="25">
        <f t="shared" si="0"/>
        <v>0</v>
      </c>
      <c r="G11" s="2"/>
    </row>
    <row r="12" spans="2:7" x14ac:dyDescent="0.25">
      <c r="B12" s="156">
        <v>46302</v>
      </c>
      <c r="C12" s="2"/>
      <c r="D12" s="2"/>
      <c r="E12" s="25"/>
      <c r="F12" s="25">
        <f t="shared" si="0"/>
        <v>0</v>
      </c>
      <c r="G12" s="2"/>
    </row>
    <row r="13" spans="2:7" x14ac:dyDescent="0.25">
      <c r="B13" s="156">
        <v>46303</v>
      </c>
      <c r="C13" s="2"/>
      <c r="D13" s="2"/>
      <c r="E13" s="25"/>
      <c r="F13" s="25">
        <f t="shared" si="0"/>
        <v>0</v>
      </c>
      <c r="G13" s="2"/>
    </row>
    <row r="14" spans="2:7" x14ac:dyDescent="0.25">
      <c r="B14" s="156">
        <v>46304</v>
      </c>
      <c r="C14" s="2"/>
      <c r="D14" s="2"/>
      <c r="E14" s="25"/>
      <c r="F14" s="25">
        <f t="shared" si="0"/>
        <v>0</v>
      </c>
      <c r="G14" s="2"/>
    </row>
    <row r="15" spans="2:7" x14ac:dyDescent="0.25">
      <c r="B15" s="156">
        <v>46305</v>
      </c>
      <c r="C15" s="2"/>
      <c r="D15" s="2"/>
      <c r="E15" s="25"/>
      <c r="F15" s="25">
        <f t="shared" si="0"/>
        <v>0</v>
      </c>
      <c r="G15" s="2"/>
    </row>
    <row r="16" spans="2:7" x14ac:dyDescent="0.25">
      <c r="B16" s="156">
        <v>46306</v>
      </c>
      <c r="C16" s="2"/>
      <c r="D16" s="2"/>
      <c r="E16" s="25"/>
      <c r="F16" s="25">
        <f t="shared" si="0"/>
        <v>0</v>
      </c>
      <c r="G16" s="2"/>
    </row>
    <row r="17" spans="2:7" x14ac:dyDescent="0.25">
      <c r="B17" s="156">
        <v>46307</v>
      </c>
      <c r="C17" s="2"/>
      <c r="D17" s="2"/>
      <c r="E17" s="25"/>
      <c r="F17" s="25">
        <f t="shared" si="0"/>
        <v>0</v>
      </c>
      <c r="G17" s="2"/>
    </row>
    <row r="18" spans="2:7" x14ac:dyDescent="0.25">
      <c r="B18" s="156">
        <v>46308</v>
      </c>
      <c r="C18" s="2"/>
      <c r="D18" s="2"/>
      <c r="E18" s="25"/>
      <c r="F18" s="25">
        <f t="shared" si="0"/>
        <v>0</v>
      </c>
      <c r="G18" s="2"/>
    </row>
    <row r="19" spans="2:7" x14ac:dyDescent="0.25">
      <c r="B19" s="156">
        <v>46309</v>
      </c>
      <c r="C19" s="2"/>
      <c r="D19" s="2"/>
      <c r="E19" s="25"/>
      <c r="F19" s="25">
        <f t="shared" si="0"/>
        <v>0</v>
      </c>
      <c r="G19" s="2"/>
    </row>
    <row r="20" spans="2:7" x14ac:dyDescent="0.25">
      <c r="B20" s="156">
        <v>46310</v>
      </c>
      <c r="C20" s="2"/>
      <c r="D20" s="2"/>
      <c r="E20" s="25"/>
      <c r="F20" s="25">
        <f t="shared" si="0"/>
        <v>0</v>
      </c>
      <c r="G20" s="2"/>
    </row>
    <row r="21" spans="2:7" x14ac:dyDescent="0.25">
      <c r="B21" s="156">
        <v>46311</v>
      </c>
      <c r="C21" s="2"/>
      <c r="D21" s="2"/>
      <c r="E21" s="25"/>
      <c r="F21" s="25">
        <f t="shared" si="0"/>
        <v>0</v>
      </c>
      <c r="G21" s="2"/>
    </row>
    <row r="22" spans="2:7" x14ac:dyDescent="0.25">
      <c r="B22" s="156">
        <v>46312</v>
      </c>
      <c r="C22" s="2"/>
      <c r="D22" s="2"/>
      <c r="E22" s="25"/>
      <c r="F22" s="25">
        <f t="shared" si="0"/>
        <v>0</v>
      </c>
      <c r="G22" s="2"/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42BEE-6322-4AA6-ACA2-A82E96F774A7}">
  <dimension ref="B2:G22"/>
  <sheetViews>
    <sheetView workbookViewId="0">
      <selection activeCell="C10" sqref="C10"/>
    </sheetView>
  </sheetViews>
  <sheetFormatPr defaultRowHeight="15" x14ac:dyDescent="0.25"/>
  <cols>
    <col min="2" max="2" width="18" bestFit="1" customWidth="1"/>
    <col min="3" max="3" width="72" bestFit="1" customWidth="1"/>
    <col min="4" max="4" width="42.140625" bestFit="1" customWidth="1"/>
    <col min="5" max="5" width="11.85546875" bestFit="1" customWidth="1"/>
    <col min="7" max="7" width="11" bestFit="1" customWidth="1"/>
  </cols>
  <sheetData>
    <row r="2" spans="2:7" x14ac:dyDescent="0.25">
      <c r="B2" s="53" t="s">
        <v>8038</v>
      </c>
      <c r="D2" s="123" t="s">
        <v>1324</v>
      </c>
      <c r="E2" s="24"/>
      <c r="F2" s="24"/>
    </row>
    <row r="3" spans="2:7" ht="15.75" x14ac:dyDescent="0.25">
      <c r="B3" s="10" t="s">
        <v>0</v>
      </c>
      <c r="C3" s="11" t="s">
        <v>1</v>
      </c>
      <c r="D3" s="11" t="s">
        <v>2</v>
      </c>
      <c r="E3" s="11" t="s">
        <v>934</v>
      </c>
      <c r="F3" s="11" t="s">
        <v>1095</v>
      </c>
      <c r="G3" s="11" t="s">
        <v>1507</v>
      </c>
    </row>
    <row r="4" spans="2:7" x14ac:dyDescent="0.25">
      <c r="B4" s="156">
        <v>46291</v>
      </c>
      <c r="C4" s="2" t="s">
        <v>4059</v>
      </c>
      <c r="D4" s="2"/>
      <c r="E4" s="23"/>
      <c r="F4" s="23"/>
      <c r="G4" s="2"/>
    </row>
    <row r="5" spans="2:7" x14ac:dyDescent="0.25">
      <c r="B5" s="156">
        <v>46292</v>
      </c>
      <c r="C5" s="2" t="s">
        <v>8039</v>
      </c>
      <c r="D5" s="2"/>
      <c r="E5" s="23"/>
      <c r="F5" s="23">
        <f>E5-E4</f>
        <v>0</v>
      </c>
      <c r="G5" s="2"/>
    </row>
    <row r="6" spans="2:7" x14ac:dyDescent="0.25">
      <c r="B6" s="156">
        <v>46293</v>
      </c>
      <c r="C6" s="2" t="s">
        <v>8040</v>
      </c>
      <c r="D6" s="2"/>
      <c r="E6" s="2"/>
      <c r="F6" s="2"/>
      <c r="G6" s="2"/>
    </row>
    <row r="7" spans="2:7" x14ac:dyDescent="0.25">
      <c r="B7" s="156">
        <v>46294</v>
      </c>
      <c r="C7" s="2" t="s">
        <v>8062</v>
      </c>
      <c r="D7" s="2"/>
      <c r="E7" s="2"/>
      <c r="F7" s="2"/>
      <c r="G7" s="2"/>
    </row>
    <row r="8" spans="2:7" x14ac:dyDescent="0.25">
      <c r="B8" s="156">
        <v>46295</v>
      </c>
      <c r="C8" s="2" t="s">
        <v>8095</v>
      </c>
      <c r="D8" s="2"/>
      <c r="E8" s="23"/>
      <c r="F8" s="23">
        <f>E8-E7</f>
        <v>0</v>
      </c>
      <c r="G8" s="2"/>
    </row>
    <row r="9" spans="2:7" x14ac:dyDescent="0.25">
      <c r="B9" s="156">
        <v>46296</v>
      </c>
      <c r="C9" s="2" t="s">
        <v>8096</v>
      </c>
      <c r="D9" s="2"/>
      <c r="E9" s="25"/>
      <c r="F9" s="25">
        <f t="shared" ref="F9:F22" si="0">E9-E8</f>
        <v>0</v>
      </c>
      <c r="G9" s="2"/>
    </row>
    <row r="10" spans="2:7" x14ac:dyDescent="0.25">
      <c r="B10" s="156">
        <v>46297</v>
      </c>
      <c r="C10" s="2"/>
      <c r="D10" s="2"/>
      <c r="E10" s="25"/>
      <c r="F10" s="25">
        <f t="shared" si="0"/>
        <v>0</v>
      </c>
      <c r="G10" s="2"/>
    </row>
    <row r="11" spans="2:7" x14ac:dyDescent="0.25">
      <c r="B11" s="156">
        <v>46298</v>
      </c>
      <c r="C11" s="2"/>
      <c r="D11" s="2"/>
      <c r="E11" s="25"/>
      <c r="F11" s="25">
        <f t="shared" si="0"/>
        <v>0</v>
      </c>
      <c r="G11" s="2"/>
    </row>
    <row r="12" spans="2:7" x14ac:dyDescent="0.25">
      <c r="B12" s="156">
        <v>46299</v>
      </c>
      <c r="C12" s="2"/>
      <c r="D12" s="2"/>
      <c r="E12" s="25"/>
      <c r="F12" s="25">
        <f t="shared" si="0"/>
        <v>0</v>
      </c>
      <c r="G12" s="2"/>
    </row>
    <row r="13" spans="2:7" x14ac:dyDescent="0.25">
      <c r="B13" s="156">
        <v>46300</v>
      </c>
      <c r="C13" s="2"/>
      <c r="D13" s="2"/>
      <c r="E13" s="25"/>
      <c r="F13" s="25">
        <f t="shared" si="0"/>
        <v>0</v>
      </c>
      <c r="G13" s="2"/>
    </row>
    <row r="14" spans="2:7" x14ac:dyDescent="0.25">
      <c r="B14" s="156">
        <v>46301</v>
      </c>
      <c r="C14" s="2"/>
      <c r="D14" s="2"/>
      <c r="E14" s="25"/>
      <c r="F14" s="25">
        <f t="shared" si="0"/>
        <v>0</v>
      </c>
      <c r="G14" s="2"/>
    </row>
    <row r="15" spans="2:7" x14ac:dyDescent="0.25">
      <c r="B15" s="156">
        <v>46302</v>
      </c>
      <c r="C15" s="2"/>
      <c r="D15" s="2"/>
      <c r="E15" s="25"/>
      <c r="F15" s="25">
        <f t="shared" si="0"/>
        <v>0</v>
      </c>
      <c r="G15" s="2"/>
    </row>
    <row r="16" spans="2:7" x14ac:dyDescent="0.25">
      <c r="B16" s="156">
        <v>46303</v>
      </c>
      <c r="C16" s="2"/>
      <c r="D16" s="2"/>
      <c r="E16" s="25"/>
      <c r="F16" s="25">
        <f t="shared" si="0"/>
        <v>0</v>
      </c>
      <c r="G16" s="2"/>
    </row>
    <row r="17" spans="2:7" x14ac:dyDescent="0.25">
      <c r="B17" s="156">
        <v>46304</v>
      </c>
      <c r="C17" s="2"/>
      <c r="D17" s="2"/>
      <c r="E17" s="25"/>
      <c r="F17" s="25">
        <f t="shared" si="0"/>
        <v>0</v>
      </c>
      <c r="G17" s="2"/>
    </row>
    <row r="18" spans="2:7" x14ac:dyDescent="0.25">
      <c r="B18" s="156">
        <v>46305</v>
      </c>
      <c r="C18" s="2"/>
      <c r="D18" s="2"/>
      <c r="E18" s="25"/>
      <c r="F18" s="25">
        <f t="shared" si="0"/>
        <v>0</v>
      </c>
      <c r="G18" s="2"/>
    </row>
    <row r="19" spans="2:7" x14ac:dyDescent="0.25">
      <c r="B19" s="156">
        <v>46306</v>
      </c>
      <c r="C19" s="2"/>
      <c r="D19" s="2"/>
      <c r="E19" s="25"/>
      <c r="F19" s="25">
        <f t="shared" si="0"/>
        <v>0</v>
      </c>
      <c r="G19" s="2"/>
    </row>
    <row r="20" spans="2:7" x14ac:dyDescent="0.25">
      <c r="B20" s="156">
        <v>46307</v>
      </c>
      <c r="C20" s="2"/>
      <c r="D20" s="2"/>
      <c r="E20" s="25"/>
      <c r="F20" s="25">
        <f t="shared" si="0"/>
        <v>0</v>
      </c>
      <c r="G20" s="2"/>
    </row>
    <row r="21" spans="2:7" x14ac:dyDescent="0.25">
      <c r="B21" s="156">
        <v>46308</v>
      </c>
      <c r="C21" s="2"/>
      <c r="D21" s="2"/>
      <c r="E21" s="25"/>
      <c r="F21" s="25">
        <f t="shared" si="0"/>
        <v>0</v>
      </c>
      <c r="G21" s="2"/>
    </row>
    <row r="22" spans="2:7" x14ac:dyDescent="0.25">
      <c r="B22" s="156">
        <v>46309</v>
      </c>
      <c r="C22" s="2"/>
      <c r="D22" s="2"/>
      <c r="E22" s="25"/>
      <c r="F22" s="25">
        <f t="shared" si="0"/>
        <v>0</v>
      </c>
      <c r="G22" s="2"/>
    </row>
  </sheetData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504E3-C571-47C3-9E66-E0C969F71966}">
  <dimension ref="B2:G22"/>
  <sheetViews>
    <sheetView workbookViewId="0">
      <selection activeCell="C4" sqref="C4:C6"/>
    </sheetView>
  </sheetViews>
  <sheetFormatPr defaultRowHeight="15" x14ac:dyDescent="0.25"/>
  <cols>
    <col min="2" max="2" width="18" bestFit="1" customWidth="1"/>
    <col min="3" max="3" width="72" bestFit="1" customWidth="1"/>
    <col min="4" max="4" width="42.140625" bestFit="1" customWidth="1"/>
    <col min="5" max="5" width="11.85546875" bestFit="1" customWidth="1"/>
    <col min="7" max="7" width="11" bestFit="1" customWidth="1"/>
  </cols>
  <sheetData>
    <row r="2" spans="2:7" x14ac:dyDescent="0.25">
      <c r="B2" s="53" t="s">
        <v>8055</v>
      </c>
      <c r="D2" s="123" t="s">
        <v>1324</v>
      </c>
      <c r="E2" s="24"/>
      <c r="F2" s="24"/>
    </row>
    <row r="3" spans="2:7" ht="15.75" x14ac:dyDescent="0.25">
      <c r="B3" s="10" t="s">
        <v>0</v>
      </c>
      <c r="C3" s="11" t="s">
        <v>1</v>
      </c>
      <c r="D3" s="11" t="s">
        <v>2</v>
      </c>
      <c r="E3" s="11" t="s">
        <v>934</v>
      </c>
      <c r="F3" s="11" t="s">
        <v>1095</v>
      </c>
      <c r="G3" s="11" t="s">
        <v>1507</v>
      </c>
    </row>
    <row r="4" spans="2:7" x14ac:dyDescent="0.25">
      <c r="B4" s="156">
        <v>46291</v>
      </c>
      <c r="C4" s="2"/>
      <c r="D4" s="2"/>
      <c r="E4" s="23"/>
      <c r="F4" s="23"/>
      <c r="G4" s="2"/>
    </row>
    <row r="5" spans="2:7" x14ac:dyDescent="0.25">
      <c r="B5" s="156">
        <v>46292</v>
      </c>
      <c r="C5" s="2"/>
      <c r="D5" s="2"/>
      <c r="E5" s="23"/>
      <c r="F5" s="23">
        <f>E5-E4</f>
        <v>0</v>
      </c>
      <c r="G5" s="2"/>
    </row>
    <row r="6" spans="2:7" x14ac:dyDescent="0.25">
      <c r="B6" s="156">
        <v>46293</v>
      </c>
      <c r="C6" s="2"/>
      <c r="D6" s="2"/>
      <c r="E6" s="2"/>
      <c r="F6" s="2"/>
      <c r="G6" s="2"/>
    </row>
    <row r="7" spans="2:7" x14ac:dyDescent="0.25">
      <c r="B7" s="156">
        <v>46294</v>
      </c>
      <c r="C7" s="2"/>
      <c r="D7" s="2"/>
      <c r="E7" s="2"/>
      <c r="F7" s="2"/>
      <c r="G7" s="2"/>
    </row>
    <row r="8" spans="2:7" x14ac:dyDescent="0.25">
      <c r="B8" s="156">
        <v>46295</v>
      </c>
      <c r="C8" s="2"/>
      <c r="D8" s="2"/>
      <c r="E8" s="23"/>
      <c r="F8" s="23">
        <f>E8-E7</f>
        <v>0</v>
      </c>
      <c r="G8" s="2"/>
    </row>
    <row r="9" spans="2:7" x14ac:dyDescent="0.25">
      <c r="B9" s="156">
        <v>46296</v>
      </c>
      <c r="C9" s="2"/>
      <c r="D9" s="2"/>
      <c r="E9" s="25"/>
      <c r="F9" s="25">
        <f t="shared" ref="F9:F22" si="0">E9-E8</f>
        <v>0</v>
      </c>
      <c r="G9" s="2"/>
    </row>
    <row r="10" spans="2:7" x14ac:dyDescent="0.25">
      <c r="B10" s="156">
        <v>46297</v>
      </c>
      <c r="C10" s="2"/>
      <c r="D10" s="2"/>
      <c r="E10" s="25"/>
      <c r="F10" s="25">
        <f t="shared" si="0"/>
        <v>0</v>
      </c>
      <c r="G10" s="2"/>
    </row>
    <row r="11" spans="2:7" x14ac:dyDescent="0.25">
      <c r="B11" s="156">
        <v>46298</v>
      </c>
      <c r="C11" s="2"/>
      <c r="D11" s="2"/>
      <c r="E11" s="25"/>
      <c r="F11" s="25">
        <f t="shared" si="0"/>
        <v>0</v>
      </c>
      <c r="G11" s="2"/>
    </row>
    <row r="12" spans="2:7" x14ac:dyDescent="0.25">
      <c r="B12" s="156">
        <v>46299</v>
      </c>
      <c r="C12" s="2"/>
      <c r="D12" s="2"/>
      <c r="E12" s="25"/>
      <c r="F12" s="25">
        <f t="shared" si="0"/>
        <v>0</v>
      </c>
      <c r="G12" s="2"/>
    </row>
    <row r="13" spans="2:7" x14ac:dyDescent="0.25">
      <c r="B13" s="156">
        <v>46300</v>
      </c>
      <c r="C13" s="2"/>
      <c r="D13" s="2"/>
      <c r="E13" s="25"/>
      <c r="F13" s="25">
        <f t="shared" si="0"/>
        <v>0</v>
      </c>
      <c r="G13" s="2"/>
    </row>
    <row r="14" spans="2:7" x14ac:dyDescent="0.25">
      <c r="B14" s="156">
        <v>46301</v>
      </c>
      <c r="C14" s="2"/>
      <c r="D14" s="2"/>
      <c r="E14" s="25"/>
      <c r="F14" s="25">
        <f t="shared" si="0"/>
        <v>0</v>
      </c>
      <c r="G14" s="2"/>
    </row>
    <row r="15" spans="2:7" x14ac:dyDescent="0.25">
      <c r="B15" s="156">
        <v>46302</v>
      </c>
      <c r="C15" s="2"/>
      <c r="D15" s="2"/>
      <c r="E15" s="25"/>
      <c r="F15" s="25">
        <f t="shared" si="0"/>
        <v>0</v>
      </c>
      <c r="G15" s="2"/>
    </row>
    <row r="16" spans="2:7" x14ac:dyDescent="0.25">
      <c r="B16" s="156">
        <v>46303</v>
      </c>
      <c r="C16" s="2"/>
      <c r="D16" s="2"/>
      <c r="E16" s="25"/>
      <c r="F16" s="25">
        <f t="shared" si="0"/>
        <v>0</v>
      </c>
      <c r="G16" s="2"/>
    </row>
    <row r="17" spans="2:7" x14ac:dyDescent="0.25">
      <c r="B17" s="156">
        <v>46304</v>
      </c>
      <c r="C17" s="2"/>
      <c r="D17" s="2"/>
      <c r="E17" s="25"/>
      <c r="F17" s="25">
        <f t="shared" si="0"/>
        <v>0</v>
      </c>
      <c r="G17" s="2"/>
    </row>
    <row r="18" spans="2:7" x14ac:dyDescent="0.25">
      <c r="B18" s="156">
        <v>46305</v>
      </c>
      <c r="C18" s="2"/>
      <c r="D18" s="2"/>
      <c r="E18" s="25"/>
      <c r="F18" s="25">
        <f t="shared" si="0"/>
        <v>0</v>
      </c>
      <c r="G18" s="2"/>
    </row>
    <row r="19" spans="2:7" x14ac:dyDescent="0.25">
      <c r="B19" s="156">
        <v>46306</v>
      </c>
      <c r="C19" s="2"/>
      <c r="D19" s="2"/>
      <c r="E19" s="25"/>
      <c r="F19" s="25">
        <f t="shared" si="0"/>
        <v>0</v>
      </c>
      <c r="G19" s="2"/>
    </row>
    <row r="20" spans="2:7" x14ac:dyDescent="0.25">
      <c r="B20" s="156">
        <v>46307</v>
      </c>
      <c r="C20" s="2"/>
      <c r="D20" s="2"/>
      <c r="E20" s="25"/>
      <c r="F20" s="25">
        <f t="shared" si="0"/>
        <v>0</v>
      </c>
      <c r="G20" s="2"/>
    </row>
    <row r="21" spans="2:7" x14ac:dyDescent="0.25">
      <c r="B21" s="156">
        <v>46308</v>
      </c>
      <c r="C21" s="2"/>
      <c r="D21" s="2"/>
      <c r="E21" s="25"/>
      <c r="F21" s="25">
        <f t="shared" si="0"/>
        <v>0</v>
      </c>
      <c r="G21" s="2"/>
    </row>
    <row r="22" spans="2:7" x14ac:dyDescent="0.25">
      <c r="B22" s="156">
        <v>46309</v>
      </c>
      <c r="C22" s="2"/>
      <c r="D22" s="2"/>
      <c r="E22" s="25"/>
      <c r="F22" s="25">
        <f t="shared" si="0"/>
        <v>0</v>
      </c>
      <c r="G22" s="2"/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AFE4F-5395-4510-AA9D-4EB6DA420055}">
  <dimension ref="B1:N12"/>
  <sheetViews>
    <sheetView workbookViewId="0">
      <selection activeCell="E17" sqref="E17"/>
    </sheetView>
  </sheetViews>
  <sheetFormatPr defaultRowHeight="15" x14ac:dyDescent="0.25"/>
  <cols>
    <col min="2" max="2" width="10.7109375" bestFit="1" customWidth="1"/>
    <col min="3" max="3" width="26.42578125" bestFit="1" customWidth="1"/>
    <col min="4" max="4" width="57.28515625" bestFit="1" customWidth="1"/>
    <col min="5" max="5" width="17.7109375" bestFit="1" customWidth="1"/>
    <col min="6" max="6" width="20" hidden="1" customWidth="1"/>
    <col min="7" max="7" width="9.7109375" hidden="1" customWidth="1"/>
    <col min="8" max="8" width="17.42578125" hidden="1" customWidth="1"/>
    <col min="9" max="9" width="11" bestFit="1" customWidth="1"/>
    <col min="10" max="10" width="13.85546875" bestFit="1" customWidth="1"/>
    <col min="11" max="11" width="11" bestFit="1" customWidth="1"/>
    <col min="12" max="13" width="10.7109375" bestFit="1" customWidth="1"/>
  </cols>
  <sheetData>
    <row r="1" spans="2:14" x14ac:dyDescent="0.25">
      <c r="L1" t="s">
        <v>7543</v>
      </c>
      <c r="M1" t="s">
        <v>7544</v>
      </c>
      <c r="N1" t="s">
        <v>7545</v>
      </c>
    </row>
    <row r="2" spans="2:14" x14ac:dyDescent="0.25">
      <c r="B2" t="s">
        <v>7505</v>
      </c>
      <c r="C2" t="s">
        <v>7506</v>
      </c>
      <c r="D2" t="s">
        <v>7507</v>
      </c>
      <c r="E2" t="s">
        <v>7508</v>
      </c>
      <c r="F2" t="s">
        <v>7509</v>
      </c>
      <c r="G2" t="s">
        <v>7510</v>
      </c>
      <c r="H2" t="s">
        <v>7511</v>
      </c>
      <c r="I2">
        <v>1361010426</v>
      </c>
      <c r="J2" s="165">
        <v>647345950</v>
      </c>
      <c r="K2" t="s">
        <v>1768</v>
      </c>
      <c r="L2" s="166">
        <v>46221</v>
      </c>
      <c r="M2" s="166">
        <v>46313</v>
      </c>
      <c r="N2">
        <f>M2-L2</f>
        <v>92</v>
      </c>
    </row>
    <row r="3" spans="2:14" x14ac:dyDescent="0.25">
      <c r="B3" t="s">
        <v>7505</v>
      </c>
      <c r="C3" t="s">
        <v>7506</v>
      </c>
      <c r="D3" t="s">
        <v>7507</v>
      </c>
      <c r="E3" t="s">
        <v>7512</v>
      </c>
      <c r="F3" t="s">
        <v>7513</v>
      </c>
      <c r="G3" t="s">
        <v>7510</v>
      </c>
      <c r="H3" t="s">
        <v>7511</v>
      </c>
      <c r="I3">
        <v>1372010426</v>
      </c>
      <c r="J3" s="165">
        <v>70000000</v>
      </c>
      <c r="K3" t="s">
        <v>1768</v>
      </c>
    </row>
    <row r="4" spans="2:14" x14ac:dyDescent="0.25">
      <c r="B4" s="166">
        <v>46358</v>
      </c>
      <c r="C4" t="s">
        <v>7514</v>
      </c>
      <c r="D4" t="s">
        <v>7515</v>
      </c>
      <c r="E4" t="s">
        <v>7512</v>
      </c>
      <c r="F4" t="s">
        <v>7516</v>
      </c>
      <c r="G4" t="s">
        <v>7510</v>
      </c>
      <c r="H4" t="s">
        <v>7511</v>
      </c>
      <c r="I4">
        <v>2412020226</v>
      </c>
      <c r="J4" s="165">
        <v>20000000</v>
      </c>
      <c r="K4" t="s">
        <v>1768</v>
      </c>
    </row>
    <row r="5" spans="2:14" x14ac:dyDescent="0.25">
      <c r="B5" s="166">
        <v>46027</v>
      </c>
      <c r="C5" t="s">
        <v>7517</v>
      </c>
      <c r="D5" t="s">
        <v>7518</v>
      </c>
      <c r="E5" t="s">
        <v>7519</v>
      </c>
      <c r="F5" t="s">
        <v>7520</v>
      </c>
      <c r="G5" t="s">
        <v>7521</v>
      </c>
      <c r="I5">
        <v>1025010526</v>
      </c>
      <c r="J5" s="165">
        <v>1000</v>
      </c>
      <c r="K5" t="s">
        <v>1768</v>
      </c>
    </row>
    <row r="6" spans="2:14" x14ac:dyDescent="0.25">
      <c r="B6" s="166">
        <v>46023</v>
      </c>
      <c r="C6" t="s">
        <v>7522</v>
      </c>
      <c r="D6" t="s">
        <v>7523</v>
      </c>
      <c r="E6" t="s">
        <v>7524</v>
      </c>
      <c r="F6" t="s">
        <v>7525</v>
      </c>
      <c r="G6" t="s">
        <v>7521</v>
      </c>
      <c r="I6">
        <v>3654080126</v>
      </c>
      <c r="J6" s="165">
        <v>1000</v>
      </c>
      <c r="K6" t="s">
        <v>1768</v>
      </c>
    </row>
    <row r="7" spans="2:14" x14ac:dyDescent="0.25">
      <c r="B7" s="166">
        <v>46023</v>
      </c>
      <c r="C7" t="s">
        <v>7526</v>
      </c>
      <c r="D7" t="s">
        <v>7527</v>
      </c>
      <c r="E7" t="s">
        <v>7524</v>
      </c>
      <c r="F7" t="s">
        <v>7525</v>
      </c>
      <c r="G7" t="s">
        <v>7521</v>
      </c>
      <c r="I7">
        <v>3644080126</v>
      </c>
      <c r="J7" s="165">
        <v>1000</v>
      </c>
      <c r="K7" t="s">
        <v>1768</v>
      </c>
    </row>
    <row r="8" spans="2:14" x14ac:dyDescent="0.25">
      <c r="B8" s="166">
        <v>46023</v>
      </c>
      <c r="C8" t="s">
        <v>7528</v>
      </c>
      <c r="D8" t="s">
        <v>7529</v>
      </c>
      <c r="E8" t="s">
        <v>7524</v>
      </c>
      <c r="F8" t="s">
        <v>7525</v>
      </c>
      <c r="G8" t="s">
        <v>7521</v>
      </c>
      <c r="H8" t="s">
        <v>681</v>
      </c>
      <c r="I8">
        <v>3634080126</v>
      </c>
      <c r="J8" s="165">
        <v>1000</v>
      </c>
      <c r="K8" t="s">
        <v>1768</v>
      </c>
    </row>
    <row r="9" spans="2:14" x14ac:dyDescent="0.25">
      <c r="B9" t="s">
        <v>7530</v>
      </c>
      <c r="C9" t="s">
        <v>4119</v>
      </c>
      <c r="D9" t="s">
        <v>7531</v>
      </c>
      <c r="E9" t="s">
        <v>7512</v>
      </c>
      <c r="F9" t="s">
        <v>7532</v>
      </c>
      <c r="G9" t="s">
        <v>7521</v>
      </c>
      <c r="I9">
        <v>1092090526</v>
      </c>
      <c r="J9" s="165">
        <v>1000</v>
      </c>
      <c r="K9" t="s">
        <v>1768</v>
      </c>
    </row>
    <row r="10" spans="2:14" x14ac:dyDescent="0.25">
      <c r="B10" t="s">
        <v>7533</v>
      </c>
      <c r="C10" t="s">
        <v>7534</v>
      </c>
      <c r="D10" t="s">
        <v>7535</v>
      </c>
      <c r="E10" t="s">
        <v>7512</v>
      </c>
      <c r="F10" t="s">
        <v>7516</v>
      </c>
      <c r="G10" t="s">
        <v>7510</v>
      </c>
      <c r="H10" t="s">
        <v>7536</v>
      </c>
      <c r="I10">
        <v>2692020126</v>
      </c>
      <c r="J10" s="165">
        <v>13934630</v>
      </c>
      <c r="K10" t="s">
        <v>7537</v>
      </c>
    </row>
    <row r="11" spans="2:14" x14ac:dyDescent="0.25">
      <c r="B11" s="166">
        <v>46298</v>
      </c>
      <c r="C11" t="s">
        <v>7538</v>
      </c>
      <c r="D11" t="s">
        <v>7539</v>
      </c>
      <c r="E11" t="s">
        <v>7512</v>
      </c>
      <c r="F11" t="s">
        <v>7513</v>
      </c>
      <c r="G11" t="s">
        <v>7510</v>
      </c>
      <c r="I11">
        <v>1762010326</v>
      </c>
      <c r="J11" s="165">
        <v>1000</v>
      </c>
      <c r="K11" t="s">
        <v>1768</v>
      </c>
    </row>
    <row r="12" spans="2:14" x14ac:dyDescent="0.25">
      <c r="B12" s="166">
        <v>46085</v>
      </c>
      <c r="C12" t="s">
        <v>7540</v>
      </c>
      <c r="D12" t="s">
        <v>7541</v>
      </c>
      <c r="E12" t="s">
        <v>7519</v>
      </c>
      <c r="F12" t="s">
        <v>7520</v>
      </c>
      <c r="G12" t="s">
        <v>7521</v>
      </c>
      <c r="H12" t="s">
        <v>7542</v>
      </c>
      <c r="I12">
        <v>3685010426</v>
      </c>
      <c r="J12" s="165">
        <v>1000</v>
      </c>
      <c r="K12" t="s">
        <v>7537</v>
      </c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 codeName="Sheet19"/>
  <dimension ref="A1:F24"/>
  <sheetViews>
    <sheetView showGridLines="0" workbookViewId="0">
      <selection activeCell="C9" sqref="C9"/>
    </sheetView>
  </sheetViews>
  <sheetFormatPr defaultRowHeight="15" x14ac:dyDescent="0.25"/>
  <cols>
    <col min="2" max="2" width="23.85546875" bestFit="1" customWidth="1"/>
    <col min="3" max="3" width="28.5703125" customWidth="1"/>
    <col min="4" max="4" width="7" bestFit="1" customWidth="1"/>
    <col min="5" max="5" width="46.42578125" customWidth="1"/>
    <col min="6" max="6" width="37.85546875" customWidth="1"/>
  </cols>
  <sheetData>
    <row r="1" spans="1:6" s="24" customFormat="1" ht="30" customHeight="1" x14ac:dyDescent="0.25">
      <c r="A1" s="15"/>
      <c r="B1" s="15" t="s">
        <v>660</v>
      </c>
      <c r="C1" s="15" t="s">
        <v>661</v>
      </c>
      <c r="D1" s="15" t="s">
        <v>662</v>
      </c>
      <c r="E1" s="15" t="s">
        <v>663</v>
      </c>
      <c r="F1" s="15" t="s">
        <v>664</v>
      </c>
    </row>
    <row r="2" spans="1:6" x14ac:dyDescent="0.25">
      <c r="A2" s="17">
        <v>1</v>
      </c>
      <c r="B2" s="17" t="s">
        <v>665</v>
      </c>
      <c r="C2" s="17"/>
      <c r="D2" s="17"/>
      <c r="E2" s="17" t="s">
        <v>666</v>
      </c>
      <c r="F2" s="17"/>
    </row>
    <row r="3" spans="1:6" x14ac:dyDescent="0.25">
      <c r="A3" s="17"/>
      <c r="B3" s="17"/>
      <c r="C3" s="17"/>
      <c r="D3" s="17"/>
      <c r="E3" s="17" t="s">
        <v>667</v>
      </c>
      <c r="F3" s="17" t="s">
        <v>668</v>
      </c>
    </row>
    <row r="4" spans="1:6" x14ac:dyDescent="0.25">
      <c r="A4" s="17"/>
      <c r="B4" s="17"/>
      <c r="C4" s="17"/>
      <c r="D4" s="17"/>
      <c r="E4" s="17" t="s">
        <v>669</v>
      </c>
      <c r="F4" s="17" t="s">
        <v>670</v>
      </c>
    </row>
    <row r="5" spans="1:6" x14ac:dyDescent="0.25">
      <c r="A5" s="17"/>
      <c r="B5" s="17"/>
      <c r="C5" s="17"/>
      <c r="D5" s="17"/>
      <c r="E5" s="17" t="s">
        <v>671</v>
      </c>
      <c r="F5" s="17"/>
    </row>
    <row r="6" spans="1:6" x14ac:dyDescent="0.25">
      <c r="A6" s="2">
        <v>2</v>
      </c>
      <c r="B6" s="2" t="s">
        <v>672</v>
      </c>
      <c r="C6" s="2" t="s">
        <v>673</v>
      </c>
      <c r="D6" s="2"/>
      <c r="E6" s="2" t="s">
        <v>674</v>
      </c>
      <c r="F6" s="2"/>
    </row>
    <row r="7" spans="1:6" x14ac:dyDescent="0.25">
      <c r="A7" s="2"/>
      <c r="B7" s="2"/>
      <c r="C7" s="2" t="s">
        <v>675</v>
      </c>
      <c r="D7" s="2"/>
      <c r="E7" s="2"/>
      <c r="F7" s="2"/>
    </row>
    <row r="8" spans="1:6" x14ac:dyDescent="0.25">
      <c r="A8" s="17">
        <v>3</v>
      </c>
      <c r="B8" s="17" t="s">
        <v>676</v>
      </c>
      <c r="C8" s="17" t="s">
        <v>677</v>
      </c>
      <c r="D8" s="17"/>
      <c r="E8" s="17" t="s">
        <v>678</v>
      </c>
      <c r="F8" s="17"/>
    </row>
    <row r="9" spans="1:6" x14ac:dyDescent="0.25">
      <c r="A9" s="17"/>
      <c r="B9" s="17" t="s">
        <v>1123</v>
      </c>
      <c r="C9" s="17"/>
      <c r="D9" s="17"/>
      <c r="E9" s="17" t="s">
        <v>679</v>
      </c>
      <c r="F9" s="17" t="s">
        <v>680</v>
      </c>
    </row>
    <row r="10" spans="1:6" x14ac:dyDescent="0.25">
      <c r="A10" s="2"/>
      <c r="B10" s="2" t="s">
        <v>681</v>
      </c>
      <c r="C10" s="2"/>
      <c r="D10" s="2" t="s">
        <v>682</v>
      </c>
      <c r="E10" s="2" t="s">
        <v>683</v>
      </c>
      <c r="F10" s="2"/>
    </row>
    <row r="11" spans="1:6" x14ac:dyDescent="0.25">
      <c r="A11" s="2"/>
      <c r="B11" s="2"/>
      <c r="C11" s="2"/>
      <c r="D11" s="2" t="s">
        <v>682</v>
      </c>
      <c r="E11" s="2" t="s">
        <v>684</v>
      </c>
      <c r="F11" s="2"/>
    </row>
    <row r="12" spans="1:6" x14ac:dyDescent="0.25">
      <c r="A12" s="2"/>
      <c r="B12" s="2"/>
      <c r="C12" s="2"/>
      <c r="D12" s="2" t="s">
        <v>682</v>
      </c>
      <c r="E12" s="2" t="s">
        <v>685</v>
      </c>
      <c r="F12" s="2"/>
    </row>
    <row r="13" spans="1:6" x14ac:dyDescent="0.25">
      <c r="A13" s="2"/>
      <c r="B13" s="2"/>
      <c r="C13" s="2"/>
      <c r="D13" s="2" t="s">
        <v>682</v>
      </c>
      <c r="E13" s="2" t="s">
        <v>686</v>
      </c>
      <c r="F13" s="2"/>
    </row>
    <row r="14" spans="1:6" x14ac:dyDescent="0.25">
      <c r="A14" s="2"/>
      <c r="B14" s="2"/>
      <c r="C14" s="2"/>
      <c r="D14" s="2" t="s">
        <v>682</v>
      </c>
      <c r="E14" s="2" t="s">
        <v>687</v>
      </c>
      <c r="F14" s="2"/>
    </row>
    <row r="15" spans="1:6" x14ac:dyDescent="0.25">
      <c r="A15" s="17">
        <v>4</v>
      </c>
      <c r="B15" s="17" t="s">
        <v>688</v>
      </c>
      <c r="C15" s="17"/>
      <c r="D15" s="17"/>
      <c r="E15" s="17" t="s">
        <v>689</v>
      </c>
      <c r="F15" s="17" t="s">
        <v>690</v>
      </c>
    </row>
    <row r="16" spans="1:6" x14ac:dyDescent="0.25">
      <c r="A16" s="17">
        <v>5</v>
      </c>
      <c r="B16" s="17" t="s">
        <v>665</v>
      </c>
      <c r="C16" s="17"/>
      <c r="D16" s="17"/>
      <c r="E16" s="17" t="s">
        <v>691</v>
      </c>
      <c r="F16" s="17" t="s">
        <v>692</v>
      </c>
    </row>
    <row r="17" spans="1:6" x14ac:dyDescent="0.25">
      <c r="A17" s="2"/>
      <c r="B17" s="2"/>
      <c r="C17" s="2"/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x14ac:dyDescent="0.25">
      <c r="A19" s="2"/>
      <c r="B19" s="2"/>
      <c r="C19" s="2"/>
      <c r="D19" s="2"/>
      <c r="E19" s="2"/>
      <c r="F19" s="2"/>
    </row>
    <row r="20" spans="1:6" x14ac:dyDescent="0.25">
      <c r="A20" s="2"/>
      <c r="B20" s="2"/>
      <c r="C20" s="2"/>
      <c r="D20" s="2"/>
      <c r="E20" s="2"/>
      <c r="F20" s="2"/>
    </row>
    <row r="21" spans="1:6" x14ac:dyDescent="0.25">
      <c r="A21" s="2"/>
      <c r="B21" s="2"/>
      <c r="C21" s="2"/>
      <c r="D21" s="2"/>
      <c r="E21" s="2"/>
      <c r="F21" s="2"/>
    </row>
    <row r="22" spans="1:6" x14ac:dyDescent="0.25">
      <c r="A22" s="2"/>
      <c r="B22" s="2"/>
      <c r="C22" s="2"/>
      <c r="D22" s="2"/>
      <c r="E22" s="2"/>
      <c r="F22" s="2"/>
    </row>
    <row r="23" spans="1:6" x14ac:dyDescent="0.25">
      <c r="A23" s="2"/>
      <c r="B23" s="2"/>
      <c r="C23" s="2"/>
      <c r="D23" s="2"/>
      <c r="E23" s="2"/>
      <c r="F23" s="2"/>
    </row>
    <row r="24" spans="1:6" x14ac:dyDescent="0.25">
      <c r="A24" s="2"/>
      <c r="B24" s="2"/>
      <c r="C24" s="2"/>
      <c r="D24" s="2"/>
      <c r="E24" s="2"/>
      <c r="F24" s="2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154</vt:i4>
      </vt:variant>
      <vt:variant>
        <vt:lpstr>Named Ranges</vt:lpstr>
      </vt:variant>
      <vt:variant>
        <vt:i4>3</vt:i4>
      </vt:variant>
    </vt:vector>
  </HeadingPairs>
  <TitlesOfParts>
    <vt:vector size="157" baseType="lpstr">
      <vt:lpstr>RIG</vt:lpstr>
      <vt:lpstr>Stang Bor</vt:lpstr>
      <vt:lpstr>Team Lapangan</vt:lpstr>
      <vt:lpstr>Team OG</vt:lpstr>
      <vt:lpstr>Salira</vt:lpstr>
      <vt:lpstr>Wonokoyo Cikande</vt:lpstr>
      <vt:lpstr>Kedungsoka</vt:lpstr>
      <vt:lpstr>PUPR Sumedang</vt:lpstr>
      <vt:lpstr>Cemplang</vt:lpstr>
      <vt:lpstr>Malang</vt:lpstr>
      <vt:lpstr>Suralaya Kp Kotak</vt:lpstr>
      <vt:lpstr>Cianjur</vt:lpstr>
      <vt:lpstr>mancak 1 A</vt:lpstr>
      <vt:lpstr>mancak 1 B</vt:lpstr>
      <vt:lpstr>Mancak 2</vt:lpstr>
      <vt:lpstr>sukarena</vt:lpstr>
      <vt:lpstr>baros</vt:lpstr>
      <vt:lpstr>tbl</vt:lpstr>
      <vt:lpstr>ponpes al rahmah</vt:lpstr>
      <vt:lpstr>cakra</vt:lpstr>
      <vt:lpstr>APLUS</vt:lpstr>
      <vt:lpstr>Desa Teras</vt:lpstr>
      <vt:lpstr>sindangsari</vt:lpstr>
      <vt:lpstr>cilayang</vt:lpstr>
      <vt:lpstr>mandaya</vt:lpstr>
      <vt:lpstr>koper</vt:lpstr>
      <vt:lpstr>sukamaju</vt:lpstr>
      <vt:lpstr>nambo udik</vt:lpstr>
      <vt:lpstr>Kentrong</vt:lpstr>
      <vt:lpstr>Bunihara</vt:lpstr>
      <vt:lpstr>Lialang</vt:lpstr>
      <vt:lpstr>Teritih</vt:lpstr>
      <vt:lpstr>TPA Cianjur</vt:lpstr>
      <vt:lpstr>PT CUAN</vt:lpstr>
      <vt:lpstr>Sayar</vt:lpstr>
      <vt:lpstr>PDAM NGANJUK</vt:lpstr>
      <vt:lpstr>Cianjur BBMMPPV</vt:lpstr>
      <vt:lpstr>Bo Myoeng</vt:lpstr>
      <vt:lpstr>CANDRA ASRI</vt:lpstr>
      <vt:lpstr>Bor TBL</vt:lpstr>
      <vt:lpstr>Cakra 2</vt:lpstr>
      <vt:lpstr>Cisauk</vt:lpstr>
      <vt:lpstr>Balikpapan</vt:lpstr>
      <vt:lpstr>PT Aplus 2</vt:lpstr>
      <vt:lpstr>Ciruas PT Kaishun</vt:lpstr>
      <vt:lpstr>Propan</vt:lpstr>
      <vt:lpstr>BLJSKB</vt:lpstr>
      <vt:lpstr>BO Meyoeng</vt:lpstr>
      <vt:lpstr>Wai Hing</vt:lpstr>
      <vt:lpstr>Gheras</vt:lpstr>
      <vt:lpstr>Bulukumba</vt:lpstr>
      <vt:lpstr>Broco</vt:lpstr>
      <vt:lpstr>Probolinggo</vt:lpstr>
      <vt:lpstr>Lotte</vt:lpstr>
      <vt:lpstr>Sulfindo</vt:lpstr>
      <vt:lpstr>Elbeka</vt:lpstr>
      <vt:lpstr>RS Jannah</vt:lpstr>
      <vt:lpstr>Gunung Langit Baja</vt:lpstr>
      <vt:lpstr>Sinarmonas</vt:lpstr>
      <vt:lpstr>Sheet1</vt:lpstr>
      <vt:lpstr>Pasauran</vt:lpstr>
      <vt:lpstr>Bulakan</vt:lpstr>
      <vt:lpstr>Katulisan</vt:lpstr>
      <vt:lpstr>Parigi</vt:lpstr>
      <vt:lpstr>Cikeusal</vt:lpstr>
      <vt:lpstr>Sukaraja</vt:lpstr>
      <vt:lpstr>Cimaung</vt:lpstr>
      <vt:lpstr>YBM CILAYANG</vt:lpstr>
      <vt:lpstr>Pancalaksana</vt:lpstr>
      <vt:lpstr>Tinggar</vt:lpstr>
      <vt:lpstr>PT ULI</vt:lpstr>
      <vt:lpstr>Cipete</vt:lpstr>
      <vt:lpstr>Kamanisan</vt:lpstr>
      <vt:lpstr>sukawana curug</vt:lpstr>
      <vt:lpstr>sukawana serang</vt:lpstr>
      <vt:lpstr>BDX Titik 1</vt:lpstr>
      <vt:lpstr>Xiangyi</vt:lpstr>
      <vt:lpstr>Tanggamus</vt:lpstr>
      <vt:lpstr>Tanjungsari</vt:lpstr>
      <vt:lpstr>Karangsuraga</vt:lpstr>
      <vt:lpstr>Desa Puser</vt:lpstr>
      <vt:lpstr>Angsana</vt:lpstr>
      <vt:lpstr>Duta Realtindo SB 1</vt:lpstr>
      <vt:lpstr>Cikolelet 1</vt:lpstr>
      <vt:lpstr>cikolelet 2</vt:lpstr>
      <vt:lpstr>Desa Koncang</vt:lpstr>
      <vt:lpstr>Sukalaksana</vt:lpstr>
      <vt:lpstr>Pasir Mae 2</vt:lpstr>
      <vt:lpstr>Pasir Mae 1</vt:lpstr>
      <vt:lpstr>Pasie Mae 1 Civil</vt:lpstr>
      <vt:lpstr>Desa Puser 2</vt:lpstr>
      <vt:lpstr>Duta Realtindo 2</vt:lpstr>
      <vt:lpstr>Agincourt</vt:lpstr>
      <vt:lpstr>sobang</vt:lpstr>
      <vt:lpstr>depok</vt:lpstr>
      <vt:lpstr>citasuk</vt:lpstr>
      <vt:lpstr>jemla</vt:lpstr>
      <vt:lpstr>PT. CEP</vt:lpstr>
      <vt:lpstr>PT LAI</vt:lpstr>
      <vt:lpstr>Panongan</vt:lpstr>
      <vt:lpstr> PT.SYL</vt:lpstr>
      <vt:lpstr>PT PSBS</vt:lpstr>
      <vt:lpstr>PT Inti Pesona</vt:lpstr>
      <vt:lpstr>PDAM Malang</vt:lpstr>
      <vt:lpstr>Kios PDLG</vt:lpstr>
      <vt:lpstr>PT DIFAN</vt:lpstr>
      <vt:lpstr>DESA DOMAS</vt:lpstr>
      <vt:lpstr>SSO</vt:lpstr>
      <vt:lpstr>SCBD</vt:lpstr>
      <vt:lpstr>Calincing(cemplang)</vt:lpstr>
      <vt:lpstr>rsud cianjur</vt:lpstr>
      <vt:lpstr>BDX</vt:lpstr>
      <vt:lpstr>Sayar 2</vt:lpstr>
      <vt:lpstr>GSI</vt:lpstr>
      <vt:lpstr>wanayasa</vt:lpstr>
      <vt:lpstr>sukacai</vt:lpstr>
      <vt:lpstr>cullet</vt:lpstr>
      <vt:lpstr>RS Hermina Ciruas</vt:lpstr>
      <vt:lpstr>Bukit Sinyonya</vt:lpstr>
      <vt:lpstr>Neglasari</vt:lpstr>
      <vt:lpstr>K Ayam Mnjl</vt:lpstr>
      <vt:lpstr>SPAM Kel.Sukawana </vt:lpstr>
      <vt:lpstr>SPAM Kel.Tinggar</vt:lpstr>
      <vt:lpstr>SPAM Curug Manis</vt:lpstr>
      <vt:lpstr>jemla (2)</vt:lpstr>
      <vt:lpstr>Agincourt (2)</vt:lpstr>
      <vt:lpstr>PT. CEP (2)</vt:lpstr>
      <vt:lpstr>PDAM Malang (2)</vt:lpstr>
      <vt:lpstr>Pasie Mae 1 Civil (2)</vt:lpstr>
      <vt:lpstr>PT. SCNP</vt:lpstr>
      <vt:lpstr>Kandang Kmbg Smntra</vt:lpstr>
      <vt:lpstr>Civil Makam Brgn Syamun</vt:lpstr>
      <vt:lpstr>RS BUN</vt:lpstr>
      <vt:lpstr>PT. JAPFA</vt:lpstr>
      <vt:lpstr>Bendung</vt:lpstr>
      <vt:lpstr>Sayar AMDK H Agus</vt:lpstr>
      <vt:lpstr>Cihara</vt:lpstr>
      <vt:lpstr>Bojonegara</vt:lpstr>
      <vt:lpstr>Karoya Sajira YBM</vt:lpstr>
      <vt:lpstr>Buyut Mekar YBM</vt:lpstr>
      <vt:lpstr>PKS Ayau Bjg</vt:lpstr>
      <vt:lpstr>Sukabumi</vt:lpstr>
      <vt:lpstr>Caringin</vt:lpstr>
      <vt:lpstr>PT. Cosmax</vt:lpstr>
      <vt:lpstr>Ciomas</vt:lpstr>
      <vt:lpstr>cigeulis jendi</vt:lpstr>
      <vt:lpstr>YBM kabayan jaman</vt:lpstr>
      <vt:lpstr>PT SKI</vt:lpstr>
      <vt:lpstr>Cibarual</vt:lpstr>
      <vt:lpstr>Cibaliung</vt:lpstr>
      <vt:lpstr>Pasir Kadu</vt:lpstr>
      <vt:lpstr>Paraklima</vt:lpstr>
      <vt:lpstr>Sheet2</vt:lpstr>
      <vt:lpstr>Tambahan Pekerjaan</vt:lpstr>
      <vt:lpstr>Cemplang!Print_Area</vt:lpstr>
      <vt:lpstr>'cikolelet 2'!Print_Area</vt:lpstr>
      <vt:lpstr>Tanjungsari!Print_Area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windows 10</cp:lastModifiedBy>
  <cp:revision/>
  <cp:lastPrinted>2025-07-31T01:03:14Z</cp:lastPrinted>
  <dcterms:created xsi:type="dcterms:W3CDTF">2024-03-30T02:23:35Z</dcterms:created>
  <dcterms:modified xsi:type="dcterms:W3CDTF">2026-10-03T02:24:49Z</dcterms:modified>
  <cp:contentStatus/>
</cp:coreProperties>
</file>